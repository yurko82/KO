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ЭтаКнига"/>
  <sheets>
    <sheet state="visible" name="Таблиця" sheetId="1" r:id="rId5"/>
  </sheets>
  <definedNames/>
  <calcPr/>
  <extLst>
    <ext uri="GoogleSheetsCustomDataVersion2">
      <go:sheetsCustomData xmlns:go="http://customooxmlschemas.google.com/" r:id="rId6" roundtripDataChecksum="zJE13wLeBR/e8vBwbbyV2diTyq8ozIDvBHO1+RzXamw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H232">
      <text>
        <t xml:space="preserve">======
ID#AAACHfa6a48
RoPM    (2026-09-23 10:38:32)
огляд стану поверхонь роз'єму «кришка-корпус»</t>
      </text>
    </comment>
    <comment authorId="0" ref="J265">
      <text>
        <t xml:space="preserve">======
ID#AAACHfa6a-4
RoPM    (2026-09-23 10:38:32)
огляд ущільнюючих поверхонь виймальних частин</t>
      </text>
    </comment>
    <comment authorId="0" ref="D34">
      <text>
        <t xml:space="preserve">======
ID#AAACHfa6a7I
RoPM    (2026-09-23 10:38:32)
контроль центрування агрегату</t>
      </text>
    </comment>
    <comment authorId="0" ref="J232">
      <text>
        <t xml:space="preserve">======
ID#AAACHfa6a6o
RoPM    (2026-09-23 10:38:32)
огляд ущільнюючих поверхонь виймальних частин</t>
      </text>
    </comment>
    <comment authorId="0" ref="D249">
      <text>
        <t xml:space="preserve">======
ID#AAACHfa6bDw
RoPM    (2026-09-23 10:38:32)
огляд внутрішньої поверхні корпусу</t>
      </text>
    </comment>
    <comment authorId="0" ref="F249">
      <text>
        <t xml:space="preserve">======
ID#AAACHfa6a_k
RoPM    (2026-09-23 10:38:32)
огляд шибера (диска) і ущільнюючої поверхні корпусу</t>
      </text>
    </comment>
    <comment authorId="0" ref="H249">
      <text>
        <t xml:space="preserve">======
ID#AAACHfa6bEA
RoPM    (2026-09-23 10:38:32)
огляд стану поверхні роз'єму «кришка-корпус»</t>
      </text>
    </comment>
    <comment authorId="0" ref="J249">
      <text>
        <t xml:space="preserve">======
ID#AAACHfa6a9c
RoPM    (2026-09-23 10:38:32)
огляд ущільнюючих поверхонь виймальних частин</t>
      </text>
    </comment>
    <comment authorId="0" ref="D18">
      <text>
        <t xml:space="preserve">======
ID#AAACHfa6a2E
RoPM    (2026-09-23 10:38:32)
контроль сумарного осьового розбігу ротора</t>
      </text>
    </comment>
    <comment authorId="0" ref="F18">
      <text>
        <t xml:space="preserve">======
ID#AAACHfa6a40
RoPM    (2026-09-23 10:38:32)
контроль масляних проміжків у підшипникових вузлах</t>
      </text>
    </comment>
    <comment authorId="0" ref="U1">
      <text>
        <t xml:space="preserve">======
ID#AAACHfa6a3Y
Код |    (2026-09-23 10:38:32)
1   |   Савчук Ю.А.
  2   |   Мушик В.Ф.
  3   |   Оніщук В.Ю.
  4   |   Сидорчук С.В.
  5   |   Радчук І.С.
  6   |   Рошук П.М.
  7   |   Дацький Д.П.</t>
      </text>
    </comment>
    <comment authorId="0" ref="H18">
      <text>
        <t xml:space="preserve">======
ID#AAACHfa6a3I
RoPM    (2026-09-23 10:38:32)
контроль центрування агрегату</t>
      </text>
    </comment>
    <comment authorId="0" ref="D332">
      <text>
        <t xml:space="preserve">======
ID#AAACHfa6a3U
- контроль наявності маркування    (2026-09-23 10:38:32)
· на шпильках М140
· на гайках М140
· на сферичних шайбах М140
· на фланці корпусу реактора
· на натискному кільці (номера шпилькових гнізд)
· на знімних фланцях ТК та КНВ</t>
      </text>
    </comment>
    <comment authorId="0" ref="D167">
      <text>
        <t xml:space="preserve">======
ID#AAACHfa6a50
Огляд ущільнюючих поверхонь    (2026-09-23 10:38:32)
люк-лазу деаераційної колонки "А"</t>
      </text>
    </comment>
    <comment authorId="0" ref="H101">
      <text>
        <t xml:space="preserve">======
ID#AAACHfa6bAE
RoPM    (2026-09-23 10:38:32)
контроль проміжків між ротором і вкладишами верхніх і нижніх направляючих підшипників електродвигуна</t>
      </text>
    </comment>
    <comment authorId="0" ref="N167">
      <text>
        <t xml:space="preserve">======
ID#AAACHfa6bBw
Огляд ущільнюючих поверхонь    (2026-09-23 10:38:32)
люк-лазу деаераційної колонки "А"</t>
      </text>
    </comment>
    <comment authorId="0" ref="D316">
      <text>
        <t xml:space="preserve">======
ID#AAACHfa6bDs
RoPM    (2026-09-23 10:38:32)
Перевірка висоти камери стиснення</t>
      </text>
    </comment>
    <comment authorId="0" ref="F316">
      <text>
        <t xml:space="preserve">======
ID#AAACHfSEtlQ
RoPM    (2026-09-23 10:38:32)
Виконати всі роботи передбачені ПР, СР</t>
      </text>
    </comment>
    <comment authorId="0" ref="H316">
      <text>
        <t xml:space="preserve">======
ID#AAACHfa6a-0
RoPM    (2026-09-23 10:38:32)
Перевірка на чистоту гільзи циліндрів і посадочні місця, виміри гільз</t>
      </text>
    </comment>
    <comment authorId="0" ref="J316">
      <text>
        <t xml:space="preserve">======
ID#AAACHfa6a3o
RoPM    (2026-09-23 10:38:32)
Вимір проміжків по валу ротора і робочим колесам турбокомпресора</t>
      </text>
    </comment>
    <comment authorId="0" ref="D168">
      <text>
        <t xml:space="preserve">======
ID#AAACHfa6a2M
Огляд ущільнюючих поверхонь    (2026-09-23 10:38:32)
люк-лазу деаераційної колонки "А"</t>
      </text>
    </comment>
    <comment authorId="0" ref="N168">
      <text>
        <t xml:space="preserve">======
ID#AAACHfa6bAU
Огляд ущільнюючих поверхонь    (2026-09-23 10:38:32)
люк-лазу деаераційної колонки "А"</t>
      </text>
    </comment>
    <comment authorId="0" ref="D218">
      <text>
        <t xml:space="preserve">======
ID#AAACHfa6a-g
RoPM    (2026-09-23 10:38:32)
огляд внутрішньої поверхні корпусу</t>
      </text>
    </comment>
    <comment authorId="0" ref="F218">
      <text>
        <t xml:space="preserve">======
ID#AAACHfa6a_0
RoPM    (2026-09-23 10:38:32)
огляд ущільнюючих поверхонь корпусу</t>
      </text>
    </comment>
    <comment authorId="0" ref="D119">
      <text>
        <t xml:space="preserve">======
ID#AAACHfa6a3w
RoPM    (2026-09-23 10:38:32)
Контроль встановлення прокладок СНП перед ущільненням головного раз’єму</t>
      </text>
    </comment>
    <comment authorId="0" ref="D86">
      <text>
        <t xml:space="preserve">======
ID#AAACHfa6a7U
RoPM    (2026-09-23 10:38:32)
контроль проміжків в ущільненнях проточної частини</t>
      </text>
    </comment>
    <comment authorId="0" ref="H218">
      <text>
        <t xml:space="preserve">======
ID#AAACHfSEtls
RoPM    (2026-09-23 10:38:32)
огляд поверхонь роз'єму «кришка-корпус»</t>
      </text>
    </comment>
    <comment authorId="0" ref="D53">
      <text>
        <t xml:space="preserve">======
ID#AAACHfa6bBI
RoPM    (2026-09-23 10:38:32)
контроль центрування агрегату</t>
      </text>
    </comment>
    <comment authorId="0" ref="F119">
      <text>
        <t xml:space="preserve">======
ID#AAACHfa6a4Y
RoPM    (2026-09-23 10:38:32)
Контроль моменту затягування гайок М64 3-го проходу головного роз'єму</t>
      </text>
    </comment>
    <comment authorId="0" ref="J218">
      <text>
        <t xml:space="preserve">======
ID#AAACHfa6a_I
RoPM    (2026-09-23 10:38:32)
огляд ущільнюючих поверхонь виймальних частин</t>
      </text>
    </comment>
    <comment authorId="0" ref="F86">
      <text>
        <t xml:space="preserve">======
ID#AAACHfa6a10
RoPM    (2026-09-23 10:38:32)
контроль теплового проміжку</t>
      </text>
    </comment>
    <comment authorId="0" ref="H86">
      <text>
        <t xml:space="preserve">======
ID#AAACHfa6bBk
RoPM    (2026-09-23 10:38:32)
контроль осьового розбігу ротора</t>
      </text>
    </comment>
    <comment authorId="0" ref="J86">
      <text>
        <t xml:space="preserve">======
ID#AAACHfa6a7E
RoPM    (2026-09-23 10:38:32)
контроль центрування агрегату</t>
      </text>
    </comment>
    <comment authorId="0" ref="D318">
      <text>
        <t xml:space="preserve">======
ID#AAACHfa6bAA
RoPM    (2026-09-23 10:38:32)
Перевірити
-на чистоту форсунки;
-тиск початку упорскування форсунки</t>
      </text>
    </comment>
    <comment authorId="0" ref="D285">
      <text>
        <t xml:space="preserve">======
ID#AAACHfa6bCM
RoPM    (2026-09-23 10:38:32)
огляд внутрішньої поверхні корпусу</t>
      </text>
    </comment>
    <comment authorId="0" ref="F318">
      <text>
        <t xml:space="preserve">======
ID#AAACHfa6bBA
RoPM    (2026-09-23 10:38:32)
Перевірити центрування дизеля і генератора</t>
      </text>
    </comment>
    <comment authorId="0" ref="F285">
      <text>
        <t xml:space="preserve">======
ID#AAACHfa6a2o
RoPM    (2026-09-23 10:38:32)
огляд ущільнюючих поверхонь корпусу</t>
      </text>
    </comment>
    <comment authorId="0" ref="H318">
      <text>
        <t xml:space="preserve">======
ID#AAACHfa6a3k
RoPM    (2026-09-23 10:38:32)
Перевірка герметичності внутрішнього контуру охолодження</t>
      </text>
    </comment>
    <comment authorId="0" ref="D153">
      <text>
        <t xml:space="preserve">======
ID#AAACHfa6bDQ
Огляд ущільнюючих поверхонь    (2026-09-23 10:38:32)
роз’єму входу гріючої пари</t>
      </text>
    </comment>
    <comment authorId="0" ref="H285">
      <text>
        <t xml:space="preserve">======
ID#AAACHfa6a_4
RoPM    (2026-09-23 10:38:32)
огляд стану поверхні роз'єму «кришка-корпус»</t>
      </text>
    </comment>
    <comment authorId="0" ref="J318">
      <text>
        <t xml:space="preserve">======
ID#AAACHfa6a9s
RoPM    (2026-09-23 10:38:32)
Виконати всі роботи передбачені ПР</t>
      </text>
    </comment>
    <comment authorId="0" ref="J285">
      <text>
        <t xml:space="preserve">======
ID#AAACHfa6a8U
RoPM    (2026-09-23 10:38:32)
огляд ущільнюючих поверхонь виймальних частин</t>
      </text>
    </comment>
    <comment authorId="0" ref="F153">
      <text>
        <t xml:space="preserve">======
ID#AAACHfa6a38
RoPM    (2026-09-23 10:38:32)
Для ПВД-6,7 
Огляд ущільнюючих поверхонь:
роз’єму більш вищої ступені підігріву
Для ПВД-8
Огляд ущільнюючих поверхонь:
роз’єму входу дренажу з пароперегрівача</t>
      </text>
    </comment>
    <comment authorId="0" ref="D54">
      <text>
        <t xml:space="preserve">======
ID#AAACHfa6a3M
RoPM    (2026-09-23 10:38:32)
контроль центрування агрегату</t>
      </text>
    </comment>
    <comment authorId="0" ref="L318">
      <text>
        <t xml:space="preserve">======
ID#AAACHfa6a1s
RoPM    (2026-09-23 10:38:32)
Зробити вимір поршнів</t>
      </text>
    </comment>
    <comment authorId="0" ref="H153">
      <text>
        <t xml:space="preserve">======
ID#AAACHfa6a-M
RoPM    (2026-09-23 10:38:32)
Для ПВД-6,7 
Огляд ущільнюючих поверхонь:
роз’єму впуску повітря із підігрівача вищої ступені Ду50
Для ПВД-8
Огляд ущільнюючих поверхонь:
роз’єму до запобіжного клапана</t>
      </text>
    </comment>
    <comment authorId="0" ref="N318">
      <text>
        <t xml:space="preserve">======
ID#AAACHfa6a7w
RoPM    (2026-09-23 10:38:32)
Провести вимір висоти канавок під поршневі кільця і проміжку кільце-канавка</t>
      </text>
    </comment>
    <comment authorId="0" ref="P318">
      <text>
        <t xml:space="preserve">======
ID#AAACHfa6a5A
RoPM    (2026-09-23 10:38:32)
Зробити вимір поршневих кілець</t>
      </text>
    </comment>
    <comment authorId="0" ref="J87">
      <text>
        <t xml:space="preserve">======
ID#AAACHfa6a98
Огляд ущільнюючих поверхонь    (2026-09-23 10:38:32)
люк-лазу деаераційної колонки "Б"</t>
      </text>
    </comment>
    <comment authorId="0" ref="R318">
      <text>
        <t xml:space="preserve">======
ID#AAACHfa6a9U
RoPM    (2026-09-23 10:38:32)
Виконати вимір вкладишів і втулок шатунів</t>
      </text>
    </comment>
    <comment authorId="0" ref="D302">
      <text>
        <t xml:space="preserve">======
ID#AAACHfa6bDo
RoPM    (2026-09-23 10:38:32)
огляд внутрішньої поверхні корпусу</t>
      </text>
    </comment>
    <comment authorId="0" ref="T318">
      <text>
        <t xml:space="preserve">======
ID#AAACHfSEtlI
RoPM    (2026-09-23 10:38:32)
Виконати виміри корінних і шатунних шийок верхніх
колінчастих валів і шатунних шийок нижніх колінчастих валів</t>
      </text>
    </comment>
    <comment authorId="0" ref="V318">
      <text>
        <t xml:space="preserve">======
ID#AAACHfa6bCk
RoPM    (2026-09-23 10:38:32)
Іиміри масляного проміжку в корінних і шатунних підшипників колінчастих  валів</t>
      </text>
    </comment>
    <comment authorId="0" ref="F302">
      <text>
        <t xml:space="preserve">======
ID#AAACHfa6a5M
RoPM    (2026-09-23 10:38:32)
огляд ущільнюючих поверхонь корпусу</t>
      </text>
    </comment>
    <comment authorId="0" ref="H302">
      <text>
        <t xml:space="preserve">======
ID#AAACHfa6a5Q
RoPM    (2026-09-23 10:38:32)
огляд стану поверхні роз'єму «кришка-корпус»</t>
      </text>
    </comment>
    <comment authorId="0" ref="J302">
      <text>
        <t xml:space="preserve">======
ID#AAACHfa6a5Y
RoPM    (2026-09-23 10:38:32)
огляд ущільнюючих поверхонь виймальних частин</t>
      </text>
    </comment>
    <comment authorId="0" ref="D71">
      <text>
        <t xml:space="preserve">======
ID#AAACHfa6bDI
RoPM    (2026-09-23 10:38:32)
контроль осьового розбігу ротора</t>
      </text>
    </comment>
    <comment authorId="0" ref="D38">
      <text>
        <t xml:space="preserve">======
ID#AAACHfa6bAk
RoPM    (2026-09-23 10:38:32)
контроль центрування агрегату</t>
      </text>
    </comment>
    <comment authorId="0" ref="F71">
      <text>
        <t xml:space="preserve">======
ID#AAACHfa6a6s
RoPM    (2026-09-23 10:38:32)
контроль масляних проміжків у підшипникових вузлах</t>
      </text>
    </comment>
    <comment authorId="0" ref="H71">
      <text>
        <t xml:space="preserve">======
ID#AAACHfa6bBQ
RoPM    (2026-09-23 10:38:32)
контроль центрування агрегату</t>
      </text>
    </comment>
    <comment authorId="0" ref="D55">
      <text>
        <t xml:space="preserve">======
ID#AAACHfa6a5E
RoPM    (2026-09-23 10:38:32)
контроль центрування агрегату</t>
      </text>
    </comment>
    <comment authorId="0" ref="D204">
      <text>
        <t xml:space="preserve">======
ID#AAACHfa6a3c
RoPM    (2026-09-23 10:38:32)
огляд внутрішньої поверхні корпусу</t>
      </text>
    </comment>
    <comment authorId="0" ref="F204">
      <text>
        <t xml:space="preserve">======
ID#AAACHfa6a6I
RoPM    (2026-09-23 10:38:32)
огляд ущільнюючих поверхонь корпусу</t>
      </text>
    </comment>
    <comment authorId="0" ref="H204">
      <text>
        <t xml:space="preserve">======
ID#AAACHfa6a3g
RoPM    (2026-09-23 10:38:32)
огляд стану поверхонь роз'єму «кришка-корпус»</t>
      </text>
    </comment>
    <comment authorId="0" ref="J204">
      <text>
        <t xml:space="preserve">======
ID#AAACHfa6a88
RoPM    (2026-09-23 10:38:32)
огляд ущільнюючих поверхонь виймальних частин</t>
      </text>
    </comment>
    <comment authorId="0" ref="D320">
      <text>
        <t xml:space="preserve">======
ID#AAACHfa6bBs
RoPM    (2026-09-23 10:38:32)
Перевірка висоти камери стиснення</t>
      </text>
    </comment>
    <comment authorId="0" ref="F320">
      <text>
        <t xml:space="preserve">======
ID#AAACHfa6a9I
RoPM    (2026-09-23 10:38:32)
Виконати всі роботи передбачені ПР, СР</t>
      </text>
    </comment>
    <comment authorId="0" ref="H320">
      <text>
        <t xml:space="preserve">======
ID#AAACHfa6a4A
RoPM    (2026-09-23 10:38:32)
Перевірка на чистоту гільзи циліндрів і посадочні місця, виміри гільз</t>
      </text>
    </comment>
    <comment authorId="0" ref="D122">
      <text>
        <t xml:space="preserve">======
ID#AAACHfa6bBM
RoPM    (2026-09-23 10:38:32)
Контроль встановлення прокладок СНП перед ущільненням головного раз’єму</t>
      </text>
    </comment>
    <comment authorId="0" ref="J320">
      <text>
        <t xml:space="preserve">======
ID#AAACHfa6bDE
RoPM    (2026-09-23 10:38:32)
Вимір проміжків по валу ротора і робочим колесам турбокомпресора</t>
      </text>
    </comment>
    <comment authorId="0" ref="F122">
      <text>
        <t xml:space="preserve">======
ID#AAACHfa6bAs
RoPM    (2026-09-23 10:38:32)
Контроль моменту затягування гайок М64 3-го проходу головного роз'єму</t>
      </text>
    </comment>
    <comment authorId="0" ref="D23">
      <text>
        <t xml:space="preserve">======
ID#AAACHfa6a9k
RoPM    (2026-09-23 10:38:32)
контроль сумарного осьового розбігу ротора</t>
      </text>
    </comment>
    <comment authorId="0" ref="F23">
      <text>
        <t xml:space="preserve">======
ID#AAACHfa6bCc
RoPM    (2026-09-23 10:38:32)
контроль масляних проміжків у підшипникових вузлах</t>
      </text>
    </comment>
    <comment authorId="0" ref="H23">
      <text>
        <t xml:space="preserve">======
ID#AAACHfa6a6A
RoPM    (2026-09-23 10:38:32)
контроль центрування агрегату насос-гідромуфта</t>
      </text>
    </comment>
    <comment authorId="0" ref="J23">
      <text>
        <t xml:space="preserve">======
ID#AAACHfa6bEE
RoPM    (2026-09-23 10:38:32)
контроль центрування агрегату гідромуфта - ел. двигун</t>
      </text>
    </comment>
    <comment authorId="0" ref="D173">
      <text>
        <t xml:space="preserve">======
ID#AAACHfa6a7g
RoPM    (2026-09-23 10:38:32)
огляд внутрішньої поверхні корпусу</t>
      </text>
    </comment>
    <comment authorId="0" ref="D107">
      <text>
        <t xml:space="preserve">======
ID#AAACHfa6a5c
RoPM    (2026-09-23 10:38:32)
Контроль установки переліжок НП-2 перед ущільненням люк-лазу</t>
      </text>
    </comment>
    <comment authorId="0" ref="F173">
      <text>
        <t xml:space="preserve">======
ID#AAACHfa6a2I
RoPM    (2026-09-23 10:38:32)
огляд ущільнюючих поверхонь корпусу</t>
      </text>
    </comment>
    <comment authorId="0" ref="F107">
      <text>
        <t xml:space="preserve">======
ID#AAACHfa6a_w
RoPM    (2026-09-23 10:38:32)
Контроль моменту затягування гайок 3-го проходу при ущільненні люк-лазу крутного моменту Мкр=340±3 кгс.м</t>
      </text>
    </comment>
    <comment authorId="0" ref="H173">
      <text>
        <t xml:space="preserve">======
ID#AAACHfa6a8Y
RoPM    (2026-09-23 10:38:32)
огляд стану поверхонь роз'єму «кришка-корпус»</t>
      </text>
    </comment>
    <comment authorId="0" ref="J173">
      <text>
        <t xml:space="preserve">======
ID#AAACHfa6a6U
RoPM    (2026-09-23 10:38:32)
огляд ущільнюючих поверхонь виймальних частин</t>
      </text>
    </comment>
    <comment authorId="0" ref="D190">
      <text>
        <t xml:space="preserve">======
ID#AAACHfa6a5w
RoPM    (2026-09-23 10:38:32)
огляд внутрішньої поверхні корпусу</t>
      </text>
    </comment>
    <comment authorId="0" ref="F190">
      <text>
        <t xml:space="preserve">======
ID#AAACHfa6a5I
RoPM    (2026-09-23 10:38:32)
огляд ущільнюючих поверхонь корпусу</t>
      </text>
    </comment>
    <comment authorId="0" ref="H190">
      <text>
        <t xml:space="preserve">======
ID#AAACHfa6a60
RoPM    (2026-09-23 10:38:32)
огляд поверхонь роз'єму «кришка-корпус»</t>
      </text>
    </comment>
    <comment authorId="0" ref="D58">
      <text>
        <t xml:space="preserve">======
ID#AAACHfa6a14
RoPM    (2026-09-23 10:38:32)
контроль центрування агрегату</t>
      </text>
    </comment>
    <comment authorId="0" ref="D25">
      <text>
        <t xml:space="preserve">======
ID#AAACHfa6a4k
RoPM    (2026-09-23 10:38:32)
контроль центрування агрегату</t>
      </text>
    </comment>
    <comment authorId="0" ref="J190">
      <text>
        <t xml:space="preserve">======
ID#AAACHfa6a_Y
RoPM    (2026-09-23 10:38:32)
огляд ущільнюючих поверхонь виймальних частин</t>
      </text>
    </comment>
    <comment authorId="0" ref="D273">
      <text>
        <t xml:space="preserve">======
ID#AAACHfa6a7A
RoPM    (2026-09-23 10:38:32)
огляд внутрішньої поверхні корпусу</t>
      </text>
    </comment>
    <comment authorId="0" ref="F273">
      <text>
        <t xml:space="preserve">======
ID#AAACHfa6a7Y
RoPM    (2026-09-23 10:38:32)
огляд ущільнюючих поверхонь корпусу</t>
      </text>
    </comment>
    <comment authorId="0" ref="D141">
      <text>
        <t xml:space="preserve">======
ID#AAACHfa6bBU
Огляд ущільнюючих поверхонь    (2026-09-23 10:38:32)
з'єднання корпусу + трубна дошка</t>
      </text>
    </comment>
    <comment authorId="0" ref="H273">
      <text>
        <t xml:space="preserve">======
ID#AAACHfa6a9Y
RoPM    (2026-09-23 10:38:32)
огляд стану поверхні роз'єму «кришка-корпус»</t>
      </text>
    </comment>
    <comment authorId="0" ref="J273">
      <text>
        <t xml:space="preserve">======
ID#AAACHfa6bCI
RoPM    (2026-09-23 10:38:32)
огляд ущільнюючих поверхонь виймальних частин</t>
      </text>
    </comment>
    <comment authorId="0" ref="F141">
      <text>
        <t xml:space="preserve">======
ID#AAACHfa6bBg
Огляд ущільнюючих поверхонь    (2026-09-23 10:38:32)
з'єднання трубна дошка + кришка</t>
      </text>
    </comment>
    <comment authorId="0" ref="H141">
      <text>
        <t xml:space="preserve">======
ID#AAACHfa6bBo
Огляд ущільнюючих поверхонь    (2026-09-23 10:38:32)
фланцевого з'єднання підводу основного конденсату Ду400</t>
      </text>
    </comment>
    <comment authorId="0" ref="J141">
      <text>
        <t xml:space="preserve">======
ID#AAACHfa6a4w
Огляд ущільнюючих поверхонь    (2026-09-23 10:38:32)
фланцевого з'єднання відводу основного конденсату Ду400</t>
      </text>
    </comment>
    <comment authorId="0" ref="L141">
      <text>
        <t xml:space="preserve">======
ID#AAACHfSEtlE
Огляд ущільнюючих поверхонь    (2026-09-23 10:38:32)
фланцевого з'єднання підводу конденсату із охолоджувачів дренажу Ду300</t>
      </text>
    </comment>
    <comment authorId="0" ref="D290">
      <text>
        <t xml:space="preserve">======
ID#AAACHfa6bCE
RoPM    (2026-09-23 10:38:32)
огляд внутрішньої поверхні корпусу</t>
      </text>
    </comment>
    <comment authorId="0" ref="D257">
      <text>
        <t xml:space="preserve">======
ID#AAACHfa6a1o
RoPM    (2026-09-23 10:38:32)
огляд внутрішньої поверхні корпусу</t>
      </text>
    </comment>
    <comment authorId="0" ref="F290">
      <text>
        <t xml:space="preserve">======
ID#AAACHfa6a9E
RoPM    (2026-09-23 10:38:32)
огляд ущільнюючих поверхонь корпусу</t>
      </text>
    </comment>
    <comment authorId="0" ref="F257">
      <text>
        <t xml:space="preserve">======
ID#AAACHfa6a4c
RoPM    (2026-09-23 10:38:32)
огляд ущільнюючих поверхонь корпусу</t>
      </text>
    </comment>
    <comment authorId="0" ref="H290">
      <text>
        <t xml:space="preserve">======
ID#AAACHfa6a7M
RoPM    (2026-09-23 10:38:32)
огляд стану поверхні роз'єму «кришка-корпус»</t>
      </text>
    </comment>
    <comment authorId="0" ref="H257">
      <text>
        <t xml:space="preserve">======
ID#AAACHfa6a1c
RoPM    (2026-09-23 10:38:32)
огляд стану поверхні роз'єму «кришка-корпус»</t>
      </text>
    </comment>
    <comment authorId="0" ref="J290">
      <text>
        <t xml:space="preserve">======
ID#AAACHfa6bDc
RoPM    (2026-09-23 10:38:32)
огляд ущільнюючих поверхонь виймальних частин</t>
      </text>
    </comment>
    <comment authorId="0" ref="J257">
      <text>
        <t xml:space="preserve">======
ID#AAACHfa6a6Q
RoPM    (2026-09-23 10:38:32)
огляд ущільнюючих поверхонь виймальних частин</t>
      </text>
    </comment>
    <comment authorId="0" ref="P125">
      <text>
        <t xml:space="preserve">======
ID#AAACHfa6a-Y
RoPM    (2026-09-23 10:38:32)
Контроль встановлення графітових прокладок перед ущільненням люк- лазу</t>
      </text>
    </comment>
    <comment authorId="0" ref="D241">
      <text>
        <t xml:space="preserve">======
ID#AAACHfa6a4I
RoPM    (2026-09-23 10:38:32)
огляд внутрішньої поверхні корпусу</t>
      </text>
    </comment>
    <comment authorId="0" ref="F241">
      <text>
        <t xml:space="preserve">======
ID#AAACHfa6a5s
RoPM    (2026-09-23 10:38:32)
огляд шибера (диска) і ущільнюючої поверхні корпусу</t>
      </text>
    </comment>
    <comment authorId="0" ref="R125">
      <text>
        <t xml:space="preserve">======
ID#AAACHfSEtlA
RoPM    (2026-09-23 10:38:32)
Контроль ущільнення фланцевого з’єднання люк– лазу М48 після 3-го проходу Мкр=181,2 кгс.м</t>
      </text>
    </comment>
    <comment authorId="0" ref="T125">
      <text>
        <t xml:space="preserve">======
ID#AAACHfa6a2Q
RoPM    (2026-09-23 10:38:32)
Контроль встановлення прокладки із розширеного графіту дренажного люка Ду 80</t>
      </text>
    </comment>
    <comment authorId="0" ref="H241">
      <text>
        <t xml:space="preserve">======
ID#AAACHfSEtlg
RoPM    (2026-09-23 10:38:32)
огляд стану поверхні роз'єму «кришка-корпус»</t>
      </text>
    </comment>
    <comment authorId="0" ref="D76">
      <text>
        <t xml:space="preserve">======
ID#AAACHfa6a4M
RoPM    (2026-09-23 10:38:32)
контроль осьового розбігу ротора</t>
      </text>
    </comment>
    <comment authorId="0" ref="V125">
      <text>
        <t xml:space="preserve">======
ID#AAACHfa6bB4
RoPM    (2026-09-23 10:38:32)
Контроль моменту затяжки гайок М20 дренажного люка Ду80 після 3-го проходу Мкр=17,4 кгс.м</t>
      </text>
    </comment>
    <comment authorId="0" ref="J241">
      <text>
        <t xml:space="preserve">======
ID#AAACHfa6bBc
RoPM    (2026-09-23 10:38:32)
огляд ущільнюючих поверхонь виймальних частин</t>
      </text>
    </comment>
    <comment authorId="0" ref="D43">
      <text>
        <t xml:space="preserve">======
ID#AAACHfa6a2Y
RoPM    (2026-09-23 10:38:32)
контроль центрування агрегату</t>
      </text>
    </comment>
    <comment authorId="0" ref="F76">
      <text>
        <t xml:space="preserve">======
ID#AAACHfa6bCY
RoPM    (2026-09-23 10:38:32)
контроль масляних проміжків у підшипникових вузлах</t>
      </text>
    </comment>
    <comment authorId="0" ref="D10">
      <text>
        <t xml:space="preserve">======
ID#AAACHfa6a2k
RoPM    (2026-09-23 10:38:32)
-контроль радіального проміжку в сполученні вузла верхнього
радіального підшипника ГУП</t>
      </text>
    </comment>
    <comment authorId="0" ref="H76">
      <text>
        <t xml:space="preserve">======
ID#AAACHfa6a_Q
RoPM    (2026-09-23 10:38:32)
контроль центрування агрегату</t>
      </text>
    </comment>
    <comment authorId="0" ref="F10">
      <text>
        <t xml:space="preserve">======
ID#AAACHfa6a1U
RoPM    (2026-09-23 10:38:32)
- контроль радіального проміжку в сполученні вузла радіального підшипника ковзання</t>
      </text>
    </comment>
    <comment authorId="0" ref="H10">
      <text>
        <t xml:space="preserve">======
ID#AAACHfa6a8E
RoPM    (2026-09-23 10:38:32)
-контроль осьового проміжку у вузлі сполучення опорно-упорного підшипника (колодка ÷ гребінь)</t>
      </text>
    </comment>
    <comment authorId="0" ref="D324">
      <text>
        <t xml:space="preserve">======
ID#AAACHfa6bC0
RoPM    (2026-09-23 10:38:32)
контроль вимірювань відстані від жорстких упорів БЗТ, до площини ГРР (розмір А)</t>
      </text>
    </comment>
    <comment authorId="0" ref="J10">
      <text>
        <t xml:space="preserve">======
ID#AAACHfa6a8o
RoPM    (2026-09-23 10:38:32)
-контроль моменту затягування гайки робочого колеса</t>
      </text>
    </comment>
    <comment authorId="0" ref="L10">
      <text>
        <t xml:space="preserve">======
ID#AAACHfa6bCU
RoPM    (2026-09-23 10:38:32)
-контроль моменту затягування гайки блоку ущільнення валу</t>
      </text>
    </comment>
    <comment authorId="0" ref="F324">
      <text>
        <t xml:space="preserve">======
ID#AAACHfa6a68
RoPM    (2026-09-23 10:38:32)
- контроль вимірювань відстані від жорстких упорівШВК до площини ГРР (розмір Б)</t>
      </text>
    </comment>
    <comment authorId="0" ref="N10">
      <text>
        <t xml:space="preserve">======
ID#AAACHfa6bDU
RoPM    (2026-09-23 10:38:32)
-контроль моменту затяжки гайки ГУП</t>
      </text>
    </comment>
    <comment authorId="0" ref="H324">
      <text>
        <t xml:space="preserve">======
ID#AAACHfa6a4o
RoPM    (2026-09-23 10:38:32)
- контроль вимірювань відстані від верху труб Ø65×8,5 мм, до площини ГРР (розмір В)
- контроль відсутності проміжків у вузлі кріплення труб Ø65×8,5 мм та торцем фланцяШВК</t>
      </text>
    </comment>
    <comment authorId="0" ref="J324">
      <text>
        <t xml:space="preserve">======
ID#AAACHfa6bEU
RoPM    (2026-09-23 10:38:32)
- контроль вимірювань висоти виступання кульки Ø5,0 + 0,005 мм, з канавок ГУР над площиною ГУР</t>
      </text>
    </comment>
    <comment authorId="0" ref="P10">
      <text>
        <t xml:space="preserve">======
ID#AAACHfa6a8g
RoPM    (2026-09-23 10:38:32)
-контроль центрування ел. двигуна з виймальної частиною ГЦН</t>
      </text>
    </comment>
    <comment authorId="0" ref="D126">
      <text>
        <t xml:space="preserve">======
ID#AAACHfa6a8A
RoPM    (2026-09-23 10:38:32)
Контроль встановлення графітових переліжок перед ущільненням люка гарячого колектору I-го контуру</t>
      </text>
    </comment>
    <comment authorId="0" ref="F126">
      <text>
        <t xml:space="preserve">======
ID#AAACHfa6bEY
RoPM    (2026-09-23 10:38:32)
Контроль показників глибиноміра індикаторного при вимірі положення стрижнів шпильок М48 у вільному стані перед ущільненням люка гарячого колектору I-го контуру</t>
      </text>
    </comment>
    <comment authorId="0" ref="L324">
      <text>
        <t xml:space="preserve">======
ID#AAACHfa6bA0
RoPM    (2026-09-23 10:38:32)
- контроль вимірювань величини намину ГУР на поверхні ВБ</t>
      </text>
    </comment>
    <comment authorId="0" ref="H126">
      <text>
        <t xml:space="preserve">======
ID#AAACHfa6bBY
RoPM    (2026-09-23 10:38:32)
Контроль витяжки шпильок люка гарячого колектору I-го контуру, після випробування МПП</t>
      </text>
    </comment>
    <comment authorId="0" ref="N324">
      <text>
        <t xml:space="preserve">======
ID#AAACHfa6bEM
RoPM    (2026-09-23 10:38:32)
- контроль вимірювань положення кошика (при проведенні кап. ремонту)</t>
      </text>
    </comment>
    <comment authorId="0" ref="J126">
      <text>
        <t xml:space="preserve">======
ID#AAACHfa6bC8
RoPM    (2026-09-23 10:38:32)
Контроль встановлення графітових переліжок перед ущільненням люка гарячого колектору II-го контуру</t>
      </text>
    </comment>
    <comment authorId="0" ref="P324">
      <text>
        <t xml:space="preserve">======
ID#AAACHfa6a6E
RoPM    (2026-09-23 10:38:32)
- контроль наявності акту ВК-2, ВК-3 (копія), на прокладки з НП-2, Ø134/Ø142×4 мм, з РГ Ø162/Ø174×5,5 мм, для ущільнення фланцевих з'єднань чохлів АРК з патрубками ВБ;
- візуальний контроль прокладок перед встановленням;
- контроль вимірювань L0, початкового положення контрольних стрижнів шпильок М36;
- контроль вимірювань ΔL, різниця між кінцевим та початковим положенням контрольних стрижнів шпильок М36</t>
      </text>
    </comment>
    <comment authorId="0" ref="L126">
      <text>
        <t xml:space="preserve">======
ID#AAACHfa6bAc
RoPM    (2026-09-23 10:38:32)
Контроль показників глибиноміра індикаторного при вимірі положення стрижнів шпильок М48 у вільному стані перед ущільненням люка гарячого колектору II-го контуру</t>
      </text>
    </comment>
    <comment authorId="0" ref="Y43">
      <text>
        <t xml:space="preserve">======
ID#AAACHfa6bDk
RoPM    (2026-09-23 10:38:32)
контроль центрування агрегату</t>
      </text>
    </comment>
    <comment authorId="0" ref="R324">
      <text>
        <t xml:space="preserve">======
ID#AAACHfa6a7Q
RoPM    (2026-09-23 10:38:32)
- контроль наявності акту ВК-2, ВК-3 (копія), на прокладки з НП-2 Ø16/Ø20×2 мм, для ущільнення фланцевого з'єднання трубопроводів повітровідвідника чохлів АРК;
- візуальний контроль прокладок перед встановленням;
- контроль моменту затягування гайок фланцевого з'єднання</t>
      </text>
    </comment>
    <comment authorId="0" ref="T324">
      <text>
        <t xml:space="preserve">======
ID#AAACHfa6a9g
RoPM    (2026-09-23 10:38:32)
- контроль наявності акту ВК-2, ВК-3 (копія), на прокладки з РГ Ø225/Ø232×6 мм, для ущільнення фланцевих з'єднань приводів АРК з чохлами АРК;
- візуальний контроль прокладок перед  становленням;
- контроль вимірювань L0, початкового положення контрольних стрижнів шпильок М36;
- контроль моменту затягування гайок;
- контроль вимірювань ΔL, різниця між кінцевим та початковим положенням контрольних стрижнів шпильок М36</t>
      </text>
    </comment>
    <comment authorId="0" ref="N126">
      <text>
        <t xml:space="preserve">======
ID#AAACHfa6a2A
RoPM    (2026-09-23 10:38:32)
Контроль витяжки шпильок М48 люків гарячого колектору II-го контуру, після випробування МПП</t>
      </text>
    </comment>
    <comment authorId="0" ref="V324">
      <text>
        <t xml:space="preserve">======
ID#AAACHfSEtlY
RoPM    (2026-09-23 10:38:32)
- контроль наявності акту ВК-2, ВК-3 (копія), на прокладки з РГ Ø16/Ø20×4 мм, з РГ Ø32/Ø36×4,5 мм, для ущільнення фланцевого з'єднання трубопроводів охолодження приводів АРК;
- візуальний контроль прокладок перед встановленням;
- контроль моменту затягування гайок</t>
      </text>
    </comment>
    <comment authorId="0" ref="D176">
      <text>
        <t xml:space="preserve">======
ID#AAACHfa6a80
RoPM    (2026-09-23 10:38:32)
огляд внутрішньої поверхні корпусу</t>
      </text>
    </comment>
    <comment authorId="0" ref="D110">
      <text>
        <t xml:space="preserve">======
ID#AAACHfa6a6g
RoPM    (2026-09-23 10:38:32)
Контроль установки прокладок перед ущільненням люк-лазу</t>
      </text>
    </comment>
    <comment authorId="0" ref="F176">
      <text>
        <t xml:space="preserve">======
ID#AAACHfSEtlc
RoPM    (2026-09-23 10:38:32)
огляд ущільнюючих поверхонь корпусу</t>
      </text>
    </comment>
    <comment authorId="0" ref="D44">
      <text>
        <t xml:space="preserve">======
ID#AAACHfa6a-E
RoPM    (2026-09-23 10:38:32)
контроль центрування агрегату</t>
      </text>
    </comment>
    <comment authorId="0" ref="H176">
      <text>
        <t xml:space="preserve">======
ID#AAACHfa6a9w
RoPM    (2026-09-23 10:38:32)
огляд стану поверхонь роз'єму «кришка-корпус»</t>
      </text>
    </comment>
    <comment authorId="0" ref="F110">
      <text>
        <t xml:space="preserve">======
ID#AAACHfSEtlM
RoPM    (2026-09-23 10:38:32)
Контроль моменту затягування гайок 3-го проходу при ущільненні люк-лазу крутного моменту Мкр=287 кгс.м</t>
      </text>
    </comment>
    <comment authorId="0" ref="J176">
      <text>
        <t xml:space="preserve">======
ID#AAACHfa6a6w
RoPM    (2026-09-23 10:38:32)
огляд ущільнюючих поверхонь виймальних частин</t>
      </text>
    </comment>
    <comment authorId="0" ref="D127">
      <text>
        <t xml:space="preserve">======
ID#AAACHfa6bA8
RoPM    (2026-09-23 10:38:32)
Контроль встановлення графітових переліжок перед ущільненням люка холодного колектору I-го контуру</t>
      </text>
    </comment>
    <comment authorId="0" ref="F127">
      <text>
        <t xml:space="preserve">======
ID#AAACHfa6a1I
RoPM    (2026-09-23 10:38:32)
Контроль показаників глибиноміра індикаторного при вимірі положення стрижнів шпильок М48 у вільному стані перед ущільненням люка холодного колектору I-го контуру</t>
      </text>
    </comment>
    <comment authorId="0" ref="D28">
      <text>
        <t xml:space="preserve">======
ID#AAACHfa6a-A
RoPM    (2026-09-23 10:38:32)
контроль центрування агрегату</t>
      </text>
    </comment>
    <comment authorId="0" ref="H127">
      <text>
        <t xml:space="preserve">======
ID#AAACHfa6a34
RoPM    (2026-09-23 10:38:32)
Контроль витяжки шпильок М48 люка холодного колектору I-го контуру колектору, після випробування МПП</t>
      </text>
    </comment>
    <comment authorId="0" ref="J127">
      <text>
        <t xml:space="preserve">======
ID#AAACHfa6bDY
RoPM    (2026-09-23 10:38:32)
Контроль встановлення графітових переліжок перед ущільненням люка холодного колектору II-го контуру</t>
      </text>
    </comment>
    <comment authorId="0" ref="Y44">
      <text>
        <t xml:space="preserve">======
ID#AAACHfa6a7o
RoPM    (2026-09-23 10:38:32)
контроль центрування агрегату</t>
      </text>
    </comment>
    <comment authorId="0" ref="L127">
      <text>
        <t xml:space="preserve">======
ID#AAACHfa6a30
RoPM    (2026-09-23 10:38:32)
Контроль показників глибиноміра індикаторного при вимірі положення стрижнів шпильок М48 у вільному стані перед ущільненням люка холодного колектору II-го контуру</t>
      </text>
    </comment>
    <comment authorId="0" ref="N127">
      <text>
        <t xml:space="preserve">======
ID#AAACHfa6a5g
RoPM    (2026-09-23 10:38:32)
Контроль витяжки шпильок М48 люків холодного колектору II-го контуру, після випробування МПП</t>
      </text>
    </comment>
    <comment authorId="0" ref="D45">
      <text>
        <t xml:space="preserve">======
ID#AAACHfa6bEQ
RoPM    (2026-09-23 10:38:32)
контроль центрування агрегату</t>
      </text>
    </comment>
    <comment authorId="0" ref="D326">
      <text>
        <t xml:space="preserve">======
ID#AAACHfa6a7s
RoPM    (2026-09-23 10:38:32)
- контроль вимірювань відстані від жорстких упорівШВК до площини ГРР (розмір
Б) (при проведенні капітального ремонту)</t>
      </text>
    </comment>
    <comment authorId="0" ref="F326">
      <text>
        <t xml:space="preserve">======
ID#AAACHfa6bDM
RoPM    (2026-09-23 10:38:32)
- контроль вимірювань відстані від верху труб Ø65×8,5 мм, до площини ГРР (розмір В) (при заміні труб)</t>
      </text>
    </comment>
    <comment authorId="0" ref="D194">
      <text>
        <t xml:space="preserve">======
ID#AAACHfa6bAg
RoPM    (2026-09-23 10:38:32)
огляд внутрішньої поверхні корпусу</t>
      </text>
    </comment>
    <comment authorId="0" ref="H326">
      <text>
        <t xml:space="preserve">======
ID#AAACHfa6a_U
RoPM    (2026-09-23 10:38:32)
- контроль вимірювань положення кошика від гранованого поясу до ГРР за допомогою спец. інструменту (при проведенні капітального ремонту)</t>
      </text>
    </comment>
    <comment authorId="0" ref="D161">
      <text>
        <t xml:space="preserve">======
ID#AAACHfa6a6Y
Огляд ущільнюючих поверхонь    (2026-09-23 10:38:32)
люк-лазу деаераційної колонки "А"</t>
      </text>
    </comment>
    <comment authorId="0" ref="F194">
      <text>
        <t xml:space="preserve">======
ID#AAACHfa6bB8
RoPM    (2026-09-23 10:38:32)
огляд ущільнюючих поверхонь корпусу</t>
      </text>
    </comment>
    <comment authorId="0" ref="J326">
      <text>
        <t xml:space="preserve">======
ID#AAACHfa6bA4
RoPM    (2026-09-23 10:38:32)
- контроль вимірювань положення відстані від жорстких упорів БЗТ до площини ГРР (розмір А)</t>
      </text>
    </comment>
    <comment authorId="0" ref="D95">
      <text>
        <t xml:space="preserve">======
ID#AAACHfa6bD0
RoPM    (2026-09-23 10:38:32)
контроль биття і вертикальності осі валопроводу</t>
      </text>
    </comment>
    <comment authorId="0" ref="F161">
      <text>
        <t xml:space="preserve">======
ID#AAACHfa6a3A
Огляд ущільнюючих поверхонь    (2026-09-23 10:38:32)
люк-лазу деаераційної колонки "Б"</t>
      </text>
    </comment>
    <comment authorId="0" ref="L326">
      <text>
        <t xml:space="preserve">======
ID#AAACHfa6a5U
RoPM    (2026-09-23 10:38:32)
- контроль наявності свідоцтва (копія), про виготовлення прокладок з НП-2 Ø3435 мм, Ø3465 мм, Ø3775 мм, Ø3805 мм, для ущільнення ГРР;
- візуальний контроль установки і прилягання прокладок до бічних поверхонь канавок ГРР</t>
      </text>
    </comment>
    <comment authorId="0" ref="H194">
      <text>
        <t xml:space="preserve">======
ID#AAACHfa6a1A
RoPM    (2026-09-23 10:38:32)
огляд поверхонь роз'єму «кришка-корпус»</t>
      </text>
    </comment>
    <comment authorId="0" ref="H161">
      <text>
        <t xml:space="preserve">======
ID#AAACHfa6bB0
Огляд ущільнюючих поверхонь    (2026-09-23 10:38:32)
люк-лазу деаераторного баку</t>
      </text>
    </comment>
    <comment authorId="0" ref="F95">
      <text>
        <t xml:space="preserve">======
ID#AAACHfa6a-8
RoPM    (2026-09-23 10:38:32)
контроль проміжків між валом і вкладишами верхніх і нижніх
направляючих підшипників насоса</t>
      </text>
    </comment>
    <comment authorId="0" ref="J194">
      <text>
        <t xml:space="preserve">======
ID#AAACHfa6a6M
RoPM    (2026-09-23 10:38:32)
огляд ущільнюючих поверхонь виймальних частин</t>
      </text>
    </comment>
    <comment authorId="0" ref="N326">
      <text>
        <t xml:space="preserve">======
ID#AAACHfa6a4E
RoPM    (2026-09-23 10:38:32)
- контроль вимірювань L0, початкового положення контрольних стрижнів шпильок М140</t>
      </text>
    </comment>
    <comment authorId="0" ref="H95">
      <text>
        <t xml:space="preserve">======
ID#AAACHfa6bAw
RoPM    (2026-09-23 10:38:32)
контроль проміжків між ротором і вкладишами верхніх і нижніх направляючих підшипників електродвигуна</t>
      </text>
    </comment>
    <comment authorId="0" ref="P326">
      <text>
        <t xml:space="preserve">======
ID#AAACHfa6a-U
RoPM    (2026-09-23 10:38:32)
- контроль моменту затягування натискних гвинтів</t>
      </text>
    </comment>
    <comment authorId="0" ref="J95">
      <text>
        <t xml:space="preserve">======
ID#AAACHfa6a1w
RoPM    (2026-09-23 10:38:32)
контроль проміжків між ротором і вкладишами верхніх і нижніх направляючих підшипників електродвигуна</t>
      </text>
    </comment>
    <comment authorId="0" ref="Y45">
      <text>
        <t xml:space="preserve">======
ID#AAACHfa6a3s
RoPM    (2026-09-23 10:38:32)
контроль центрування агрегату</t>
      </text>
    </comment>
    <comment authorId="0" ref="R326">
      <text>
        <t xml:space="preserve">======
ID#AAACHfa6a20
RoPM    (2026-09-23 10:38:32)
- контроль вимірювань ΔL, різниця між кінцевим та початковим положенням
контрольних стрижнів шпильок М140</t>
      </text>
    </comment>
    <comment authorId="0" ref="D310">
      <text>
        <t xml:space="preserve">======
ID#AAACHfa6a_M
RoPM    (2026-09-23 10:38:32)
Перевірити
-на чистоту форсунки;
-тиск початку упорскування форсунки</t>
      </text>
    </comment>
    <comment authorId="0" ref="T326">
      <text>
        <t xml:space="preserve">======
ID#AAACHfa6a2U
RoPM    (2026-09-23 10:38:32)
- контроль наявності акту ВК-2, ВК-3 (копія), на прокладки з РГ Ø134/Ø143×5 мм, РГ Ø172/Ø180×5 мм, для ущільнення фланцевого з'єднання ТК та КНВ;
- візуальний контроль прокладок перед встановленням;
- контроль вимірювань L0, початкового положення контрольних стрижнів шпильокМ 36;
- контроль вимірювань ΔL, різниця між кінцевим та початковим положенням контрольних стрижнів шпильок М 36;
- контроль моменту затягування гайок гвинтів</t>
      </text>
    </comment>
    <comment authorId="0" ref="F310">
      <text>
        <t xml:space="preserve">======
ID#AAACHfa6a8Q
RoPM    (2026-09-23 10:38:32)
Перевірити центрування дизеля і генератора</t>
      </text>
    </comment>
    <comment authorId="0" ref="V326">
      <text>
        <t xml:space="preserve">======
ID#AAACHfa6bAY
RoPM    (2026-09-23 10:38:32)
- контроль наявності акту ВК-2, ВК-3 (копія), на прокладки з РГ Ø23/Ø31×9,8 для ущільнення датчиків КНВ;
- візуальний контроль прокладок перед встановленням;
- контроль моменту затягування гайок</t>
      </text>
    </comment>
    <comment authorId="0" ref="H310">
      <text>
        <t xml:space="preserve">======
ID#AAACHfa6bAM
RoPM    (2026-09-23 10:38:32)
Перевірка герметичності внутрішнього контуру охолодження</t>
      </text>
    </comment>
    <comment authorId="0" ref="J310">
      <text>
        <t xml:space="preserve">======
ID#AAACHfa6a2c
RoPM    (2026-09-23 10:38:32)
Виконати всі роботи передбачені ПР</t>
      </text>
    </comment>
    <comment authorId="0" ref="L310">
      <text>
        <t xml:space="preserve">======
ID#AAACHfa6a8I
RoPM    (2026-09-23 10:38:32)
Зробити вимір поршнів</t>
      </text>
    </comment>
    <comment authorId="0" ref="N310">
      <text>
        <t xml:space="preserve">======
ID#AAACHfa6bCs
RoPM    (2026-09-23 10:38:32)
Провести вимір висоти канавок під поршневі кільця і проміжку кільце-канавка</t>
      </text>
    </comment>
    <comment authorId="0" ref="P310">
      <text>
        <t xml:space="preserve">======
ID#AAACHfa6a1E
RoPM    (2026-09-23 10:38:32)
Зробити вимір поршневих кілець</t>
      </text>
    </comment>
    <comment authorId="0" ref="R310">
      <text>
        <t xml:space="preserve">======
ID#AAACHfa6a24
RoPM    (2026-09-23 10:38:32)
Виконати вимір вкладишів і втулок шатунів</t>
      </text>
    </comment>
    <comment authorId="0" ref="T310">
      <text>
        <t xml:space="preserve">======
ID#AAACHfa6a58
RoPM    (2026-09-23 10:38:32)
Виконати виміри корінних і шатунних шийок верхніх
колінчастих валів і шатунних шийок нижніх колінчастих валів</t>
      </text>
    </comment>
    <comment authorId="0" ref="V310">
      <text>
        <t xml:space="preserve">======
ID#AAACHfSEtlk
RoPM    (2026-09-23 10:38:32)
Іиміри масляного проміжку в корінних і шатунних підшипників колінчастих  валів</t>
      </text>
    </comment>
    <comment authorId="0" ref="D162">
      <text>
        <t xml:space="preserve">======
ID#AAACHfa6a_c
Огляд ущільнюючих поверхонь    (2026-09-23 10:38:32)
люк-лазу деаераційної колонки "А"</t>
      </text>
    </comment>
    <comment authorId="0" ref="F162">
      <text>
        <t xml:space="preserve">======
ID#AAACHfa6bD4
Огляд ущільнюючих поверхонь    (2026-09-23 10:38:32)
люк-лазу деаераційної колонки "А"</t>
      </text>
    </comment>
    <comment authorId="0" ref="H162">
      <text>
        <t xml:space="preserve">======
ID#AAACHfa6a1g
Огляд ущільнюючих поверхонь    (2026-09-23 10:38:32)
люк-лазу деаераційної колонки "А"</t>
      </text>
    </comment>
    <comment authorId="0" ref="D328">
      <text>
        <t xml:space="preserve">======
ID#AAACHfa6a5k
RoPM    (2026-09-23 10:38:32)
- контроль наявності акту ВК-2, ВК-3 (копія), на прокладки з сталі 08Х18Н10Т Ø115 ± 0,15 мм, для ущільнення фланцевих з'єднань трубопроводів шахтного об´єму;
- візуальний контроль прокладок перед встановленням;
- контроль моменту затягування гайок</t>
      </text>
    </comment>
    <comment authorId="0" ref="F328">
      <text>
        <t xml:space="preserve">======
ID#AAACHfa6a3E
RoPM    (2026-09-23 10:38:32)
- контроль наявності акту ВК-2, ВК-3 (копія), на прокладки з НП-2 Ø16/Ø20×2 мм, для ущільнення фланцевих з'єднань трубопроводів повітровідвідника та
газовидалення (САГ);
- візуальний контроль прокладок перед встановленням;
- контроль моменту затягування гайок</t>
      </text>
    </comment>
    <comment authorId="0" ref="H328">
      <text>
        <t xml:space="preserve">======
ID#AAACHfa6a54
RoPM    (2026-09-23 10:38:32)
- контроль наявності акту ВК-2, ВК-3 (копія), на прокладки з РГ Ø122/Ø128×5,2 мм, для ущільнення фланцевого з'єднання датчиків положення приводів АРК;
- візуальний контроль прокладок перед встановленням;
- контроль моменту затягування гайок</t>
      </text>
    </comment>
    <comment authorId="0" ref="J328">
      <text>
        <t xml:space="preserve">======
ID#AAACHfa6bBE
RoPM    (2026-09-23 10:38:32)
- контроль зусилля вижимання клапанів повітровідвідника до втулки чохлів АРК</t>
      </text>
    </comment>
    <comment authorId="0" ref="D64">
      <text>
        <t xml:space="preserve">======
ID#AAACHfa6a9A
RoPM    (2026-09-23 10:38:32)
контроль осьового розбігу ротора</t>
      </text>
    </comment>
    <comment authorId="0" ref="L328">
      <text>
        <t xml:space="preserve">======
ID#AAACHfa6a8c
RoPM    (2026-09-23 10:38:32)
- контроль зусилля вижимання клапанів знімних ділянок трубопроводів системи охолодження приводів АРК</t>
      </text>
    </comment>
    <comment authorId="0" ref="N328">
      <text>
        <t xml:space="preserve">======
ID#AAACHfa6a_A
RoPM    (2026-09-23 10:38:32)
- контроль вимірювань геометричних розмірів фланців патрубків ВБ, АРК в районі: Ø134/Ø142 мм</t>
      </text>
    </comment>
    <comment authorId="0" ref="F64">
      <text>
        <t xml:space="preserve">======
ID#AAACHfa6a1M
RoPM    (2026-09-23 10:38:32)
контроль масляних проміжків у підшипникових вузлах</t>
      </text>
    </comment>
    <comment authorId="0" ref="P328">
      <text>
        <t xml:space="preserve">======
ID#AAACHfa6a8M
RoPM    (2026-09-23 10:38:32)
- контроль вимірювань геометричних розмірів фланців патрубків ВБ, ТК та КНВ в районі: Ø172/Ø180 мм</t>
      </text>
    </comment>
    <comment authorId="0" ref="H64">
      <text>
        <t xml:space="preserve">======
ID#AAACHfa6a1Y
RoPM    (2026-09-23 10:38:32)
контроль центрування агрегату</t>
      </text>
    </comment>
    <comment authorId="0" ref="R328">
      <text>
        <t xml:space="preserve">======
ID#AAACHfa6a78
RoPM    (2026-09-23 10:38:32)
- контроль вимірювань геометричних розмірів фланців чохлів АРК в районі: Ø134×Ø142 мм</t>
      </text>
    </comment>
    <comment authorId="0" ref="D312">
      <text>
        <t xml:space="preserve">======
ID#AAACHfa6a5o
RoPM    (2026-09-23 10:38:32)
Перевірка висоти камери стиснення</t>
      </text>
    </comment>
    <comment authorId="0" ref="T328">
      <text>
        <t xml:space="preserve">======
ID#AAACHfa6a2g
RoPM    (2026-09-23 10:38:32)
- контроль виміру вимірювань геометричних розмірів фланців чохлів АРК в районі: Ø225/Ø232 мм</t>
      </text>
    </comment>
    <comment authorId="0" ref="V328">
      <text>
        <t xml:space="preserve">======
ID#AAACHfa6a_g
RoPM    (2026-09-23 10:38:32)
- контроль вимірювань геометричних розмірів фланців приводів АРК в районі: Ø225/Ø232 мм</t>
      </text>
    </comment>
    <comment authorId="0" ref="F312">
      <text>
        <t xml:space="preserve">======
ID#AAACHfa6a28
RoPM    (2026-09-23 10:38:32)
Виконати всі роботи передбачені ПР, СР</t>
      </text>
    </comment>
    <comment authorId="0" ref="H312">
      <text>
        <t xml:space="preserve">======
ID#AAACHfa6bEI
RoPM    (2026-09-23 10:38:32)
Перевірка на чистоту гільзи циліндрів і посадочні місця, виміри гільз</t>
      </text>
    </comment>
    <comment authorId="0" ref="J312">
      <text>
        <t xml:space="preserve">======
ID#AAACHfa6a74
RoPM    (2026-09-23 10:38:32)
Вимір проміжків по валу ротора і робочим колесам турбокомпресора</t>
      </text>
    </comment>
    <comment authorId="0" ref="D81">
      <text>
        <t xml:space="preserve">======
ID#AAACHfa6a7c
RoPM    (2026-09-23 10:38:32)
контроль масляних проміжків у підшипникових вузлах</t>
      </text>
    </comment>
    <comment authorId="0" ref="D48">
      <text>
        <t xml:space="preserve">======
ID#AAACHfa6a9o
RoPM    (2026-09-23 10:38:32)
контроль центрування агрегату</t>
      </text>
    </comment>
    <comment authorId="0" ref="F81">
      <text>
        <t xml:space="preserve">======
ID#AAACHfa6a-o
RoPM    (2026-09-23 10:38:32)
контроль центрування агрегату</t>
      </text>
    </comment>
    <comment authorId="0" ref="D296">
      <text>
        <t xml:space="preserve">======
ID#AAACHfa6a4g
RoPM    (2026-09-23 10:38:32)
огляд внутрішньої поверхні корпусу</t>
      </text>
    </comment>
    <comment authorId="0" ref="F296">
      <text>
        <t xml:space="preserve">======
ID#AAACHfa6a70
RoPM    (2026-09-23 10:38:32)
огляд клапана і ущільнюючої поверхні корпусу</t>
      </text>
    </comment>
    <comment authorId="0" ref="H296">
      <text>
        <t xml:space="preserve">======
ID#AAACHfa6a3Q
RoPM    (2026-09-23 10:38:32)
огляд стану поверхні роз'єму «кришка-корпус»</t>
      </text>
    </comment>
    <comment authorId="0" ref="J296">
      <text>
        <t xml:space="preserve">======
ID#AAACHfa6a8w
RoPM    (2026-09-23 10:38:32)
огляд ущільнюючих поверхонь виймальних частин</t>
      </text>
    </comment>
    <comment authorId="0" ref="D49">
      <text>
        <t xml:space="preserve">======
ID#AAACHfa6a-I
RoPM    (2026-09-23 10:38:32)
контроль центрування агрегату</t>
      </text>
    </comment>
    <comment authorId="0" ref="D330">
      <text>
        <t xml:space="preserve">======
ID#AAACHfa6a90
RoPM    (2026-09-23 10:38:32)
- контроль вимірювань геометричних розмірів фланців (знімних) ТК та КНВ в районі: Ø134/Ø143 мм, Ø172/Ø180 мм</t>
      </text>
    </comment>
    <comment authorId="0" ref="F330">
      <text>
        <t xml:space="preserve">======
ID#AAACHfa6a6k
RoPM    (2026-09-23 10:38:32)
- контроль виміру геометричних розмірів трубних дощок (стояків) ТК та ЕВ, на БЗТ в районі: Ø134/Ø143 мм</t>
      </text>
    </comment>
    <comment authorId="0" ref="H330">
      <text>
        <t xml:space="preserve">======
ID#AAACHfa6bCo
RoPM    (2026-09-23 10:38:32)
- контроль вимірювань геометричних розмірів фланців трубопроводів повітровідвідника чохлів АРК в районі: Ø16/Ø20 мм</t>
      </text>
    </comment>
    <comment authorId="0" ref="D165">
      <text>
        <t xml:space="preserve">======
ID#AAACHfa6bCA
Огляд ущільнюючих поверхонь    (2026-09-23 10:38:32)
люк-лазу нижньої трубної дошки відм. -3,6</t>
      </text>
    </comment>
    <comment authorId="0" ref="J330">
      <text>
        <t xml:space="preserve">======
ID#AAACHfa6a08
RoPM    (2026-09-23 10:38:32)
- контроль вимірювань геометричних розмірів фланців трубопроводів охолодження приводів АРК в районі: Ø16/Ø20 мм; Ø32/Ø36 мм</t>
      </text>
    </comment>
    <comment authorId="0" ref="F165">
      <text>
        <t xml:space="preserve">======
ID#AAACHfa6a1k
Огляд ущільнюючих поверхонь    (2026-09-23 10:38:32)
камери зливу КГП I ступень (за годинниковою стрілкою від люк-лазу) відм. -3,6</t>
      </text>
    </comment>
    <comment authorId="0" ref="L330">
      <text>
        <t xml:space="preserve">======
ID#AAACHfa6a64
RoPM    (2026-09-23 10:38:32)
- контроль вимірювань геометричних розмірів фланців трубопроводів шахтного обсягу в районі: Ø115±0,15 мм, 12±0,4 мм, 8±0,4 мм;, R4, 2,5√</t>
      </text>
    </comment>
    <comment authorId="0" ref="H165">
      <text>
        <t xml:space="preserve">======
ID#AAACHfa6a_s
Огляд ущільнюючих поверхонь    (2026-09-23 10:38:32)
камери зливу КГП ІІ ступень (за годинниковою стрілкою від люк-лазу) відм. -3,6</t>
      </text>
    </comment>
    <comment authorId="0" ref="D33">
      <text>
        <t xml:space="preserve">======
ID#AAACHfSEtlo
RoPM    (2026-09-23 10:38:32)
контроль центрування агрегату</t>
      </text>
    </comment>
    <comment authorId="0" ref="N330">
      <text>
        <t xml:space="preserve">======
ID#AAACHfa6bCw
RoPM    (2026-09-23 10:38:32)
- контроль вимірювань геометричних розмірів фланців трубопроводів повітровідвідника та САГ, в районі: Ø16/Ø20 мм</t>
      </text>
    </comment>
    <comment authorId="0" ref="J165">
      <text>
        <t xml:space="preserve">======
ID#AAACHfa6a94
Огляд ущільнюючих поверхонь    (2026-09-23 10:38:32)
камери зливу КГП I ступень (за годинниковою стрілкою від люк-лазу) відм. -3,6</t>
      </text>
    </comment>
    <comment authorId="0" ref="P330">
      <text>
        <t xml:space="preserve">======
ID#AAACHfa6a9Q
RoPM    (2026-09-23 10:38:32)
- контроль вимірювань геометричних розмірів показників положення в районі: Ø122/Ø128 мм</t>
      </text>
    </comment>
    <comment authorId="0" ref="L165">
      <text>
        <t xml:space="preserve">======
ID#AAACHfa6a2s
Огляд ущільнюючих поверхонь    (2026-09-23 10:38:32)
камери зливу КГП ІІ ступень (за годинниковою стрілкою від люк-лазу) відм. -3,6</t>
      </text>
    </comment>
    <comment authorId="0" ref="R330">
      <text>
        <t xml:space="preserve">======
ID#AAACHfa6a7k
RoPM    (2026-09-23 10:38:32)
- контроль вимірювань геометричних розмірів двигунів приводів АРК в районі: Ø122/Ø128 мм</t>
      </text>
    </comment>
    <comment authorId="0" ref="N165">
      <text>
        <t xml:space="preserve">======
ID#AAACHfa6a6c
Огляд ущільнюючих поверхонь    (2026-09-23 10:38:32)
люк-лазу верхньої трубної дошки відм. + 3,6</t>
      </text>
    </comment>
    <comment authorId="0" ref="T330">
      <text>
        <t xml:space="preserve">======
ID#AAACHfa6bDA
RoPM    (2026-09-23 10:38:32)
- контроль вимірювань геометричних розмірів ходу пружинних блоків</t>
      </text>
    </comment>
    <comment authorId="0" ref="D314">
      <text>
        <t xml:space="preserve">======
ID#AAACHfa6a-k
RoPM    (2026-09-23 10:38:32)
Перевірити
-на чистоту форсунки;
-тиск початку упорскування форсунки</t>
      </text>
    </comment>
    <comment authorId="0" ref="D281">
      <text>
        <t xml:space="preserve">======
ID#AAACHfa6a9M
RoPM    (2026-09-23 10:38:32)
огляд внутрішньої поверхні корпусу</t>
      </text>
    </comment>
    <comment authorId="0" ref="P165">
      <text>
        <t xml:space="preserve">======
ID#AAACHfa6bCg
Огляд ущільнюючих поверхонь    (2026-09-23 10:38:32)
камери гріючої пари I ступень (за годинниковою стрілкою від люк-лазу) відм. + 3,6</t>
      </text>
    </comment>
    <comment authorId="0" ref="F314">
      <text>
        <t xml:space="preserve">======
ID#AAACHfa6a-c
RoPM    (2026-09-23 10:38:32)
Перевірити центрування дизеля і генератора</t>
      </text>
    </comment>
    <comment authorId="0" ref="V330">
      <text>
        <t xml:space="preserve">======
ID#AAACHfa6a1Q
RoPM    (2026-09-23 10:38:32)
- контроль вимірювань наявності проміжків між секторами та натискним кільцем ВБ (розмір Д)</t>
      </text>
    </comment>
    <comment authorId="0" ref="F281">
      <text>
        <t xml:space="preserve">======
ID#AAACHfa6a-Q
RoPM    (2026-09-23 10:38:32)
огляд клапана і ущільнюючої поверхні корпусу</t>
      </text>
    </comment>
    <comment authorId="0" ref="R165">
      <text>
        <t xml:space="preserve">======
ID#AAACHfa6a2w
Огляд ущільнюючих поверхонь    (2026-09-23 10:38:32)
камери гріючої пари, ІІ ступень (за годинниковою стрілкою від люк-лазу) відм. + 3,6</t>
      </text>
    </comment>
    <comment authorId="0" ref="H314">
      <text>
        <t xml:space="preserve">======
ID#AAACHfa6a4U
RoPM    (2026-09-23 10:38:32)
Перевірка герметичності внутрішнього контуру охолодження</t>
      </text>
    </comment>
    <comment authorId="0" ref="H281">
      <text>
        <t xml:space="preserve">======
ID#AAACHfa6a-w
RoPM    (2026-09-23 10:38:32)
огляд стану поверхні роз'єму «кришка-корпус»</t>
      </text>
    </comment>
    <comment authorId="0" ref="T165">
      <text>
        <t xml:space="preserve">======
ID#AAACHfa6a4Q
Огляд ущільнюючих поверхонь    (2026-09-23 10:38:32)
камери гріючої пари I ступень (за годинниковою стрілкою від люк-лазу) відм. + 3,6</t>
      </text>
    </comment>
    <comment authorId="0" ref="D116">
      <text>
        <t xml:space="preserve">======
ID#AAACHfa6a_o
RoPM    (2026-09-23 10:38:32)
Контроль встановлення прокладок СНП перед ущільненням головного раз’єму</t>
      </text>
    </comment>
    <comment authorId="0" ref="J314">
      <text>
        <t xml:space="preserve">======
ID#AAACHfa6a44
RoPM    (2026-09-23 10:38:32)
Виконати всі роботи передбачені ПР</t>
      </text>
    </comment>
    <comment authorId="0" ref="V165">
      <text>
        <t xml:space="preserve">======
ID#AAACHfa6a8s
Огляд ущільнюючих поверхонь    (2026-09-23 10:38:32)
камери гріючої пари, ІІ ступень (за годинниковою стрілкою від люк-лазу) відм. + 3,6</t>
      </text>
    </comment>
    <comment authorId="0" ref="J281">
      <text>
        <t xml:space="preserve">======
ID#AAACHfa6a18
RoPM    (2026-09-23 10:38:32)
огляд ущільнюючих поверхонь виймальних частин</t>
      </text>
    </comment>
    <comment authorId="0" ref="F116">
      <text>
        <t xml:space="preserve">======
ID#AAACHfa6a_8
RoPM    (2026-09-23 10:38:32)
Контроль моменту затягування гайок М64 3-го проходу головного роз'єму</t>
      </text>
    </comment>
    <comment authorId="0" ref="D50">
      <text>
        <t xml:space="preserve">======
ID#AAACHfa6a_E
RoPM    (2026-09-23 10:38:32)
контроль центрування агрегату</t>
      </text>
    </comment>
    <comment authorId="0" ref="L314">
      <text>
        <t xml:space="preserve">======
ID#AAACHfSEtlU
RoPM    (2026-09-23 10:38:32)
Зробити вимір поршнів</t>
      </text>
    </comment>
    <comment authorId="0" ref="X165">
      <text>
        <t xml:space="preserve">======
ID#AAACHfa6bAI
Огляд ущільнюючих поверхонь    (2026-09-23 10:38:32)
люк-лазу СПП, відм. + 7</t>
      </text>
    </comment>
    <comment authorId="0" ref="N314">
      <text>
        <t xml:space="preserve">======
ID#AAACHfa6bD8
RoPM    (2026-09-23 10:38:32)
Провести вимір висоти канавок під поршневі кільця і проміжку кільце-канавка</t>
      </text>
    </comment>
    <comment authorId="0" ref="P314">
      <text>
        <t xml:space="preserve">======
ID#AAACHfa6bDg
RoPM    (2026-09-23 10:38:32)
Зробити вимір поршневих кілець</t>
      </text>
    </comment>
    <comment authorId="0" ref="R314">
      <text>
        <t xml:space="preserve">======
ID#AAACHfa6a-s
RoPM    (2026-09-23 10:38:32)
Виконати вимір вкладишів і втулок шатунів</t>
      </text>
    </comment>
    <comment authorId="0" ref="T314">
      <text>
        <t xml:space="preserve">======
ID#AAACHfa6bCQ
RoPM    (2026-09-23 10:38:32)
Виконати виміри корінних і шатунних шийок верхніх
колінчастих валів і шатунних шийок нижніх колінчастих валів</t>
      </text>
    </comment>
    <comment authorId="0" ref="D265">
      <text>
        <t xml:space="preserve">======
ID#AAACHfa6bAQ
RoPM    (2026-09-23 10:38:32)
огляд внутрішньої поверхні корпусу</t>
      </text>
    </comment>
    <comment authorId="0" ref="D232">
      <text>
        <t xml:space="preserve">======
ID#AAACHfa6bAo
RoPM    (2026-09-23 10:38:32)
огляд внутрішньої поверхні корпусу</t>
      </text>
    </comment>
    <comment authorId="0" ref="V314">
      <text>
        <t xml:space="preserve">======
ID#AAACHfa6a84
RoPM    (2026-09-23 10:38:32)
Іиміри масляного проміжку в корінних і шатунних підшипників колінчастих  валів</t>
      </text>
    </comment>
    <comment authorId="0" ref="F265">
      <text>
        <t xml:space="preserve">======
ID#AAACHfa6bC4
RoPM    (2026-09-23 10:38:32)
огляд ущільнюючих поверхонь корпусу</t>
      </text>
    </comment>
    <comment authorId="0" ref="F232">
      <text>
        <t xml:space="preserve">======
ID#AAACHfa6a8k
RoPM    (2026-09-23 10:38:32)
огляд ущільнюючих поверхонь корпусу</t>
      </text>
    </comment>
    <comment authorId="0" ref="H265">
      <text>
        <t xml:space="preserve">======
ID#AAACHfa6a4s
RoPM    (2026-09-23 10:38:32)
огляд стану поверхні роз'єму «кришка-корпус»</t>
      </text>
    </comment>
  </commentList>
  <extLst>
    <ext uri="GoogleSheetsCustomDataVersion2">
      <go:sheetsCustomData xmlns:go="http://customooxmlschemas.google.com/" r:id="rId1" roundtripDataSignature="AMtx7mi7wFMCFx+5Aq1lvUZuz92GucFCtQ=="/>
    </ext>
  </extLst>
</comments>
</file>

<file path=xl/sharedStrings.xml><?xml version="1.0" encoding="utf-8"?>
<sst xmlns="http://schemas.openxmlformats.org/spreadsheetml/2006/main" count="624" uniqueCount="370">
  <si>
    <t>Насоси</t>
  </si>
  <si>
    <t>Посудини</t>
  </si>
  <si>
    <t>Арматура</t>
  </si>
  <si>
    <t>Дизелі</t>
  </si>
  <si>
    <t>Реактор</t>
  </si>
  <si>
    <t>Діаграма</t>
  </si>
  <si>
    <r>
      <rPr>
        <rFont val="Times New Roman"/>
        <b/>
        <color theme="1"/>
        <sz val="12.0"/>
      </rPr>
      <t xml:space="preserve">      Сьогодні прийнято</t>
    </r>
    <r>
      <rPr>
        <rFont val="Times New Roman"/>
        <b/>
        <color theme="1"/>
        <sz val="11.0"/>
      </rPr>
      <t xml:space="preserve"> </t>
    </r>
  </si>
  <si>
    <t>к.о.</t>
  </si>
  <si>
    <t xml:space="preserve">Персональні коди працівників </t>
  </si>
  <si>
    <t>КР</t>
  </si>
  <si>
    <t>ПР</t>
  </si>
  <si>
    <t>№       п/п</t>
  </si>
  <si>
    <t>Найменування обладнання</t>
  </si>
  <si>
    <t xml:space="preserve">Вид ремо-нту </t>
  </si>
  <si>
    <t>Шифр контрольних операцій/дата виконання/персональний код</t>
  </si>
  <si>
    <t>Примітки</t>
  </si>
  <si>
    <t>ТО</t>
  </si>
  <si>
    <t>СР</t>
  </si>
  <si>
    <t>РЦ-1</t>
  </si>
  <si>
    <r>
      <rPr>
        <rFont val="Times New Roman"/>
        <color rgb="FF000000"/>
        <sz val="14.0"/>
      </rPr>
      <t>Головний циркуляційний насос тип</t>
    </r>
    <r>
      <rPr>
        <rFont val="Times New Roman"/>
        <b/>
        <color rgb="FF000000"/>
        <sz val="14.0"/>
      </rPr>
      <t xml:space="preserve"> ГЦН-317</t>
    </r>
  </si>
  <si>
    <t xml:space="preserve"> </t>
  </si>
  <si>
    <t>1ГЦН-1</t>
  </si>
  <si>
    <t>///</t>
  </si>
  <si>
    <t>1ГЦН-2</t>
  </si>
  <si>
    <t>1ГЦН-3</t>
  </si>
  <si>
    <t>1ГЦН-4</t>
  </si>
  <si>
    <t>1ГЦН-5</t>
  </si>
  <si>
    <t>1ГЦН-6</t>
  </si>
  <si>
    <r>
      <rPr>
        <rFont val="Times New Roman"/>
        <color rgb="FF000000"/>
        <sz val="14.0"/>
      </rPr>
      <t xml:space="preserve">Насос аварійного вводу бора, тип </t>
    </r>
    <r>
      <rPr>
        <rFont val="Times New Roman"/>
        <b/>
        <color rgb="FF000000"/>
        <sz val="14.0"/>
      </rPr>
      <t>ЦН 65-130</t>
    </r>
  </si>
  <si>
    <t>1НАП-1</t>
  </si>
  <si>
    <t>1НАП-2</t>
  </si>
  <si>
    <t>1НАП-3</t>
  </si>
  <si>
    <r>
      <rPr>
        <rFont val="Times New Roman"/>
        <color rgb="FF000000"/>
        <sz val="14.0"/>
      </rPr>
      <t xml:space="preserve">Живильний насос, тип </t>
    </r>
    <r>
      <rPr>
        <rFont val="Times New Roman"/>
        <b/>
        <color rgb="FF000000"/>
        <sz val="14.0"/>
      </rPr>
      <t>ЦН 50-135</t>
    </r>
  </si>
  <si>
    <t>1НБП-1</t>
  </si>
  <si>
    <t>1НБП-2</t>
  </si>
  <si>
    <t>1НБП-3</t>
  </si>
  <si>
    <r>
      <rPr>
        <rFont val="Times New Roman"/>
        <color rgb="FF000000"/>
        <sz val="14.0"/>
      </rPr>
      <t xml:space="preserve">Спринклерний насос, тип </t>
    </r>
    <r>
      <rPr>
        <rFont val="Times New Roman"/>
        <b/>
        <color rgb="FF000000"/>
        <sz val="14.0"/>
      </rPr>
      <t>8 НДВХ-СД</t>
    </r>
  </si>
  <si>
    <t>1НС-1</t>
  </si>
  <si>
    <t>1НС-2</t>
  </si>
  <si>
    <t>1НС-3</t>
  </si>
  <si>
    <r>
      <rPr>
        <rFont val="Times New Roman"/>
        <color rgb="FF000000"/>
        <sz val="14.0"/>
      </rPr>
      <t xml:space="preserve">Насос промконтура </t>
    </r>
    <r>
      <rPr>
        <rFont val="Times New Roman"/>
        <b/>
        <color rgb="FF000000"/>
        <sz val="14.0"/>
      </rPr>
      <t>ГЦН</t>
    </r>
    <r>
      <rPr>
        <rFont val="Times New Roman"/>
        <color rgb="FF000000"/>
        <sz val="14.0"/>
      </rPr>
      <t xml:space="preserve">, тип </t>
    </r>
    <r>
      <rPr>
        <rFont val="Times New Roman"/>
        <b/>
        <color rgb="FF000000"/>
        <sz val="14.0"/>
      </rPr>
      <t>8 НДВХ-СД</t>
    </r>
  </si>
  <si>
    <t>1НПКГ-1</t>
  </si>
  <si>
    <t>1НПКГ-2</t>
  </si>
  <si>
    <t>1НПКГ-3</t>
  </si>
  <si>
    <r>
      <rPr>
        <rFont val="Times New Roman"/>
        <color rgb="FF000000"/>
        <sz val="14.0"/>
      </rPr>
      <t xml:space="preserve">Насос промконтура САОЗ, тип </t>
    </r>
    <r>
      <rPr>
        <rFont val="Times New Roman"/>
        <b/>
        <color rgb="FF000000"/>
        <sz val="14.0"/>
      </rPr>
      <t>Х 860Е-2Г</t>
    </r>
  </si>
  <si>
    <t>1НПКА-1</t>
  </si>
  <si>
    <t>1НПКА-2</t>
  </si>
  <si>
    <t>1НПКА-3</t>
  </si>
  <si>
    <r>
      <rPr>
        <rFont val="Times New Roman"/>
        <color rgb="FF000000"/>
        <sz val="14.0"/>
      </rPr>
      <t xml:space="preserve">Насос організованих протікань, тип </t>
    </r>
    <r>
      <rPr>
        <rFont val="Times New Roman"/>
        <b/>
        <color rgb="FF000000"/>
        <sz val="14.0"/>
      </rPr>
      <t>Х 20-53-Е-2Г</t>
    </r>
  </si>
  <si>
    <t>1НОП-1</t>
  </si>
  <si>
    <t>М/Р</t>
  </si>
  <si>
    <t>1НОП-2</t>
  </si>
  <si>
    <t>1НОП-3</t>
  </si>
  <si>
    <t>1НПКС-1</t>
  </si>
  <si>
    <t>1НПКС-2</t>
  </si>
  <si>
    <t>1НПКС-3</t>
  </si>
  <si>
    <r>
      <rPr>
        <rFont val="Times New Roman"/>
        <color rgb="FF000000"/>
        <sz val="14.0"/>
      </rPr>
      <t>Бустерний насос тип</t>
    </r>
    <r>
      <rPr>
        <rFont val="Times New Roman"/>
        <b/>
        <color rgb="FF000000"/>
        <sz val="14.0"/>
      </rPr>
      <t xml:space="preserve"> АХ 90/49-К-2Г</t>
    </r>
  </si>
  <si>
    <t>1БНБП-1</t>
  </si>
  <si>
    <t>1БНБП-2</t>
  </si>
  <si>
    <t>1БНБП-3</t>
  </si>
  <si>
    <r>
      <rPr>
        <rFont val="Times New Roman"/>
        <color rgb="FF000000"/>
        <sz val="14.0"/>
      </rPr>
      <t>Насос аварійного охолодження тип</t>
    </r>
    <r>
      <rPr>
        <rFont val="Times New Roman"/>
        <b/>
        <color rgb="FF000000"/>
        <sz val="14.0"/>
      </rPr>
      <t xml:space="preserve"> Х-280/72-К-2Г</t>
    </r>
  </si>
  <si>
    <t>1НОР-1</t>
  </si>
  <si>
    <t>1НОР-2</t>
  </si>
  <si>
    <t>1НОР-3</t>
  </si>
  <si>
    <t>ТЦ-1</t>
  </si>
  <si>
    <r>
      <rPr>
        <rFont val="Times New Roman"/>
        <color rgb="FF000000"/>
        <sz val="14.0"/>
      </rPr>
      <t>Живильний насос тип</t>
    </r>
    <r>
      <rPr>
        <rFont val="Times New Roman"/>
        <b/>
        <color rgb="FF000000"/>
        <sz val="14.0"/>
      </rPr>
      <t xml:space="preserve"> ПЭА 850-65</t>
    </r>
  </si>
  <si>
    <t>1ЖЕН-1</t>
  </si>
  <si>
    <t>1ЖЕН-2</t>
  </si>
  <si>
    <t>1ЖЕН-3</t>
  </si>
  <si>
    <t>1ЖЕН-4</t>
  </si>
  <si>
    <t>1ЖЕН-5</t>
  </si>
  <si>
    <r>
      <rPr>
        <rFont val="Times New Roman"/>
        <color rgb="FF000000"/>
        <sz val="14.0"/>
      </rPr>
      <t xml:space="preserve">Аварійний живильний насос тип </t>
    </r>
    <r>
      <rPr>
        <rFont val="Times New Roman"/>
        <b/>
        <color rgb="FF000000"/>
        <sz val="14.0"/>
      </rPr>
      <t>ПЭА 65-50</t>
    </r>
  </si>
  <si>
    <t>1АЖЕН-1</t>
  </si>
  <si>
    <t>1АЖЕН-2</t>
  </si>
  <si>
    <r>
      <rPr>
        <rFont val="Times New Roman"/>
        <color rgb="FF000000"/>
        <sz val="14.0"/>
      </rPr>
      <t xml:space="preserve">Додаткоий аварійний живильний тип </t>
    </r>
    <r>
      <rPr>
        <rFont val="Times New Roman"/>
        <b/>
        <color rgb="FF000000"/>
        <sz val="14.0"/>
      </rPr>
      <t>ПЭА 65-50</t>
    </r>
  </si>
  <si>
    <t>1ДАЖЕН-1</t>
  </si>
  <si>
    <t>1ДАЖЕН-2</t>
  </si>
  <si>
    <t>1ДАЖЕН-3</t>
  </si>
  <si>
    <r>
      <rPr>
        <rFont val="Times New Roman"/>
        <color rgb="FF000000"/>
        <sz val="14.0"/>
      </rPr>
      <t>Насос розхолоджування тип</t>
    </r>
    <r>
      <rPr>
        <rFont val="Times New Roman"/>
        <b/>
        <color rgb="FF000000"/>
        <sz val="14.0"/>
      </rPr>
      <t xml:space="preserve"> СЭ 500-70</t>
    </r>
  </si>
  <si>
    <t>1НР-1</t>
  </si>
  <si>
    <t>1НР-2</t>
  </si>
  <si>
    <t>1НР-3</t>
  </si>
  <si>
    <r>
      <rPr>
        <rFont val="Times New Roman"/>
        <color rgb="FF000000"/>
        <sz val="14.0"/>
      </rPr>
      <t xml:space="preserve">Конденсатний насос тип </t>
    </r>
    <r>
      <rPr>
        <rFont val="Times New Roman"/>
        <b/>
        <color rgb="FF000000"/>
        <sz val="14.0"/>
      </rPr>
      <t>КсВА 500-220</t>
    </r>
  </si>
  <si>
    <t>КЭН-1А</t>
  </si>
  <si>
    <t>КЭН-1Б</t>
  </si>
  <si>
    <t>КЭН-1В</t>
  </si>
  <si>
    <t>КЭН-2А</t>
  </si>
  <si>
    <t>КЭН-2Б</t>
  </si>
  <si>
    <t>заміна насосу</t>
  </si>
  <si>
    <t>КЭН-2В</t>
  </si>
  <si>
    <t>ГТЦ</t>
  </si>
  <si>
    <t>1ЦН-1А</t>
  </si>
  <si>
    <t>1ЦН-1Б</t>
  </si>
  <si>
    <t>1ЦН-2А</t>
  </si>
  <si>
    <t>1ЦН-2Б</t>
  </si>
  <si>
    <r>
      <rPr>
        <rFont val="Times New Roman"/>
        <color rgb="FF000000"/>
        <sz val="14.0"/>
      </rPr>
      <t xml:space="preserve">Насос градірні тип </t>
    </r>
    <r>
      <rPr>
        <rFont val="Times New Roman"/>
        <b/>
        <color rgb="FF000000"/>
        <sz val="14.0"/>
      </rPr>
      <t>ОПВ10-185 ЭГ</t>
    </r>
  </si>
  <si>
    <t>1НГ-1А</t>
  </si>
  <si>
    <t>1НГ-1Б</t>
  </si>
  <si>
    <t>ПОСУДИНИ</t>
  </si>
  <si>
    <r>
      <rPr>
        <rFont val="Times New Roman"/>
        <color rgb="FF000000"/>
        <sz val="14.0"/>
      </rPr>
      <t xml:space="preserve">Компенсатор тиску, </t>
    </r>
    <r>
      <rPr>
        <rFont val="Times New Roman"/>
        <b/>
        <color rgb="FF000000"/>
        <sz val="14.0"/>
      </rPr>
      <t>КТ</t>
    </r>
  </si>
  <si>
    <t>1КО</t>
  </si>
  <si>
    <t>Гидроемкости САОЗ</t>
  </si>
  <si>
    <t>1ГЕ-1</t>
  </si>
  <si>
    <t>1ГЕ-2</t>
  </si>
  <si>
    <t>1ГЕ-3</t>
  </si>
  <si>
    <t>1ГЕ-4</t>
  </si>
  <si>
    <r>
      <rPr>
        <rFont val="Times New Roman"/>
        <color rgb="FF000000"/>
        <sz val="14.0"/>
      </rPr>
      <t xml:space="preserve">Аніонітний фільтр, </t>
    </r>
    <r>
      <rPr>
        <rFont val="Times New Roman"/>
        <b/>
        <color rgb="FF000000"/>
        <sz val="14.0"/>
      </rPr>
      <t>АФ</t>
    </r>
  </si>
  <si>
    <t>1АФ</t>
  </si>
  <si>
    <r>
      <rPr>
        <rFont val="Times New Roman"/>
        <color rgb="FF000000"/>
        <sz val="14.0"/>
      </rPr>
      <t>Катіонітний фільтр, К</t>
    </r>
    <r>
      <rPr>
        <rFont val="Times New Roman"/>
        <b/>
        <color rgb="FF000000"/>
        <sz val="14.0"/>
      </rPr>
      <t>Ф</t>
    </r>
  </si>
  <si>
    <t>1КФ</t>
  </si>
  <si>
    <r>
      <rPr>
        <rFont val="Times New Roman"/>
        <color rgb="FF000000"/>
        <sz val="14.0"/>
      </rPr>
      <t xml:space="preserve">Фільтр змішаної дії, </t>
    </r>
    <r>
      <rPr>
        <rFont val="Times New Roman"/>
        <b/>
        <color rgb="FF000000"/>
        <sz val="14.0"/>
      </rPr>
      <t>ФСД</t>
    </r>
  </si>
  <si>
    <t>1ФСД</t>
  </si>
  <si>
    <r>
      <rPr>
        <rFont val="Times New Roman"/>
        <color rgb="FF000000"/>
        <sz val="14.0"/>
      </rPr>
      <t xml:space="preserve">Парогенератор тип </t>
    </r>
    <r>
      <rPr>
        <rFont val="Times New Roman"/>
        <b/>
        <color rgb="FF000000"/>
        <sz val="14.0"/>
      </rPr>
      <t>ПГВ-213</t>
    </r>
  </si>
  <si>
    <t>I-I</t>
  </si>
  <si>
    <t>I-II</t>
  </si>
  <si>
    <t>I-III</t>
  </si>
  <si>
    <t>II-I</t>
  </si>
  <si>
    <t>II-II</t>
  </si>
  <si>
    <t>II-III</t>
  </si>
  <si>
    <t>ІІІ-І</t>
  </si>
  <si>
    <t>ІІІ-ІІ</t>
  </si>
  <si>
    <t>IV-I</t>
  </si>
  <si>
    <t>IV-II</t>
  </si>
  <si>
    <t>Колектор</t>
  </si>
  <si>
    <t>1ПГ-1</t>
  </si>
  <si>
    <t>Гарячий</t>
  </si>
  <si>
    <t>Холодний</t>
  </si>
  <si>
    <t>1ПГ-2</t>
  </si>
  <si>
    <t>1ПГ-3</t>
  </si>
  <si>
    <t>1ПГ-4</t>
  </si>
  <si>
    <t>1ПГ-5</t>
  </si>
  <si>
    <t>1ПГ-6</t>
  </si>
  <si>
    <r>
      <rPr>
        <rFont val="Times New Roman"/>
        <color rgb="FF000000"/>
        <sz val="14.0"/>
      </rPr>
      <t xml:space="preserve">Підігрівачі низького тиску тип </t>
    </r>
    <r>
      <rPr>
        <rFont val="Times New Roman"/>
        <b/>
        <color rgb="FF000000"/>
        <sz val="14.0"/>
      </rPr>
      <t>ПН-800-29-7-IIIА (IVA, VA)</t>
    </r>
  </si>
  <si>
    <t>1ПНД-1</t>
  </si>
  <si>
    <t>1ПНД-2</t>
  </si>
  <si>
    <t>1ПНД-3</t>
  </si>
  <si>
    <t>1ПНД-4</t>
  </si>
  <si>
    <t>1ПНД-5</t>
  </si>
  <si>
    <t>2ПНД-1</t>
  </si>
  <si>
    <t>2ПНД-2</t>
  </si>
  <si>
    <t>2ПНД-3</t>
  </si>
  <si>
    <t>2ПНД-4</t>
  </si>
  <si>
    <t>2ПНД-5</t>
  </si>
  <si>
    <r>
      <rPr>
        <rFont val="Times New Roman"/>
        <color rgb="FF000000"/>
        <sz val="14.0"/>
      </rPr>
      <t xml:space="preserve">Підігрівачі високого тиску тип </t>
    </r>
    <r>
      <rPr>
        <rFont val="Times New Roman"/>
        <b/>
        <color rgb="FF000000"/>
        <sz val="14.0"/>
      </rPr>
      <t>ПВ-1600-92-15А (20А, 30А)</t>
    </r>
  </si>
  <si>
    <t>1ПВД-6</t>
  </si>
  <si>
    <t>1ПВД-7</t>
  </si>
  <si>
    <t>1ПВД-8</t>
  </si>
  <si>
    <t>2ПВД-6</t>
  </si>
  <si>
    <t>2ПВД-7</t>
  </si>
  <si>
    <t>2ПВД-8</t>
  </si>
  <si>
    <r>
      <rPr>
        <rFont val="Times New Roman"/>
        <color rgb="FF000000"/>
        <sz val="14.0"/>
      </rPr>
      <t xml:space="preserve">Деаератор тип </t>
    </r>
    <r>
      <rPr>
        <rFont val="Times New Roman"/>
        <b/>
        <color rgb="FF000000"/>
        <sz val="14.0"/>
      </rPr>
      <t>ДП-2000 (2Х1000)-120</t>
    </r>
  </si>
  <si>
    <t>Д-1</t>
  </si>
  <si>
    <t>Д-2</t>
  </si>
  <si>
    <r>
      <rPr>
        <rFont val="Times New Roman"/>
        <color rgb="FF000000"/>
        <sz val="14.0"/>
      </rPr>
      <t xml:space="preserve">Сеператор-пароперегрівач, тип </t>
    </r>
    <r>
      <rPr>
        <rFont val="Times New Roman"/>
        <b/>
        <color rgb="FF000000"/>
        <sz val="14.0"/>
      </rPr>
      <t>СПП-220М</t>
    </r>
  </si>
  <si>
    <t>СПП-1А</t>
  </si>
  <si>
    <t>СПП-1Б</t>
  </si>
  <si>
    <t>СПП-2А</t>
  </si>
  <si>
    <t>СПП-2Б</t>
  </si>
  <si>
    <t>АРМАТУРА</t>
  </si>
  <si>
    <t>Вентиль регулирующий на линии впрыска в КО, тип Pos.4.1.1/Stalventil 346-426/DN100</t>
  </si>
  <si>
    <t>1КО-6</t>
  </si>
  <si>
    <t>Арматура на линии впрыска в КО, тип Pos.1.1 NICO2000 102-126 III DN50, А10823А-0160 АRАKO*</t>
  </si>
  <si>
    <t>1КО9-1</t>
  </si>
  <si>
    <t>1КО9-2</t>
  </si>
  <si>
    <t>1КО9-3</t>
  </si>
  <si>
    <t>1КО9-4</t>
  </si>
  <si>
    <t>1КО10-1</t>
  </si>
  <si>
    <t>1КО10-3</t>
  </si>
  <si>
    <t>1КО10-4</t>
  </si>
  <si>
    <t>1КО11-1</t>
  </si>
  <si>
    <t>1КО11-2</t>
  </si>
  <si>
    <t>1КО11-3</t>
  </si>
  <si>
    <t>1КО11-4</t>
  </si>
  <si>
    <t>ИПУ  КО, тип P.O.S.R.V.TANDEM0.76.0447.000</t>
  </si>
  <si>
    <t>1ИПУ КД-1</t>
  </si>
  <si>
    <t>1ИПУ КД-2</t>
  </si>
  <si>
    <t>ПК САОЗ, гидроемкости тип УФ 50023-025</t>
  </si>
  <si>
    <t>1ИПУ1Г-1</t>
  </si>
  <si>
    <t>1ИПУ1Г-2</t>
  </si>
  <si>
    <t>1ИПУ1Г-3</t>
  </si>
  <si>
    <t>1ИПУ1Г-4</t>
  </si>
  <si>
    <t>1ИПУ2Г-1</t>
  </si>
  <si>
    <t>1ИПУ2Г-2</t>
  </si>
  <si>
    <t>1ИПУ2Г-3</t>
  </si>
  <si>
    <t>1ИПУ2Г-4</t>
  </si>
  <si>
    <t>Главные запорные задвижки (ГЗЗ), тип С 23 204 О Р125-500</t>
  </si>
  <si>
    <t>1Р1-1</t>
  </si>
  <si>
    <t>1Р2-1</t>
  </si>
  <si>
    <t>1Р1-2</t>
  </si>
  <si>
    <t>1Р2-2</t>
  </si>
  <si>
    <t>1Р1-3</t>
  </si>
  <si>
    <t>1Р2-3</t>
  </si>
  <si>
    <t>1Р1-4</t>
  </si>
  <si>
    <t>1Р2-4</t>
  </si>
  <si>
    <t>1Р1-5</t>
  </si>
  <si>
    <t>1Р2-5</t>
  </si>
  <si>
    <t>1Р1-6</t>
  </si>
  <si>
    <t>1Р2-6</t>
  </si>
  <si>
    <t xml:space="preserve"> ПК ИПУ ПГ, тип  SGSV4  0.76.0368.000/B “SEBIM”</t>
  </si>
  <si>
    <t>1ИПУ 1 ПГ-1</t>
  </si>
  <si>
    <t>1ИПУ 2 ПГ-1</t>
  </si>
  <si>
    <t>1ИПУ 1 ПГ-2</t>
  </si>
  <si>
    <t>1ИПУ 2 ПГ-2</t>
  </si>
  <si>
    <t>1ИПУ 1 ПГ-3</t>
  </si>
  <si>
    <t>1ИПУ 2 ПГ-3</t>
  </si>
  <si>
    <t>1ИПУ 1 ПГ-4</t>
  </si>
  <si>
    <t>1ИПУ 2 ПГ-4</t>
  </si>
  <si>
    <t>1ИПУ 1 ПГ-5</t>
  </si>
  <si>
    <t>1ИПУ 2 ПГ-5</t>
  </si>
  <si>
    <t>1ИПУ 1 ПГ-6</t>
  </si>
  <si>
    <t>1ИПУ 2 ПГ-6</t>
  </si>
  <si>
    <t>БЗОК на выходе пара из ПГ, тип  121-523 DN 450</t>
  </si>
  <si>
    <t>1П1-1</t>
  </si>
  <si>
    <t>1П2-1</t>
  </si>
  <si>
    <t>1П3-1</t>
  </si>
  <si>
    <t>1П4-1</t>
  </si>
  <si>
    <t>1П5-1</t>
  </si>
  <si>
    <t>1П6-1</t>
  </si>
  <si>
    <t>Рег. уровня в ПГ (основные), тип 1046-250-Э</t>
  </si>
  <si>
    <t>1РП1-1</t>
  </si>
  <si>
    <t>1РП2-1</t>
  </si>
  <si>
    <t>1РП3-1</t>
  </si>
  <si>
    <t>1РП4-1</t>
  </si>
  <si>
    <t>1РП5-1</t>
  </si>
  <si>
    <t>1РП6-1</t>
  </si>
  <si>
    <t>Рег. уровня в ПГ (байпасные), тип 810-100-Э</t>
  </si>
  <si>
    <t>1РП1-2</t>
  </si>
  <si>
    <t>1РП2-2</t>
  </si>
  <si>
    <t>1РП3-2</t>
  </si>
  <si>
    <t>1РП4-2</t>
  </si>
  <si>
    <t>1РП5-2</t>
  </si>
  <si>
    <t>1РП6-2</t>
  </si>
  <si>
    <r>
      <rPr>
        <rFont val="Times New Roman"/>
        <color rgb="FF000000"/>
        <sz val="14.0"/>
      </rPr>
      <t xml:space="preserve">Засувки до і після "РУК" тип </t>
    </r>
    <r>
      <rPr>
        <rFont val="Times New Roman"/>
        <b/>
        <color rgb="FF000000"/>
        <sz val="14.0"/>
      </rPr>
      <t>848-250-Э</t>
    </r>
  </si>
  <si>
    <t>1ВП1-6</t>
  </si>
  <si>
    <t>1ВП2-6</t>
  </si>
  <si>
    <t>1ВП3-6</t>
  </si>
  <si>
    <t>1ВП4-6</t>
  </si>
  <si>
    <t>1ВП5-6</t>
  </si>
  <si>
    <t>1ВП6-6</t>
  </si>
  <si>
    <t>Последняя по ходу от ДАПЭН на ПГ, тип 880-100-Э</t>
  </si>
  <si>
    <t>1ВП1-8</t>
  </si>
  <si>
    <t>1ВП2-8</t>
  </si>
  <si>
    <t>1ВП3-8</t>
  </si>
  <si>
    <t>1ВП4-8</t>
  </si>
  <si>
    <t>1ВП5-8</t>
  </si>
  <si>
    <t>1ВП6-8</t>
  </si>
  <si>
    <t>Первая по ходу пара от ПГ, тип 847-450-Э</t>
  </si>
  <si>
    <t>1П1-2</t>
  </si>
  <si>
    <t>1П2-2</t>
  </si>
  <si>
    <t>1П3-2</t>
  </si>
  <si>
    <t>1П4-2</t>
  </si>
  <si>
    <t>1П5-2</t>
  </si>
  <si>
    <t>1П6-2</t>
  </si>
  <si>
    <r>
      <rPr>
        <rFont val="Times New Roman"/>
        <color rgb="FF000000"/>
        <sz val="14.0"/>
      </rPr>
      <t xml:space="preserve">Засувки на всасі ВПЕН-1,2 тип </t>
    </r>
    <r>
      <rPr>
        <rFont val="Times New Roman"/>
        <b/>
        <color rgb="FF000000"/>
        <sz val="14.0"/>
      </rPr>
      <t xml:space="preserve"> 936-150/250-Э</t>
    </r>
  </si>
  <si>
    <t>БРУА-1</t>
  </si>
  <si>
    <t>БРУА-2</t>
  </si>
  <si>
    <t>Раздел. арматура ГПК, тип Pos.3.34/Absperventil 121-523 DN 450</t>
  </si>
  <si>
    <t>1П-1</t>
  </si>
  <si>
    <t>1П-2</t>
  </si>
  <si>
    <t>1П-3</t>
  </si>
  <si>
    <t>Первая и вторая по ходу пара на БРУ-К, тип 847-400-Э</t>
  </si>
  <si>
    <t>11П-1</t>
  </si>
  <si>
    <t>11П-2</t>
  </si>
  <si>
    <t>12П-1</t>
  </si>
  <si>
    <t>12П-2</t>
  </si>
  <si>
    <t>БРУ-К, тип 931-250/300-ЭА</t>
  </si>
  <si>
    <t>БРУК-1А</t>
  </si>
  <si>
    <t>БРУК-1Б</t>
  </si>
  <si>
    <t>БРУК-2А</t>
  </si>
  <si>
    <t>БРУК-2Б</t>
  </si>
  <si>
    <t>Главная паровая задвижка (ГПЗ), тип 847-450-Э</t>
  </si>
  <si>
    <t>1П1-3</t>
  </si>
  <si>
    <t>1П2-3</t>
  </si>
  <si>
    <t>1П3-3</t>
  </si>
  <si>
    <t>1П4-3</t>
  </si>
  <si>
    <t>1П5-3</t>
  </si>
  <si>
    <t>1П6-3</t>
  </si>
  <si>
    <t>ДИЗЕЛІ</t>
  </si>
  <si>
    <t>ЦЗС</t>
  </si>
  <si>
    <t>ДГ-11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</si>
  <si>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</si>
  <si>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1.2</t>
    </r>
    <r>
      <rPr>
        <rFont val="Times New Roman"/>
        <b/>
        <color rgb="FFC0C0C0"/>
        <sz val="11.0"/>
      </rPr>
      <t>.</t>
    </r>
  </si>
  <si>
    <t>1.3.</t>
  </si>
  <si>
    <r>
      <rPr>
        <rFont val="Times New Roman"/>
        <b/>
        <color rgb="FF000000"/>
        <sz val="11.0"/>
      </rPr>
      <t>2.1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</si>
  <si>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</si>
  <si>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</si>
  <si>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2.4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</si>
  <si>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2.5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</si>
  <si>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2.6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</si>
  <si>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2.7</t>
    </r>
    <r>
      <rPr>
        <rFont val="Times New Roman"/>
        <b/>
        <color rgb="FFC0C0C0"/>
        <sz val="11.0"/>
      </rPr>
      <t>.</t>
    </r>
  </si>
  <si>
    <t xml:space="preserve">Д100  </t>
  </si>
  <si>
    <t>2.8</t>
  </si>
  <si>
    <t>3.1</t>
  </si>
  <si>
    <t>3.2</t>
  </si>
  <si>
    <t>3.3.</t>
  </si>
  <si>
    <t>ДГ-12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</si>
  <si>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</si>
  <si>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</si>
  <si>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</si>
  <si>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</si>
  <si>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</si>
  <si>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2.4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</si>
  <si>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2.5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</si>
  <si>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2.6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</si>
  <si>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2.7</t>
    </r>
    <r>
      <rPr>
        <rFont val="Times New Roman"/>
        <b/>
        <color rgb="FFC0C0C0"/>
        <sz val="11.0"/>
      </rPr>
      <t>.</t>
    </r>
  </si>
  <si>
    <t>ДГ-13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</si>
  <si>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</si>
  <si>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</si>
  <si>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</si>
  <si>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</si>
  <si>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</si>
  <si>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2.4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</si>
  <si>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2.5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</si>
  <si>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2.6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</si>
  <si>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2.7</t>
    </r>
    <r>
      <rPr>
        <rFont val="Times New Roman"/>
        <b/>
        <color rgb="FFC0C0C0"/>
        <sz val="11.0"/>
      </rPr>
      <t>.</t>
    </r>
  </si>
  <si>
    <t>m</t>
  </si>
  <si>
    <t>ВВЕР-440</t>
  </si>
  <si>
    <r>
      <rPr>
        <rFont val="Times New Roman"/>
        <b/>
        <color rgb="FF000000"/>
        <sz val="11.0"/>
      </rPr>
      <t>01-1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</si>
  <si>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</si>
  <si>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</si>
  <si>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01-4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</si>
  <si>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01-5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</si>
  <si>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01-6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</si>
  <si>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02-1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</si>
  <si>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02-2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</si>
  <si>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02-3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</si>
  <si>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02-4</t>
    </r>
    <r>
      <rPr>
        <rFont val="Times New Roman"/>
        <b/>
        <color rgb="FFC0C0C0"/>
        <sz val="11.0"/>
      </rPr>
      <t>.</t>
    </r>
  </si>
  <si>
    <t>В-213   
1Р</t>
  </si>
  <si>
    <t>гн.№03-40</t>
  </si>
  <si>
    <t>02-5</t>
  </si>
  <si>
    <t>02-6</t>
  </si>
  <si>
    <t>02-7</t>
  </si>
  <si>
    <t>02-8</t>
  </si>
  <si>
    <t>02-9</t>
  </si>
  <si>
    <t>02-10</t>
  </si>
  <si>
    <t>02-11</t>
  </si>
  <si>
    <t>02-12</t>
  </si>
  <si>
    <t>02-13</t>
  </si>
  <si>
    <t>02-14</t>
  </si>
  <si>
    <t>02-15</t>
  </si>
  <si>
    <t>02-16</t>
  </si>
  <si>
    <t>02-17</t>
  </si>
  <si>
    <t>03-01</t>
  </si>
  <si>
    <t>03-02</t>
  </si>
  <si>
    <t>03-03</t>
  </si>
  <si>
    <t>03-04</t>
  </si>
  <si>
    <t>03-05</t>
  </si>
  <si>
    <t>03-06</t>
  </si>
  <si>
    <t>03-07</t>
  </si>
  <si>
    <t>03-08</t>
  </si>
  <si>
    <t>03-09</t>
  </si>
  <si>
    <t>03-10</t>
  </si>
  <si>
    <t>03-11</t>
  </si>
  <si>
    <t>03-12</t>
  </si>
  <si>
    <t>03-13</t>
  </si>
  <si>
    <t>03-14</t>
  </si>
  <si>
    <t>03-15</t>
  </si>
  <si>
    <t>03-16</t>
  </si>
  <si>
    <t>03-17</t>
  </si>
  <si>
    <t>03-18</t>
  </si>
  <si>
    <t>НАСОСИ</t>
  </si>
  <si>
    <t>РЕАКТОР</t>
  </si>
  <si>
    <t>Контр.опер.</t>
  </si>
  <si>
    <t>Савчук Ю.А.</t>
  </si>
  <si>
    <t>Мушик В.Ф.</t>
  </si>
  <si>
    <t>Оніщук В.Ю.</t>
  </si>
  <si>
    <t>Сидорчук С.В.</t>
  </si>
  <si>
    <t>Радчук І.С.</t>
  </si>
  <si>
    <t>Рошук П.М.</t>
  </si>
  <si>
    <t>Дацький Д.П.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</si>
</sst>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₴&quot;#,##0.00_);[Red]\(&quot;₴&quot;#,##0.00\)"/>
  </numFmts>
  <fonts count="38">
    <font>
      <sz val="10.0"/>
      <color rgb="FF000000"/>
      <name val="Calibri"/>
      <scheme val="minor"/>
    </font>
    <font>
      <sz val="10.0"/>
      <color theme="1"/>
      <name val="Times New Roman"/>
    </font>
    <font>
      <sz val="12.0"/>
      <color theme="1"/>
      <name val="Times New Roman"/>
    </font>
    <font>
      <sz val="16.0"/>
      <color rgb="FF800080"/>
      <name val="Times New Roman"/>
    </font>
    <font>
      <u/>
      <sz val="16.0"/>
      <color rgb="FF0000FF"/>
      <name val="Times New Roman"/>
    </font>
    <font>
      <sz val="16.0"/>
      <color rgb="FF0000FF"/>
      <name val="Times New Roman"/>
    </font>
    <font>
      <u/>
      <sz val="16.0"/>
      <color rgb="FF0000FF"/>
      <name val="Times New Roman"/>
    </font>
    <font/>
    <font>
      <b/>
      <sz val="12.0"/>
      <color theme="1"/>
      <name val="Times New Roman"/>
    </font>
    <font>
      <b/>
      <sz val="16.0"/>
      <color rgb="FFFF0000"/>
      <name val="Times New Roman"/>
    </font>
    <font>
      <b/>
      <sz val="14.0"/>
      <color rgb="FF993300"/>
      <name val="Times New Roman"/>
    </font>
    <font>
      <b/>
      <sz val="14.0"/>
      <color rgb="FFFF0000"/>
      <name val="Times New Roman"/>
    </font>
    <font>
      <b/>
      <sz val="14.0"/>
      <color theme="0"/>
      <name val="Times New Roman"/>
    </font>
    <font>
      <b/>
      <sz val="10.0"/>
      <color theme="0"/>
      <name val="Times New Roman"/>
    </font>
    <font>
      <sz val="10.0"/>
      <color rgb="FFFF0000"/>
      <name val="Times New Roman"/>
    </font>
    <font>
      <b/>
      <sz val="11.0"/>
      <color rgb="FF000000"/>
      <name val="Times New Roman"/>
    </font>
    <font>
      <b/>
      <sz val="12.0"/>
      <color rgb="FF000000"/>
      <name val="Times New Roman"/>
    </font>
    <font>
      <sz val="10.0"/>
      <color theme="0"/>
      <name val="Times New Roman"/>
    </font>
    <font>
      <b/>
      <sz val="14.0"/>
      <color rgb="FF000000"/>
      <name val="Times New Roman"/>
    </font>
    <font>
      <sz val="11.0"/>
      <color rgb="FF000000"/>
      <name val="Times New Roman"/>
    </font>
    <font>
      <sz val="12.0"/>
      <color rgb="FF000000"/>
      <name val="Times New Roman"/>
    </font>
    <font>
      <u/>
      <sz val="14.0"/>
      <color rgb="FFFF0000"/>
      <name val="Times New Roman"/>
    </font>
    <font>
      <b/>
      <sz val="18.0"/>
      <color rgb="FF000000"/>
      <name val="Times New Roman"/>
    </font>
    <font>
      <sz val="14.0"/>
      <color rgb="FF000000"/>
      <name val="Times New Roman"/>
    </font>
    <font>
      <b/>
      <i/>
      <sz val="11.0"/>
      <color rgb="FF000000"/>
      <name val="Times New Roman"/>
    </font>
    <font>
      <sz val="10.0"/>
      <color rgb="FF000000"/>
      <name val="Times New Roman"/>
    </font>
    <font>
      <sz val="10.0"/>
      <color rgb="FFFFFFFF"/>
      <name val="Times New Roman"/>
    </font>
    <font>
      <sz val="11.0"/>
      <color theme="0"/>
      <name val="Times New Roman"/>
    </font>
    <font>
      <u/>
      <sz val="11.0"/>
      <color rgb="FF000000"/>
      <name val="Times New Roman"/>
    </font>
    <font>
      <sz val="10.0"/>
      <color theme="1"/>
      <name val="Arial"/>
    </font>
    <font>
      <sz val="11.0"/>
      <color theme="1"/>
      <name val="Times New Roman"/>
    </font>
    <font>
      <b/>
      <i/>
      <sz val="11.0"/>
      <color theme="1"/>
      <name val="Times New Roman"/>
    </font>
    <font>
      <b/>
      <sz val="10.0"/>
      <color theme="1"/>
      <name val="Arial"/>
    </font>
    <font>
      <b/>
      <sz val="10.0"/>
      <color rgb="FFFF0000"/>
      <name val="Arial"/>
    </font>
    <font>
      <sz val="10.0"/>
      <color rgb="FFFFFFFF"/>
      <name val="Arial"/>
    </font>
    <font>
      <b/>
      <sz val="10.0"/>
      <color theme="1"/>
      <name val="Times New Roman"/>
    </font>
    <font>
      <sz val="10.0"/>
      <color rgb="FFD8D8D8"/>
      <name val="Times New Roman"/>
    </font>
    <font>
      <sz val="10.0"/>
      <color rgb="FFD8D8D8"/>
      <name val="Arial"/>
    </font>
  </fonts>
  <fills count="11">
    <fill>
      <patternFill patternType="none"/>
    </fill>
    <fill>
      <patternFill patternType="lightGray"/>
    </fill>
    <fill>
      <patternFill patternType="solid">
        <fgColor rgb="FFCCFFCC"/>
        <bgColor rgb="FFCCFFCC"/>
      </patternFill>
    </fill>
    <fill>
      <patternFill patternType="solid">
        <fgColor rgb="FFFFFFFF"/>
        <bgColor rgb="FFFFFFFF"/>
      </patternFill>
    </fill>
    <fill>
      <patternFill patternType="solid">
        <fgColor rgb="FF99CCFF"/>
        <bgColor rgb="FF99CCFF"/>
      </patternFill>
    </fill>
    <fill>
      <patternFill patternType="solid">
        <fgColor rgb="FFFF99CC"/>
        <bgColor rgb="FFFF99CC"/>
      </patternFill>
    </fill>
    <fill>
      <patternFill patternType="solid">
        <fgColor rgb="FFF2F2F2"/>
        <bgColor rgb="FFF2F2F2"/>
      </patternFill>
    </fill>
    <fill>
      <patternFill patternType="solid">
        <fgColor rgb="FFFF8080"/>
        <bgColor rgb="FFFF8080"/>
      </patternFill>
    </fill>
    <fill>
      <patternFill patternType="solid">
        <fgColor rgb="FFCCCCFF"/>
        <bgColor rgb="FFCCCCFF"/>
      </patternFill>
    </fill>
    <fill>
      <patternFill patternType="solid">
        <fgColor rgb="FFC0C0C0"/>
        <bgColor rgb="FFC0C0C0"/>
      </patternFill>
    </fill>
    <fill>
      <patternFill patternType="solid">
        <fgColor rgb="FF000000"/>
        <bgColor rgb="FF000000"/>
      </patternFill>
    </fill>
  </fills>
  <borders count="103">
    <border/>
    <border>
      <left/>
      <right/>
      <top/>
      <bottom/>
    </border>
    <border>
      <left/>
      <top/>
      <bottom style="thick">
        <color rgb="FF333333"/>
      </bottom>
    </border>
    <border>
      <right/>
      <top/>
      <bottom style="thick">
        <color rgb="FF333333"/>
      </bottom>
    </border>
    <border>
      <left style="thick">
        <color rgb="FF333333"/>
      </left>
      <top/>
      <bottom style="thick">
        <color rgb="FF333333"/>
      </bottom>
    </border>
    <border>
      <top/>
      <bottom style="thick">
        <color rgb="FF333333"/>
      </bottom>
    </border>
    <border>
      <right style="thick">
        <color rgb="FF333333"/>
      </right>
      <top/>
      <bottom style="thick">
        <color rgb="FF333333"/>
      </bottom>
    </border>
    <border>
      <left style="thick">
        <color rgb="FF333333"/>
      </left>
    </border>
    <border>
      <left style="thick">
        <color rgb="FF333333"/>
      </left>
      <right style="thick">
        <color rgb="FF333333"/>
      </right>
      <top style="thick">
        <color rgb="FF333333"/>
      </top>
      <bottom style="thick">
        <color rgb="FF333333"/>
      </bottom>
    </border>
    <border>
      <left style="thick">
        <color rgb="FF333333"/>
      </left>
      <right style="thick">
        <color rgb="FF333333"/>
      </right>
      <top style="thick">
        <color rgb="FF333333"/>
      </top>
    </border>
    <border>
      <left style="thick">
        <color rgb="FF333333"/>
      </left>
      <top style="thick">
        <color rgb="FF333333"/>
      </top>
      <bottom style="thick">
        <color rgb="FF333333"/>
      </bottom>
    </border>
    <border>
      <top style="thick">
        <color rgb="FF333333"/>
      </top>
      <bottom style="thick">
        <color rgb="FF333333"/>
      </bottom>
    </border>
    <border>
      <right style="thick">
        <color rgb="FF333333"/>
      </right>
      <top style="thick">
        <color rgb="FF333333"/>
      </top>
      <bottom style="thick">
        <color rgb="FF333333"/>
      </bottom>
    </border>
    <border>
      <left style="thick">
        <color rgb="FF333333"/>
      </left>
      <right style="thick">
        <color rgb="FF333333"/>
      </right>
      <bottom style="thick">
        <color rgb="FF333333"/>
      </bottom>
    </border>
    <border>
      <left style="thick">
        <color rgb="FF333333"/>
      </left>
      <right/>
      <top style="thick">
        <color rgb="FF333333"/>
      </top>
      <bottom style="thick">
        <color rgb="FF333333"/>
      </bottom>
    </border>
    <border>
      <left style="thick">
        <color rgb="FF000000"/>
      </left>
      <top style="thick">
        <color rgb="FF333333"/>
      </top>
      <bottom style="thick">
        <color rgb="FF000000"/>
      </bottom>
    </border>
    <border>
      <top style="thick">
        <color rgb="FF333333"/>
      </top>
      <bottom style="thick">
        <color rgb="FF000000"/>
      </bottom>
    </border>
    <border>
      <right style="thick">
        <color rgb="FF000000"/>
      </right>
      <top style="thick">
        <color rgb="FF333333"/>
      </top>
      <bottom style="thick">
        <color rgb="FF000000"/>
      </bottom>
    </border>
    <border>
      <left style="thick">
        <color rgb="FF000000"/>
      </left>
      <top style="thick">
        <color rgb="FF000000"/>
      </top>
      <bottom style="thick">
        <color rgb="FF000000"/>
      </bottom>
    </border>
    <border>
      <top style="thick">
        <color rgb="FF000000"/>
      </top>
      <bottom style="thick">
        <color rgb="FF000000"/>
      </bottom>
    </border>
    <border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</border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right style="thick">
        <color rgb="FF000000"/>
      </right>
      <bottom style="thick">
        <color rgb="FF000000"/>
      </bottom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left style="thin">
        <color rgb="FF000000"/>
      </left>
      <right/>
      <top style="thick">
        <color rgb="FF000000"/>
      </top>
      <bottom style="thick">
        <color rgb="FF000000"/>
      </bottom>
    </border>
    <border>
      <left/>
      <right style="thin">
        <color rgb="FF000000"/>
      </right>
      <top style="thick">
        <color rgb="FF000000"/>
      </top>
      <bottom style="thick">
        <color rgb="FF000000"/>
      </bottom>
    </border>
    <border>
      <left/>
      <right style="thick">
        <color rgb="FF000000"/>
      </right>
      <top style="thick">
        <color rgb="FF000000"/>
      </top>
      <bottom/>
    </border>
    <border>
      <left style="thick">
        <color rgb="FF000000"/>
      </left>
      <right style="thick">
        <color rgb="FF000000"/>
      </right>
      <top style="thick">
        <color rgb="FF000000"/>
      </top>
      <bottom/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thick">
        <color rgb="FF000000"/>
      </left>
      <right style="thin">
        <color rgb="FF000000"/>
      </right>
      <bottom style="thick">
        <color rgb="FF000000"/>
      </bottom>
    </border>
    <border>
      <left style="thin">
        <color rgb="FF000000"/>
      </left>
      <right style="thick">
        <color rgb="FF000000"/>
      </right>
      <bottom style="thick">
        <color rgb="FF000000"/>
      </bottom>
    </border>
    <border>
      <left style="thick">
        <color rgb="FF000000"/>
      </left>
      <right style="thin">
        <color rgb="FF000000"/>
      </right>
      <top/>
      <bottom style="thick">
        <color rgb="FF000000"/>
      </bottom>
    </border>
    <border>
      <left style="thin">
        <color rgb="FF000000"/>
      </left>
      <right style="thick">
        <color rgb="FF000000"/>
      </right>
      <top/>
      <bottom style="thick">
        <color rgb="FF000000"/>
      </bottom>
    </border>
    <border>
      <left style="thin">
        <color rgb="FF000000"/>
      </left>
      <right/>
      <top/>
      <bottom style="thick">
        <color rgb="FF000000"/>
      </bottom>
    </border>
    <border>
      <left/>
      <right style="thin">
        <color rgb="FF000000"/>
      </right>
      <top/>
      <bottom style="thick">
        <color rgb="FF000000"/>
      </bottom>
    </border>
    <border>
      <left/>
      <right style="thick">
        <color rgb="FF000000"/>
      </right>
      <top/>
      <bottom/>
    </border>
    <border>
      <left style="thick">
        <color rgb="FF000000"/>
      </left>
      <right style="thin">
        <color rgb="FF000000"/>
      </right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 style="thick">
        <color rgb="FF000000"/>
      </right>
      <top/>
      <bottom/>
    </border>
    <border>
      <left/>
      <right style="thick">
        <color rgb="FF000000"/>
      </right>
      <top/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 style="thick">
        <color rgb="FF000000"/>
      </left>
      <right style="thick">
        <color rgb="FF000000"/>
      </right>
      <top/>
      <bottom style="thick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</border>
    <border>
      <left style="thin">
        <color rgb="FF000000"/>
      </left>
      <right style="thick">
        <color rgb="FF000000"/>
      </right>
      <top style="thick">
        <color rgb="FF000000"/>
      </top>
      <bottom/>
    </border>
    <border>
      <left style="thick">
        <color rgb="FF000000"/>
      </left>
      <top style="thin">
        <color rgb="FF000000"/>
      </top>
      <bottom style="medium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</border>
    <border>
      <left style="thick">
        <color rgb="FF000000"/>
      </left>
      <right/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</border>
    <border>
      <right/>
      <top style="thick">
        <color rgb="FF000000"/>
      </top>
    </border>
    <border>
      <right/>
      <bottom style="thick">
        <color rgb="FF000000"/>
      </bottom>
    </border>
    <border>
      <left/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top/>
    </border>
    <border>
      <top/>
    </border>
    <border>
      <right style="thick">
        <color rgb="FF000000"/>
      </right>
      <top/>
    </border>
    <border>
      <left style="thick">
        <color rgb="FF000000"/>
      </left>
      <top style="thick">
        <color rgb="FF000000"/>
      </top>
      <bottom style="thin">
        <color rgb="FF000000"/>
      </bottom>
    </border>
    <border>
      <right style="thick">
        <color rgb="FF000000"/>
      </right>
      <top style="thick">
        <color rgb="FF000000"/>
      </top>
      <bottom style="thin">
        <color rgb="FF000000"/>
      </bottom>
    </border>
    <border>
      <left style="thick">
        <color rgb="FF000000"/>
      </left>
      <right style="thick">
        <color rgb="FF000000"/>
      </right>
    </border>
    <border>
      <left/>
      <right style="thin">
        <color rgb="FF000000"/>
      </right>
      <top style="thin">
        <color rgb="FF000000"/>
      </top>
      <bottom style="thick">
        <color rgb="FF000000"/>
      </bottom>
    </border>
    <border>
      <right style="thick">
        <color rgb="FF000000"/>
      </right>
    </border>
    <border>
      <left style="thick">
        <color rgb="FF000000"/>
      </left>
      <right/>
      <top style="thick">
        <color rgb="FF000000"/>
      </top>
      <bottom/>
    </border>
    <border>
      <left style="thick">
        <color rgb="FF000000"/>
      </left>
      <right/>
      <top/>
      <bottom style="thick">
        <color rgb="FF000000"/>
      </bottom>
    </border>
    <border>
      <left/>
      <top/>
      <bottom/>
    </border>
    <border>
      <right/>
      <top/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FFFFFF"/>
      </righ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FFFFFF"/>
      </left>
      <right style="thin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FFFFFF"/>
      </left>
      <bottom style="thin">
        <color rgb="FF000000"/>
      </bottom>
    </border>
    <border>
      <left style="thin">
        <color rgb="FFFFFFFF"/>
      </left>
      <right style="thin">
        <color rgb="FFFFFFFF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thin">
        <color rgb="FFFFFFFF"/>
      </lef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FFFFFF"/>
      </left>
      <top style="thin">
        <color rgb="FF000000"/>
      </top>
      <bottom style="thin">
        <color rgb="FF000000"/>
      </bottom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top style="thin">
        <color rgb="FF000000"/>
      </top>
      <bottom style="thin">
        <color rgb="FF000000"/>
      </bottom>
    </border>
    <border>
      <top style="thin">
        <color rgb="FF000000"/>
      </top>
    </border>
  </borders>
  <cellStyleXfs count="1">
    <xf borderId="0" fillId="0" fontId="0" numFmtId="0" applyAlignment="1" applyFont="1"/>
  </cellStyleXfs>
  <cellXfs count="233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3" fontId="2" numFmtId="0" xfId="0" applyBorder="1" applyFill="1" applyFont="1"/>
    <xf borderId="1" fillId="4" fontId="3" numFmtId="0" xfId="0" applyBorder="1" applyFill="1" applyFont="1"/>
    <xf borderId="1" fillId="4" fontId="4" numFmtId="0" xfId="0" applyAlignment="1" applyBorder="1" applyFill="1" applyFont="1">
      <alignment vertical="center"/>
    </xf>
    <xf borderId="1" fillId="4" fontId="5" numFmtId="0" xfId="0" applyAlignment="1" applyBorder="1" applyFill="1" applyFont="1">
      <alignment vertical="center"/>
    </xf>
    <xf borderId="2" fillId="5" fontId="6" numFmtId="0" xfId="0" applyAlignment="1" applyBorder="1" applyFill="1" applyFont="1">
      <alignment horizontal="center" vertical="center"/>
    </xf>
    <xf borderId="3" fillId="0" fontId="7" numFmtId="0" xfId="0" applyBorder="1" applyFont="1"/>
    <xf borderId="1" fillId="2" fontId="8" numFmtId="0" xfId="0" applyBorder="1" applyFill="1" applyFont="1"/>
    <xf borderId="1" fillId="2" fontId="9" numFmtId="0" xfId="0" applyAlignment="1" applyBorder="1" applyFill="1" applyFont="1">
      <alignment horizontal="center"/>
    </xf>
    <xf borderId="4" fillId="2" fontId="10" numFmtId="0" xfId="0" applyAlignment="1" applyBorder="1" applyFill="1" applyFont="1">
      <alignment vertical="center"/>
    </xf>
    <xf borderId="5" fillId="0" fontId="7" numFmtId="0" xfId="0" applyBorder="1" applyFont="1"/>
    <xf borderId="6" fillId="0" fontId="7" numFmtId="0" xfId="0" applyBorder="1" applyFont="1"/>
    <xf borderId="7" fillId="0" fontId="11" numFmtId="0" xfId="0" applyAlignment="1" applyBorder="1" applyFont="1">
      <alignment vertical="center"/>
    </xf>
    <xf borderId="0" fillId="0" fontId="11" numFmtId="0" xfId="0" applyAlignment="1" applyFont="1">
      <alignment vertical="center"/>
    </xf>
    <xf borderId="0" fillId="0" fontId="12" numFmtId="0" xfId="0" applyAlignment="1" applyFont="1">
      <alignment vertical="center"/>
    </xf>
    <xf borderId="0" fillId="0" fontId="13" numFmtId="0" xfId="0" applyFont="1"/>
    <xf borderId="0" fillId="0" fontId="14" numFmtId="0" xfId="0" applyFont="1"/>
    <xf borderId="8" fillId="6" fontId="15" numFmtId="0" xfId="0" applyBorder="1" applyFill="1" applyFont="1"/>
    <xf borderId="8" fillId="3" fontId="16" numFmtId="0" xfId="0" applyBorder="1" applyFill="1" applyFont="1"/>
    <xf borderId="8" fillId="6" fontId="15" numFmtId="0" xfId="0" applyAlignment="1" applyBorder="1" applyFill="1" applyFont="1">
      <alignment horizontal="center"/>
    </xf>
    <xf borderId="7" fillId="0" fontId="11" numFmtId="0" xfId="0" applyBorder="1" applyFont="1"/>
    <xf borderId="0" fillId="0" fontId="11" numFmtId="0" xfId="0" applyFont="1"/>
    <xf borderId="0" fillId="0" fontId="12" numFmtId="0" xfId="0" applyFont="1"/>
    <xf borderId="0" fillId="0" fontId="17" numFmtId="0" xfId="0" applyFont="1"/>
    <xf borderId="9" fillId="6" fontId="15" numFmtId="0" xfId="0" applyAlignment="1" applyBorder="1" applyFill="1" applyFont="1">
      <alignment horizontal="center" shrinkToFit="0" vertical="center" wrapText="1"/>
    </xf>
    <xf borderId="9" fillId="3" fontId="16" numFmtId="0" xfId="0" applyAlignment="1" applyBorder="1" applyFill="1" applyFont="1">
      <alignment horizontal="center" shrinkToFit="0" vertical="center" wrapText="1"/>
    </xf>
    <xf borderId="9" fillId="6" fontId="15" numFmtId="0" xfId="0" applyAlignment="1" applyBorder="1" applyFill="1" applyFont="1">
      <alignment horizontal="center" shrinkToFit="0" vertical="top" wrapText="1"/>
    </xf>
    <xf borderId="10" fillId="6" fontId="15" numFmtId="0" xfId="0" applyAlignment="1" applyBorder="1" applyFill="1" applyFont="1">
      <alignment horizontal="center" shrinkToFit="0" wrapText="1"/>
    </xf>
    <xf borderId="11" fillId="0" fontId="7" numFmtId="0" xfId="0" applyBorder="1" applyFont="1"/>
    <xf borderId="12" fillId="0" fontId="7" numFmtId="0" xfId="0" applyBorder="1" applyFont="1"/>
    <xf borderId="8" fillId="6" fontId="15" numFmtId="0" xfId="0" applyAlignment="1" applyBorder="1" applyFill="1" applyFont="1">
      <alignment horizontal="center" shrinkToFit="0" wrapText="1"/>
    </xf>
    <xf borderId="13" fillId="0" fontId="7" numFmtId="0" xfId="0" applyBorder="1" applyFont="1"/>
    <xf borderId="10" fillId="6" fontId="18" numFmtId="0" xfId="0" applyAlignment="1" applyBorder="1" applyFill="1" applyFont="1">
      <alignment horizontal="center" shrinkToFit="0" vertical="center" wrapText="1"/>
    </xf>
    <xf borderId="14" fillId="6" fontId="18" numFmtId="0" xfId="0" applyAlignment="1" applyBorder="1" applyFill="1" applyFont="1">
      <alignment horizontal="center" shrinkToFit="0" vertical="center" wrapText="1"/>
    </xf>
    <xf borderId="8" fillId="6" fontId="19" numFmtId="0" xfId="0" applyAlignment="1" applyBorder="1" applyFill="1" applyFont="1">
      <alignment horizontal="center" shrinkToFit="0" vertical="center" wrapText="1"/>
    </xf>
    <xf borderId="8" fillId="3" fontId="20" numFmtId="0" xfId="0" applyAlignment="1" applyBorder="1" applyFill="1" applyFont="1">
      <alignment horizontal="center" shrinkToFit="0" vertical="center" wrapText="1"/>
    </xf>
    <xf borderId="10" fillId="6" fontId="19" numFmtId="0" xfId="0" applyAlignment="1" applyBorder="1" applyFill="1" applyFont="1">
      <alignment horizontal="center" shrinkToFit="0" vertical="center" wrapText="1"/>
    </xf>
    <xf borderId="0" fillId="0" fontId="21" numFmtId="0" xfId="0" applyFont="1"/>
    <xf borderId="15" fillId="0" fontId="22" numFmtId="0" xfId="0" applyAlignment="1" applyBorder="1" applyFont="1">
      <alignment horizontal="center" shrinkToFit="0" vertical="center" wrapText="1"/>
    </xf>
    <xf borderId="16" fillId="0" fontId="7" numFmtId="0" xfId="0" applyBorder="1" applyFont="1"/>
    <xf borderId="17" fillId="0" fontId="7" numFmtId="0" xfId="0" applyBorder="1" applyFont="1"/>
    <xf borderId="18" fillId="0" fontId="18" numFmtId="0" xfId="0" applyAlignment="1" applyBorder="1" applyFont="1">
      <alignment horizontal="center" shrinkToFit="0" vertical="center" wrapText="1"/>
    </xf>
    <xf borderId="19" fillId="0" fontId="7" numFmtId="0" xfId="0" applyBorder="1" applyFont="1"/>
    <xf borderId="20" fillId="0" fontId="7" numFmtId="0" xfId="0" applyBorder="1" applyFont="1"/>
    <xf borderId="21" fillId="0" fontId="16" numFmtId="0" xfId="0" applyAlignment="1" applyBorder="1" applyFont="1">
      <alignment horizontal="center" shrinkToFit="0" vertical="center" wrapText="1"/>
    </xf>
    <xf borderId="22" fillId="3" fontId="23" numFmtId="0" xfId="0" applyAlignment="1" applyBorder="1" applyFill="1" applyFont="1">
      <alignment shrinkToFit="0" vertical="center" wrapText="1"/>
    </xf>
    <xf borderId="23" fillId="0" fontId="7" numFmtId="0" xfId="0" applyBorder="1" applyFont="1"/>
    <xf borderId="24" fillId="0" fontId="7" numFmtId="0" xfId="0" applyBorder="1" applyFont="1"/>
    <xf borderId="25" fillId="0" fontId="7" numFmtId="0" xfId="0" applyBorder="1" applyFont="1"/>
    <xf borderId="26" fillId="0" fontId="7" numFmtId="0" xfId="0" applyBorder="1" applyFont="1"/>
    <xf borderId="27" fillId="0" fontId="7" numFmtId="0" xfId="0" applyBorder="1" applyFont="1"/>
    <xf borderId="28" fillId="0" fontId="7" numFmtId="0" xfId="0" applyBorder="1" applyFont="1"/>
    <xf borderId="25" fillId="0" fontId="19" numFmtId="0" xfId="0" applyAlignment="1" applyBorder="1" applyFont="1">
      <alignment shrinkToFit="0" vertical="center" wrapText="1"/>
    </xf>
    <xf borderId="29" fillId="3" fontId="16" numFmtId="0" xfId="0" applyAlignment="1" applyBorder="1" applyFill="1" applyFont="1">
      <alignment shrinkToFit="0" vertical="center" wrapText="1"/>
    </xf>
    <xf borderId="28" fillId="0" fontId="19" numFmtId="0" xfId="0" applyAlignment="1" applyBorder="1" applyFont="1">
      <alignment horizontal="center" shrinkToFit="0" vertical="center" wrapText="1"/>
    </xf>
    <xf borderId="30" fillId="0" fontId="19" numFmtId="14" xfId="0" applyAlignment="1" applyBorder="1" applyFont="1" applyNumberFormat="1">
      <alignment shrinkToFit="0" vertical="center" wrapText="1"/>
    </xf>
    <xf borderId="31" fillId="0" fontId="24" numFmtId="0" xfId="0" applyAlignment="1" applyBorder="1" applyFont="1">
      <alignment horizontal="center" shrinkToFit="0" vertical="center" wrapText="1"/>
    </xf>
    <xf borderId="31" fillId="0" fontId="24" numFmtId="1" xfId="0" applyAlignment="1" applyBorder="1" applyFont="1" applyNumberFormat="1">
      <alignment horizontal="center" shrinkToFit="0" vertical="center" wrapText="1"/>
    </xf>
    <xf borderId="31" fillId="3" fontId="24" numFmtId="0" xfId="0" applyAlignment="1" applyBorder="1" applyFill="1" applyFont="1">
      <alignment horizontal="center" shrinkToFit="0" vertical="center" wrapText="1"/>
    </xf>
    <xf borderId="32" fillId="3" fontId="24" numFmtId="0" xfId="0" applyAlignment="1" applyBorder="1" applyFill="1" applyFont="1">
      <alignment horizontal="center" shrinkToFit="0" vertical="center" wrapText="1"/>
    </xf>
    <xf borderId="33" fillId="0" fontId="19" numFmtId="0" xfId="0" applyAlignment="1" applyBorder="1" applyFont="1">
      <alignment shrinkToFit="0" vertical="center" wrapText="1"/>
    </xf>
    <xf borderId="34" fillId="0" fontId="24" numFmtId="0" xfId="0" applyAlignment="1" applyBorder="1" applyFont="1">
      <alignment horizontal="center" shrinkToFit="0" vertical="center" wrapText="1"/>
    </xf>
    <xf borderId="35" fillId="3" fontId="15" numFmtId="0" xfId="0" applyAlignment="1" applyBorder="1" applyFill="1" applyFont="1">
      <alignment horizontal="center" shrinkToFit="0" wrapText="1"/>
    </xf>
    <xf borderId="36" fillId="3" fontId="16" numFmtId="0" xfId="0" applyAlignment="1" applyBorder="1" applyFill="1" applyFont="1">
      <alignment shrinkToFit="0" vertical="center" wrapText="1"/>
    </xf>
    <xf borderId="37" fillId="0" fontId="19" numFmtId="14" xfId="0" applyAlignment="1" applyBorder="1" applyFont="1" applyNumberFormat="1">
      <alignment shrinkToFit="0" vertical="center" wrapText="1"/>
    </xf>
    <xf borderId="38" fillId="0" fontId="24" numFmtId="0" xfId="0" applyAlignment="1" applyBorder="1" applyFont="1">
      <alignment horizontal="center" shrinkToFit="0" vertical="center" wrapText="1"/>
    </xf>
    <xf borderId="39" fillId="3" fontId="19" numFmtId="14" xfId="0" applyAlignment="1" applyBorder="1" applyFill="1" applyFont="1" applyNumberFormat="1">
      <alignment shrinkToFit="0" vertical="center" wrapText="1"/>
    </xf>
    <xf borderId="40" fillId="3" fontId="24" numFmtId="0" xfId="0" applyAlignment="1" applyBorder="1" applyFill="1" applyFont="1">
      <alignment horizontal="center" shrinkToFit="0" vertical="center" wrapText="1"/>
    </xf>
    <xf borderId="37" fillId="0" fontId="19" numFmtId="0" xfId="0" applyAlignment="1" applyBorder="1" applyFont="1">
      <alignment shrinkToFit="0" vertical="center" wrapText="1"/>
    </xf>
    <xf borderId="41" fillId="3" fontId="24" numFmtId="0" xfId="0" applyAlignment="1" applyBorder="1" applyFill="1" applyFont="1">
      <alignment horizontal="center" shrinkToFit="0" vertical="center" wrapText="1"/>
    </xf>
    <xf borderId="39" fillId="0" fontId="19" numFmtId="0" xfId="0" applyAlignment="1" applyBorder="1" applyFont="1">
      <alignment shrinkToFit="0" vertical="center" wrapText="1"/>
    </xf>
    <xf borderId="40" fillId="0" fontId="24" numFmtId="0" xfId="0" applyAlignment="1" applyBorder="1" applyFont="1">
      <alignment horizontal="center" shrinkToFit="0" vertical="center" wrapText="1"/>
    </xf>
    <xf borderId="42" fillId="0" fontId="19" numFmtId="0" xfId="0" applyAlignment="1" applyBorder="1" applyFont="1">
      <alignment shrinkToFit="0" vertical="center" wrapText="1"/>
    </xf>
    <xf borderId="43" fillId="0" fontId="24" numFmtId="0" xfId="0" applyAlignment="1" applyBorder="1" applyFont="1">
      <alignment horizontal="center" shrinkToFit="0" vertical="center" wrapText="1"/>
    </xf>
    <xf borderId="39" fillId="3" fontId="19" numFmtId="0" xfId="0" applyAlignment="1" applyBorder="1" applyFill="1" applyFont="1">
      <alignment shrinkToFit="0" vertical="center" wrapText="1"/>
    </xf>
    <xf borderId="44" fillId="0" fontId="19" numFmtId="0" xfId="0" applyAlignment="1" applyBorder="1" applyFont="1">
      <alignment shrinkToFit="0" vertical="center" wrapText="1"/>
    </xf>
    <xf borderId="45" fillId="0" fontId="19" numFmtId="0" xfId="0" applyAlignment="1" applyBorder="1" applyFont="1">
      <alignment shrinkToFit="0" vertical="center" wrapText="1"/>
    </xf>
    <xf borderId="46" fillId="0" fontId="24" numFmtId="0" xfId="0" applyAlignment="1" applyBorder="1" applyFont="1">
      <alignment horizontal="center" shrinkToFit="0" vertical="center" wrapText="1"/>
    </xf>
    <xf borderId="0" fillId="0" fontId="25" numFmtId="0" xfId="0" applyFont="1"/>
    <xf borderId="0" fillId="0" fontId="26" numFmtId="0" xfId="0" applyFont="1"/>
    <xf borderId="0" fillId="0" fontId="1" numFmtId="0" xfId="0" applyFont="1"/>
    <xf borderId="29" fillId="0" fontId="19" numFmtId="0" xfId="0" applyAlignment="1" applyBorder="1" applyFont="1">
      <alignment shrinkToFit="0" vertical="center" wrapText="1"/>
    </xf>
    <xf borderId="47" fillId="0" fontId="24" numFmtId="0" xfId="0" applyAlignment="1" applyBorder="1" applyFont="1">
      <alignment horizontal="center" shrinkToFit="0" vertical="center" wrapText="1"/>
    </xf>
    <xf borderId="31" fillId="0" fontId="19" numFmtId="0" xfId="0" applyAlignment="1" applyBorder="1" applyFont="1">
      <alignment shrinkToFit="0" vertical="center" wrapText="1"/>
    </xf>
    <xf borderId="48" fillId="3" fontId="15" numFmtId="0" xfId="0" applyAlignment="1" applyBorder="1" applyFill="1" applyFont="1">
      <alignment horizontal="center" shrinkToFit="0" wrapText="1"/>
    </xf>
    <xf borderId="49" fillId="0" fontId="27" numFmtId="0" xfId="0" applyAlignment="1" applyBorder="1" applyFont="1">
      <alignment shrinkToFit="0" vertical="center" wrapText="1"/>
    </xf>
    <xf borderId="30" fillId="0" fontId="19" numFmtId="0" xfId="0" applyAlignment="1" applyBorder="1" applyFont="1">
      <alignment shrinkToFit="0" vertical="center" wrapText="1"/>
    </xf>
    <xf borderId="48" fillId="0" fontId="19" numFmtId="0" xfId="0" applyAlignment="1" applyBorder="1" applyFont="1">
      <alignment shrinkToFit="0" vertical="center" wrapText="1"/>
    </xf>
    <xf borderId="39" fillId="0" fontId="19" numFmtId="14" xfId="0" applyAlignment="1" applyBorder="1" applyFont="1" applyNumberFormat="1">
      <alignment shrinkToFit="0" vertical="center" wrapText="1"/>
    </xf>
    <xf borderId="27" fillId="0" fontId="19" numFmtId="0" xfId="0" applyAlignment="1" applyBorder="1" applyFont="1">
      <alignment horizontal="center" shrinkToFit="0" vertical="center" wrapText="1"/>
    </xf>
    <xf borderId="20" fillId="0" fontId="24" numFmtId="0" xfId="0" applyAlignment="1" applyBorder="1" applyFont="1">
      <alignment horizontal="center" shrinkToFit="0" vertical="center" wrapText="1"/>
    </xf>
    <xf borderId="47" fillId="3" fontId="16" numFmtId="0" xfId="0" applyAlignment="1" applyBorder="1" applyFill="1" applyFont="1">
      <alignment shrinkToFit="0" vertical="center" wrapText="1"/>
    </xf>
    <xf borderId="40" fillId="0" fontId="24" numFmtId="1" xfId="0" applyAlignment="1" applyBorder="1" applyFont="1" applyNumberFormat="1">
      <alignment horizontal="center" shrinkToFit="0" vertical="center" wrapText="1"/>
    </xf>
    <xf borderId="38" fillId="0" fontId="24" numFmtId="1" xfId="0" applyAlignment="1" applyBorder="1" applyFont="1" applyNumberFormat="1">
      <alignment horizontal="center" shrinkToFit="0" vertical="center" wrapText="1"/>
    </xf>
    <xf borderId="48" fillId="3" fontId="16" numFmtId="0" xfId="0" applyAlignment="1" applyBorder="1" applyFill="1" applyFont="1">
      <alignment shrinkToFit="0" vertical="center" wrapText="1"/>
    </xf>
    <xf borderId="50" fillId="3" fontId="16" numFmtId="0" xfId="0" applyAlignment="1" applyBorder="1" applyFill="1" applyFont="1">
      <alignment shrinkToFit="0" vertical="center" wrapText="1"/>
    </xf>
    <xf borderId="31" fillId="3" fontId="24" numFmtId="1" xfId="0" applyAlignment="1" applyBorder="1" applyFill="1" applyFont="1" applyNumberFormat="1">
      <alignment horizontal="center" shrinkToFit="0" vertical="center" wrapText="1"/>
    </xf>
    <xf borderId="40" fillId="3" fontId="24" numFmtId="1" xfId="0" applyAlignment="1" applyBorder="1" applyFill="1" applyFont="1" applyNumberFormat="1">
      <alignment horizontal="center" shrinkToFit="0" vertical="center" wrapText="1"/>
    </xf>
    <xf borderId="37" fillId="0" fontId="19" numFmtId="164" xfId="0" applyAlignment="1" applyBorder="1" applyFont="1" applyNumberFormat="1">
      <alignment shrinkToFit="0" vertical="center" wrapText="1"/>
    </xf>
    <xf borderId="39" fillId="3" fontId="28" numFmtId="164" xfId="0" applyAlignment="1" applyBorder="1" applyFill="1" applyFont="1" applyNumberFormat="1">
      <alignment shrinkToFit="0" vertical="center" wrapText="1"/>
    </xf>
    <xf borderId="39" fillId="3" fontId="19" numFmtId="164" xfId="0" applyAlignment="1" applyBorder="1" applyFill="1" applyFont="1" applyNumberFormat="1">
      <alignment shrinkToFit="0" vertical="center" wrapText="1"/>
    </xf>
    <xf borderId="51" fillId="0" fontId="19" numFmtId="14" xfId="0" applyAlignment="1" applyBorder="1" applyFont="1" applyNumberFormat="1">
      <alignment shrinkToFit="0" vertical="center" wrapText="1"/>
    </xf>
    <xf borderId="52" fillId="3" fontId="24" numFmtId="0" xfId="0" applyAlignment="1" applyBorder="1" applyFill="1" applyFont="1">
      <alignment horizontal="center" shrinkToFit="0" vertical="center" wrapText="1"/>
    </xf>
    <xf borderId="53" fillId="0" fontId="1" numFmtId="0" xfId="0" applyBorder="1" applyFont="1"/>
    <xf borderId="54" fillId="0" fontId="1" numFmtId="0" xfId="0" applyBorder="1" applyFont="1"/>
    <xf borderId="30" fillId="3" fontId="19" numFmtId="14" xfId="0" applyAlignment="1" applyBorder="1" applyFill="1" applyFont="1" applyNumberFormat="1">
      <alignment shrinkToFit="0" vertical="center" wrapText="1"/>
    </xf>
    <xf borderId="55" fillId="0" fontId="19" numFmtId="14" xfId="0" applyAlignment="1" applyBorder="1" applyFont="1" applyNumberFormat="1">
      <alignment shrinkToFit="0" vertical="center" wrapText="1"/>
    </xf>
    <xf borderId="18" fillId="0" fontId="22" numFmtId="0" xfId="0" applyAlignment="1" applyBorder="1" applyFont="1">
      <alignment horizontal="center" shrinkToFit="0" vertical="center" wrapText="1"/>
    </xf>
    <xf borderId="18" fillId="0" fontId="16" numFmtId="0" xfId="0" applyAlignment="1" applyBorder="1" applyFont="1">
      <alignment horizontal="center" shrinkToFit="0" vertical="center" wrapText="1"/>
    </xf>
    <xf borderId="18" fillId="0" fontId="19" numFmtId="0" xfId="0" applyAlignment="1" applyBorder="1" applyFont="1">
      <alignment shrinkToFit="0" vertical="center" wrapText="1"/>
    </xf>
    <xf borderId="56" fillId="3" fontId="20" numFmtId="0" xfId="0" applyAlignment="1" applyBorder="1" applyFill="1" applyFont="1">
      <alignment shrinkToFit="0" vertical="center" wrapText="1"/>
    </xf>
    <xf borderId="18" fillId="6" fontId="18" numFmtId="14" xfId="0" applyAlignment="1" applyBorder="1" applyFill="1" applyFont="1" applyNumberFormat="1">
      <alignment horizontal="center" shrinkToFit="0" vertical="center" wrapText="1"/>
    </xf>
    <xf borderId="34" fillId="0" fontId="19" numFmtId="14" xfId="0" applyAlignment="1" applyBorder="1" applyFont="1" applyNumberFormat="1">
      <alignment horizontal="center" shrinkToFit="0" vertical="center" wrapText="1"/>
    </xf>
    <xf borderId="35" fillId="6" fontId="15" numFmtId="0" xfId="0" applyAlignment="1" applyBorder="1" applyFill="1" applyFont="1">
      <alignment horizontal="center" vertical="center"/>
    </xf>
    <xf borderId="21" fillId="0" fontId="19" numFmtId="0" xfId="0" applyAlignment="1" applyBorder="1" applyFont="1">
      <alignment horizontal="center" shrinkToFit="0" vertical="center" wrapText="1"/>
    </xf>
    <xf borderId="21" fillId="3" fontId="16" numFmtId="0" xfId="0" applyAlignment="1" applyBorder="1" applyFill="1" applyFont="1">
      <alignment horizontal="left" shrinkToFit="0" vertical="center" wrapText="1"/>
    </xf>
    <xf borderId="57" fillId="0" fontId="24" numFmtId="0" xfId="0" applyAlignment="1" applyBorder="1" applyFont="1">
      <alignment horizontal="center" shrinkToFit="0" vertical="center" wrapText="1"/>
    </xf>
    <xf borderId="58" fillId="7" fontId="19" numFmtId="0" xfId="0" applyAlignment="1" applyBorder="1" applyFill="1" applyFont="1">
      <alignment horizontal="center" shrinkToFit="0" wrapText="1"/>
    </xf>
    <xf borderId="59" fillId="0" fontId="24" numFmtId="0" xfId="0" applyAlignment="1" applyBorder="1" applyFont="1">
      <alignment horizontal="center" shrinkToFit="0" vertical="center" wrapText="1"/>
    </xf>
    <xf borderId="37" fillId="0" fontId="7" numFmtId="0" xfId="0" applyBorder="1" applyFont="1"/>
    <xf borderId="38" fillId="0" fontId="7" numFmtId="0" xfId="0" applyBorder="1" applyFont="1"/>
    <xf borderId="60" fillId="8" fontId="19" numFmtId="0" xfId="0" applyAlignment="1" applyBorder="1" applyFill="1" applyFont="1">
      <alignment horizontal="center" shrinkToFit="0" wrapText="1"/>
    </xf>
    <xf borderId="61" fillId="0" fontId="24" numFmtId="0" xfId="0" applyAlignment="1" applyBorder="1" applyFont="1">
      <alignment horizontal="center" shrinkToFit="0" vertical="center" wrapText="1"/>
    </xf>
    <xf borderId="62" fillId="0" fontId="19" numFmtId="14" xfId="0" applyAlignment="1" applyBorder="1" applyFont="1" applyNumberFormat="1">
      <alignment shrinkToFit="0" vertical="center" wrapText="1"/>
    </xf>
    <xf borderId="0" fillId="0" fontId="1" numFmtId="14" xfId="0" applyFont="1" applyNumberFormat="1"/>
    <xf borderId="18" fillId="0" fontId="18" numFmtId="14" xfId="0" applyAlignment="1" applyBorder="1" applyFont="1" applyNumberFormat="1">
      <alignment horizontal="center" shrinkToFit="0" vertical="center" wrapText="1"/>
    </xf>
    <xf borderId="29" fillId="3" fontId="8" numFmtId="0" xfId="0" applyAlignment="1" applyBorder="1" applyFill="1" applyFont="1">
      <alignment shrinkToFit="0" vertical="center" wrapText="1"/>
    </xf>
    <xf borderId="36" fillId="3" fontId="8" numFmtId="0" xfId="0" applyAlignment="1" applyBorder="1" applyFill="1" applyFont="1">
      <alignment shrinkToFit="0" vertical="center" wrapText="1"/>
    </xf>
    <xf borderId="63" fillId="0" fontId="7" numFmtId="0" xfId="0" applyBorder="1" applyFont="1"/>
    <xf borderId="23" fillId="0" fontId="29" numFmtId="0" xfId="0" applyAlignment="1" applyBorder="1" applyFont="1">
      <alignment shrinkToFit="0" vertical="center" wrapText="1"/>
    </xf>
    <xf borderId="21" fillId="3" fontId="15" numFmtId="0" xfId="0" applyAlignment="1" applyBorder="1" applyFill="1" applyFont="1">
      <alignment horizontal="center" shrinkToFit="0" wrapText="1"/>
    </xf>
    <xf borderId="64" fillId="0" fontId="7" numFmtId="0" xfId="0" applyBorder="1" applyFont="1"/>
    <xf borderId="27" fillId="0" fontId="29" numFmtId="0" xfId="0" applyAlignment="1" applyBorder="1" applyFont="1">
      <alignment shrinkToFit="0" vertical="center" wrapText="1"/>
    </xf>
    <xf borderId="26" fillId="0" fontId="19" numFmtId="14" xfId="0" applyAlignment="1" applyBorder="1" applyFont="1" applyNumberFormat="1">
      <alignment shrinkToFit="0" vertical="center" wrapText="1"/>
    </xf>
    <xf borderId="1" fillId="3" fontId="8" numFmtId="0" xfId="0" applyBorder="1" applyFill="1" applyFont="1"/>
    <xf borderId="29" fillId="0" fontId="19" numFmtId="0" xfId="0" applyAlignment="1" applyBorder="1" applyFont="1">
      <alignment horizontal="center" shrinkToFit="0" vertical="center" wrapText="1"/>
    </xf>
    <xf borderId="32" fillId="0" fontId="24" numFmtId="0" xfId="0" applyAlignment="1" applyBorder="1" applyFont="1">
      <alignment horizontal="center" shrinkToFit="0" vertical="center" wrapText="1"/>
    </xf>
    <xf borderId="29" fillId="0" fontId="24" numFmtId="0" xfId="0" applyAlignment="1" applyBorder="1" applyFont="1">
      <alignment horizontal="center" shrinkToFit="0" vertical="center" wrapText="1"/>
    </xf>
    <xf borderId="34" fillId="3" fontId="15" numFmtId="0" xfId="0" applyAlignment="1" applyBorder="1" applyFill="1" applyFont="1">
      <alignment horizontal="center" shrinkToFit="0" wrapText="1"/>
    </xf>
    <xf borderId="41" fillId="0" fontId="24" numFmtId="0" xfId="0" applyAlignment="1" applyBorder="1" applyFont="1">
      <alignment horizontal="center" shrinkToFit="0" vertical="center" wrapText="1"/>
    </xf>
    <xf borderId="65" fillId="3" fontId="15" numFmtId="0" xfId="0" applyAlignment="1" applyBorder="1" applyFill="1" applyFont="1">
      <alignment horizontal="center" shrinkToFit="0" wrapText="1"/>
    </xf>
    <xf borderId="66" fillId="3" fontId="23" numFmtId="11" xfId="0" applyAlignment="1" applyBorder="1" applyFill="1" applyFont="1" applyNumberFormat="1">
      <alignment shrinkToFit="0" vertical="center" wrapText="1"/>
    </xf>
    <xf borderId="67" fillId="0" fontId="7" numFmtId="0" xfId="0" applyBorder="1" applyFont="1"/>
    <xf borderId="68" fillId="0" fontId="7" numFmtId="0" xfId="0" applyBorder="1" applyFont="1"/>
    <xf borderId="22" fillId="3" fontId="23" numFmtId="11" xfId="0" applyAlignment="1" applyBorder="1" applyFill="1" applyFont="1" applyNumberFormat="1">
      <alignment shrinkToFit="0" vertical="center" wrapText="1"/>
    </xf>
    <xf borderId="65" fillId="0" fontId="24" numFmtId="0" xfId="0" applyAlignment="1" applyBorder="1" applyFont="1">
      <alignment horizontal="center" shrinkToFit="0" vertical="center" wrapText="1"/>
    </xf>
    <xf borderId="8" fillId="3" fontId="16" numFmtId="0" xfId="0" applyAlignment="1" applyBorder="1" applyFill="1" applyFont="1">
      <alignment horizontal="center" shrinkToFit="0" vertical="center" wrapText="1"/>
    </xf>
    <xf borderId="56" fillId="3" fontId="16" numFmtId="0" xfId="0" applyAlignment="1" applyBorder="1" applyFill="1" applyFont="1">
      <alignment horizontal="center" shrinkToFit="0" vertical="center" wrapText="1"/>
    </xf>
    <xf borderId="69" fillId="9" fontId="15" numFmtId="0" xfId="0" applyAlignment="1" applyBorder="1" applyFill="1" applyFont="1">
      <alignment horizontal="center" shrinkToFit="0" vertical="center" wrapText="1"/>
    </xf>
    <xf borderId="70" fillId="0" fontId="7" numFmtId="0" xfId="0" applyBorder="1" applyFont="1"/>
    <xf borderId="18" fillId="9" fontId="15" numFmtId="0" xfId="0" applyAlignment="1" applyBorder="1" applyFill="1" applyFont="1">
      <alignment horizontal="center" shrinkToFit="0" vertical="center" wrapText="1"/>
    </xf>
    <xf borderId="65" fillId="9" fontId="15" numFmtId="0" xfId="0" applyAlignment="1" applyBorder="1" applyFill="1" applyFont="1">
      <alignment horizontal="center" shrinkToFit="0" vertical="center" wrapText="1"/>
    </xf>
    <xf borderId="48" fillId="3" fontId="19" numFmtId="0" xfId="0" applyAlignment="1" applyBorder="1" applyFill="1" applyFont="1">
      <alignment horizontal="left"/>
    </xf>
    <xf borderId="21" fillId="0" fontId="23" numFmtId="0" xfId="0" applyAlignment="1" applyBorder="1" applyFont="1">
      <alignment horizontal="center" shrinkToFit="0" vertical="center" wrapText="1"/>
    </xf>
    <xf borderId="21" fillId="3" fontId="16" numFmtId="0" xfId="0" applyAlignment="1" applyBorder="1" applyFill="1" applyFont="1">
      <alignment horizontal="center" shrinkToFit="0" vertical="center" wrapText="1"/>
    </xf>
    <xf borderId="45" fillId="0" fontId="19" numFmtId="14" xfId="0" applyAlignment="1" applyBorder="1" applyFont="1" applyNumberFormat="1">
      <alignment shrinkToFit="0" vertical="center" wrapText="1"/>
    </xf>
    <xf borderId="44" fillId="0" fontId="19" numFmtId="14" xfId="0" applyAlignment="1" applyBorder="1" applyFont="1" applyNumberFormat="1">
      <alignment shrinkToFit="0" vertical="center" wrapText="1"/>
    </xf>
    <xf borderId="48" fillId="3" fontId="19" numFmtId="0" xfId="0" applyAlignment="1" applyBorder="1" applyFill="1" applyFont="1">
      <alignment horizontal="center" shrinkToFit="0" wrapText="1"/>
    </xf>
    <xf borderId="71" fillId="0" fontId="7" numFmtId="0" xfId="0" applyBorder="1" applyFont="1"/>
    <xf borderId="18" fillId="9" fontId="15" numFmtId="49" xfId="0" applyAlignment="1" applyBorder="1" applyFill="1" applyFont="1" applyNumberFormat="1">
      <alignment horizontal="center" shrinkToFit="0" vertical="center" wrapText="1"/>
    </xf>
    <xf borderId="22" fillId="0" fontId="19" numFmtId="0" xfId="0" applyAlignment="1" applyBorder="1" applyFont="1">
      <alignment shrinkToFit="0" vertical="center" wrapText="1"/>
    </xf>
    <xf borderId="34" fillId="0" fontId="19" numFmtId="0" xfId="0" applyAlignment="1" applyBorder="1" applyFont="1">
      <alignment shrinkToFit="0" vertical="center" wrapText="1"/>
    </xf>
    <xf borderId="43" fillId="0" fontId="19" numFmtId="0" xfId="0" applyAlignment="1" applyBorder="1" applyFont="1">
      <alignment shrinkToFit="0" vertical="center" wrapText="1"/>
    </xf>
    <xf borderId="35" fillId="3" fontId="19" numFmtId="0" xfId="0" applyAlignment="1" applyBorder="1" applyFill="1" applyFont="1">
      <alignment horizontal="center" shrinkToFit="0" wrapText="1"/>
    </xf>
    <xf borderId="48" fillId="0" fontId="23" numFmtId="0" xfId="0" applyAlignment="1" applyBorder="1" applyFont="1">
      <alignment horizontal="center" shrinkToFit="0" vertical="center" wrapText="1"/>
    </xf>
    <xf borderId="34" fillId="3" fontId="24" numFmtId="0" xfId="0" applyAlignment="1" applyBorder="1" applyFill="1" applyFont="1">
      <alignment horizontal="center" shrinkToFit="0" vertical="center" wrapText="1"/>
    </xf>
    <xf borderId="48" fillId="3" fontId="15" numFmtId="0" xfId="0" applyAlignment="1" applyBorder="1" applyFill="1" applyFont="1">
      <alignment horizontal="center"/>
    </xf>
    <xf borderId="43" fillId="3" fontId="24" numFmtId="0" xfId="0" applyAlignment="1" applyBorder="1" applyFill="1" applyFont="1">
      <alignment horizontal="center" shrinkToFit="0" vertical="center" wrapText="1"/>
    </xf>
    <xf borderId="69" fillId="9" fontId="15" numFmtId="49" xfId="0" applyAlignment="1" applyBorder="1" applyFill="1" applyFont="1" applyNumberFormat="1">
      <alignment horizontal="center" shrinkToFit="0" vertical="center" wrapText="1"/>
    </xf>
    <xf borderId="34" fillId="9" fontId="15" numFmtId="49" xfId="0" applyAlignment="1" applyBorder="1" applyFill="1" applyFont="1" applyNumberFormat="1">
      <alignment horizontal="center" shrinkToFit="0" vertical="center" wrapText="1"/>
    </xf>
    <xf borderId="48" fillId="6" fontId="15" numFmtId="0" xfId="0" applyAlignment="1" applyBorder="1" applyFill="1" applyFont="1">
      <alignment horizontal="center"/>
    </xf>
    <xf borderId="72" fillId="0" fontId="19" numFmtId="14" xfId="0" applyAlignment="1" applyBorder="1" applyFont="1" applyNumberFormat="1">
      <alignment shrinkToFit="0" vertical="center" wrapText="1"/>
    </xf>
    <xf borderId="73" fillId="0" fontId="24" numFmtId="0" xfId="0" applyAlignment="1" applyBorder="1" applyFont="1">
      <alignment horizontal="center" shrinkToFit="0" vertical="center" wrapText="1"/>
    </xf>
    <xf borderId="62" fillId="0" fontId="29" numFmtId="14" xfId="0" applyAlignment="1" applyBorder="1" applyFont="1" applyNumberFormat="1">
      <alignment shrinkToFit="0" vertical="center" wrapText="1"/>
    </xf>
    <xf borderId="28" fillId="0" fontId="24" numFmtId="0" xfId="0" applyAlignment="1" applyBorder="1" applyFont="1">
      <alignment horizontal="center" shrinkToFit="0" vertical="center" wrapText="1"/>
    </xf>
    <xf borderId="74" fillId="3" fontId="19" numFmtId="0" xfId="0" applyAlignment="1" applyBorder="1" applyFill="1" applyFont="1">
      <alignment shrinkToFit="0" vertical="center" wrapText="1"/>
    </xf>
    <xf borderId="75" fillId="3" fontId="19" numFmtId="0" xfId="0" applyAlignment="1" applyBorder="1" applyFill="1" applyFont="1">
      <alignment shrinkToFit="0" vertical="center" wrapText="1"/>
    </xf>
    <xf borderId="47" fillId="3" fontId="24" numFmtId="0" xfId="0" applyAlignment="1" applyBorder="1" applyFill="1" applyFont="1">
      <alignment horizontal="center" shrinkToFit="0" vertical="center" wrapText="1"/>
    </xf>
    <xf borderId="47" fillId="10" fontId="24" numFmtId="0" xfId="0" applyAlignment="1" applyBorder="1" applyFill="1" applyFont="1">
      <alignment horizontal="center" shrinkToFit="0" vertical="center" wrapText="1"/>
    </xf>
    <xf borderId="0" fillId="0" fontId="2" numFmtId="0" xfId="0" applyFont="1"/>
    <xf borderId="0" fillId="0" fontId="1" numFmtId="0" xfId="0" applyAlignment="1" applyFont="1">
      <alignment horizontal="center"/>
    </xf>
    <xf borderId="76" fillId="3" fontId="1" numFmtId="0" xfId="0" applyBorder="1" applyFill="1" applyFont="1"/>
    <xf borderId="77" fillId="0" fontId="7" numFmtId="0" xfId="0" applyBorder="1" applyFont="1"/>
    <xf borderId="1" fillId="3" fontId="30" numFmtId="14" xfId="0" applyAlignment="1" applyBorder="1" applyFill="1" applyFont="1" applyNumberFormat="1">
      <alignment shrinkToFit="0" vertical="center" wrapText="1"/>
    </xf>
    <xf borderId="1" fillId="3" fontId="31" numFmtId="0" xfId="0" applyAlignment="1" applyBorder="1" applyFill="1" applyFont="1">
      <alignment horizontal="center" shrinkToFit="0" vertical="center" wrapText="1"/>
    </xf>
    <xf borderId="1" fillId="3" fontId="1" numFmtId="0" xfId="0" applyBorder="1" applyFill="1" applyFont="1"/>
    <xf borderId="78" fillId="0" fontId="32" numFmtId="0" xfId="0" applyAlignment="1" applyBorder="1" applyFont="1">
      <alignment horizontal="center"/>
    </xf>
    <xf borderId="79" fillId="0" fontId="32" numFmtId="0" xfId="0" applyBorder="1" applyFont="1"/>
    <xf borderId="80" fillId="0" fontId="7" numFmtId="0" xfId="0" applyBorder="1" applyFont="1"/>
    <xf borderId="81" fillId="0" fontId="32" numFmtId="0" xfId="0" applyAlignment="1" applyBorder="1" applyFont="1">
      <alignment horizontal="center" vertical="center"/>
    </xf>
    <xf borderId="81" fillId="0" fontId="32" numFmtId="0" xfId="0" applyAlignment="1" applyBorder="1" applyFont="1">
      <alignment horizontal="center"/>
    </xf>
    <xf borderId="82" fillId="0" fontId="7" numFmtId="0" xfId="0" applyBorder="1" applyFont="1"/>
    <xf borderId="83" fillId="0" fontId="1" numFmtId="0" xfId="0" applyBorder="1" applyFont="1"/>
    <xf borderId="84" fillId="0" fontId="32" numFmtId="0" xfId="0" applyAlignment="1" applyBorder="1" applyFont="1">
      <alignment horizontal="center"/>
    </xf>
    <xf borderId="85" fillId="0" fontId="32" numFmtId="0" xfId="0" applyBorder="1" applyFont="1"/>
    <xf borderId="86" fillId="0" fontId="1" numFmtId="0" xfId="0" applyBorder="1" applyFont="1"/>
    <xf borderId="87" fillId="0" fontId="33" numFmtId="0" xfId="0" applyAlignment="1" applyBorder="1" applyFont="1">
      <alignment vertical="center"/>
    </xf>
    <xf borderId="88" fillId="0" fontId="1" numFmtId="0" xfId="0" applyBorder="1" applyFont="1"/>
    <xf borderId="85" fillId="0" fontId="33" numFmtId="0" xfId="0" applyAlignment="1" applyBorder="1" applyFont="1">
      <alignment vertical="center"/>
    </xf>
    <xf borderId="89" fillId="0" fontId="1" numFmtId="0" xfId="0" applyBorder="1" applyFont="1"/>
    <xf borderId="90" fillId="0" fontId="1" numFmtId="0" xfId="0" applyBorder="1" applyFont="1"/>
    <xf borderId="91" fillId="0" fontId="1" numFmtId="0" xfId="0" applyBorder="1" applyFont="1"/>
    <xf borderId="92" fillId="0" fontId="1" numFmtId="0" xfId="0" applyBorder="1" applyFont="1"/>
    <xf borderId="88" fillId="0" fontId="29" numFmtId="0" xfId="0" applyBorder="1" applyFont="1"/>
    <xf borderId="93" fillId="0" fontId="29" numFmtId="0" xfId="0" applyBorder="1" applyFont="1"/>
    <xf borderId="83" fillId="0" fontId="34" numFmtId="0" xfId="0" applyBorder="1" applyFont="1"/>
    <xf borderId="0" fillId="0" fontId="35" numFmtId="0" xfId="0" applyAlignment="1" applyFont="1">
      <alignment horizontal="center"/>
    </xf>
    <xf borderId="83" fillId="0" fontId="32" numFmtId="0" xfId="0" applyAlignment="1" applyBorder="1" applyFont="1">
      <alignment horizontal="center"/>
    </xf>
    <xf borderId="94" fillId="0" fontId="32" numFmtId="0" xfId="0" applyBorder="1" applyFont="1"/>
    <xf borderId="95" fillId="0" fontId="1" numFmtId="0" xfId="0" applyBorder="1" applyFont="1"/>
    <xf borderId="96" fillId="0" fontId="33" numFmtId="0" xfId="0" applyAlignment="1" applyBorder="1" applyFont="1">
      <alignment vertical="center"/>
    </xf>
    <xf borderId="97" fillId="0" fontId="1" numFmtId="0" xfId="0" applyBorder="1" applyFont="1"/>
    <xf borderId="98" fillId="0" fontId="1" numFmtId="0" xfId="0" applyBorder="1" applyFont="1"/>
    <xf borderId="99" fillId="0" fontId="1" numFmtId="0" xfId="0" applyBorder="1" applyFont="1"/>
    <xf borderId="97" fillId="0" fontId="29" numFmtId="0" xfId="0" applyBorder="1" applyFont="1"/>
    <xf borderId="98" fillId="0" fontId="29" numFmtId="0" xfId="0" applyBorder="1" applyFont="1"/>
    <xf borderId="100" fillId="0" fontId="1" numFmtId="0" xfId="0" applyBorder="1" applyFont="1"/>
    <xf borderId="94" fillId="0" fontId="33" numFmtId="0" xfId="0" applyAlignment="1" applyBorder="1" applyFont="1">
      <alignment vertical="center"/>
    </xf>
    <xf borderId="101" fillId="0" fontId="1" numFmtId="0" xfId="0" applyBorder="1" applyFont="1"/>
    <xf borderId="96" fillId="0" fontId="32" numFmtId="0" xfId="0" applyBorder="1" applyFont="1"/>
    <xf borderId="95" fillId="0" fontId="29" numFmtId="0" xfId="0" applyBorder="1" applyFont="1"/>
    <xf borderId="0" fillId="0" fontId="36" numFmtId="0" xfId="0" applyFont="1"/>
    <xf borderId="102" fillId="0" fontId="29" numFmtId="0" xfId="0" applyBorder="1" applyFont="1"/>
    <xf borderId="0" fillId="0" fontId="32" numFmtId="0" xfId="0" applyAlignment="1" applyFont="1">
      <alignment horizontal="center"/>
    </xf>
    <xf borderId="0" fillId="0" fontId="32" numFmtId="0" xfId="0" applyFont="1"/>
    <xf borderId="0" fillId="0" fontId="32" numFmtId="0" xfId="0" applyAlignment="1" applyFont="1">
      <alignment horizontal="center" vertical="center"/>
    </xf>
    <xf borderId="0" fillId="0" fontId="29" numFmtId="0" xfId="0" applyFont="1"/>
    <xf borderId="0" fillId="0" fontId="29" numFmtId="0" xfId="0" applyAlignment="1" applyFont="1">
      <alignment horizontal="center"/>
    </xf>
    <xf borderId="0" fillId="0" fontId="34" numFmtId="0" xfId="0" applyFont="1"/>
    <xf borderId="0" fillId="0" fontId="37" numFmtId="14" xfId="0" applyFont="1" applyNumberFormat="1"/>
    <xf borderId="0" fillId="0" fontId="37" numFmtId="0" xfId="0" applyFont="1"/>
    <xf borderId="0" fillId="0" fontId="33" numFmtId="0" xfId="0" applyAlignment="1" applyFont="1">
      <alignment vertical="center"/>
    </xf>
  </cellXfs>
  <cellStyles count="1">
    <cellStyle xfId="0" name="Normal" builtinId="0"/>
  </cellStyles>
  <dxfs count="2">
    <dxf>
      <font>
        <b/>
      </font>
      <fill>
        <patternFill patternType="none"/>
      </fill>
      <border/>
    </dxf>
    <dxf>
      <font>
        <b/>
        <color rgb="FFFF0000"/>
      </font>
      <fill>
        <patternFill patternType="none"/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200">
                <a:solidFill>
                  <a:srgbClr val="000000"/>
                </a:solidFill>
                <a:latin typeface="Arimo"/>
              </a:defRPr>
            </a:pPr>
            <a:r>
              <a:rPr b="0" i="0" sz="1200">
                <a:solidFill>
                  <a:srgbClr val="000000"/>
                </a:solidFill>
                <a:latin typeface="Arimo"/>
              </a:rPr>
              <a:t>Кількість контрольних операцій по даті ППР блок №1</a:t>
            </a:r>
          </a:p>
        </c:rich>
      </c:tx>
      <c:layout>
        <c:manualLayout>
          <c:xMode val="edge"/>
          <c:yMode val="edge"/>
          <c:x val="0.33150922270450267"/>
          <c:y val="0.028673943229623768"/>
        </c:manualLayout>
      </c:layout>
      <c:overlay val="0"/>
    </c:title>
    <c:plotArea>
      <c:layout>
        <c:manualLayout>
          <c:xMode val="edge"/>
          <c:yMode val="edge"/>
          <c:x val="0.05151730780164816"/>
          <c:y val="0.06456958862271431"/>
          <c:w val="0.9343687058819475"/>
          <c:h val="0.66887471291222"/>
        </c:manualLayout>
      </c:layout>
      <c:lineChart>
        <c:varyColors val="0"/>
        <c:ser>
          <c:idx val="0"/>
          <c:order val="0"/>
          <c:spPr>
            <a:ln cmpd="sng" w="38100">
              <a:solidFill>
                <a:srgbClr val="800080">
                  <a:alpha val="100000"/>
                </a:srgbClr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80">
                  <a:alpha val="100000"/>
                </a:srgbClr>
              </a:solidFill>
              <a:ln cmpd="sng">
                <a:solidFill>
                  <a:srgbClr val="800080">
                    <a:alpha val="100000"/>
                  </a:srgbClr>
                </a:solidFill>
              </a:ln>
            </c:spPr>
          </c:marker>
          <c:cat>
            <c:strRef>
              <c:f>'Таблиця'!$AA$345:$AA$386</c:f>
            </c:strRef>
          </c:cat>
          <c:val>
            <c:numRef>
              <c:f>'Таблиця'!$AB$345:$AB$386</c:f>
              <c:numCache/>
            </c:numRef>
          </c:val>
          <c:smooth val="0"/>
        </c:ser>
        <c:axId val="1621469222"/>
        <c:axId val="1362581674"/>
      </c:lineChart>
      <c:catAx>
        <c:axId val="16214692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62581674"/>
      </c:catAx>
      <c:valAx>
        <c:axId val="136258167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 rot="0"/>
          <a:lstStyle/>
          <a:p>
            <a:pPr lvl="0">
              <a:defRPr b="0" i="0" sz="1300">
                <a:solidFill>
                  <a:srgbClr val="000000"/>
                </a:solidFill>
                <a:latin typeface="Arimo"/>
              </a:defRPr>
            </a:pPr>
          </a:p>
        </c:txPr>
        <c:crossAx val="1621469222"/>
      </c:valAx>
      <c:spPr>
        <a:solidFill>
          <a:srgbClr val="339966"/>
        </a:solidFill>
      </c:spPr>
    </c:plotArea>
    <c:plotVisOnly val="1"/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343</xdr:row>
      <xdr:rowOff>38100</xdr:rowOff>
    </xdr:from>
    <xdr:ext cx="13735050" cy="7305675"/>
    <xdr:graphicFrame>
      <xdr:nvGraphicFramePr>
        <xdr:cNvPr id="122128406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2">
    <tabColor rgb="FF008000"/>
    <pageSetUpPr/>
  </sheetPr>
  <sheetViews>
    <sheetView workbookViewId="0">
      <pane ySplit="5.0" topLeftCell="A6" activePane="bottomLeft" state="frozen"/>
      <selection activeCell="B7" sqref="B7" pane="bottomLeft"/>
    </sheetView>
  </sheetViews>
  <sheetFormatPr customHeight="1" defaultColWidth="14.43" defaultRowHeight="15.0"/>
  <cols>
    <col customWidth="1" min="1" max="1" width="11.86"/>
    <col customWidth="1" min="2" max="2" width="18.29"/>
    <col customWidth="1" min="3" max="3" width="6.71"/>
    <col customWidth="1" min="4" max="4" width="11.57"/>
    <col customWidth="1" min="5" max="5" width="4.71"/>
    <col customWidth="1" min="6" max="6" width="11.43"/>
    <col customWidth="1" min="7" max="7" width="4.71"/>
    <col customWidth="1" min="8" max="8" width="11.43"/>
    <col customWidth="1" min="9" max="9" width="5.43"/>
    <col customWidth="1" min="10" max="10" width="11.0"/>
    <col customWidth="1" min="11" max="11" width="4.71"/>
    <col customWidth="1" min="12" max="12" width="11.0"/>
    <col customWidth="1" min="13" max="13" width="4.71"/>
    <col customWidth="1" min="14" max="14" width="11.0"/>
    <col customWidth="1" min="15" max="15" width="4.71"/>
    <col customWidth="1" min="16" max="16" width="11.0"/>
    <col customWidth="1" min="17" max="17" width="4.71"/>
    <col customWidth="1" min="18" max="18" width="11.0"/>
    <col customWidth="1" min="19" max="19" width="4.71"/>
    <col customWidth="1" min="20" max="20" width="11.0"/>
    <col customWidth="1" min="21" max="21" width="4.71"/>
    <col customWidth="1" min="22" max="22" width="11.0"/>
    <col customWidth="1" min="23" max="23" width="4.71"/>
    <col customWidth="1" min="24" max="24" width="11.29"/>
    <col customWidth="1" min="25" max="25" width="18.71"/>
    <col customWidth="1" min="26" max="26" width="10.29"/>
    <col customWidth="1" min="27" max="27" width="11.29"/>
    <col customWidth="1" min="28" max="32" width="9.14"/>
  </cols>
  <sheetData>
    <row r="1" ht="29.25" customHeight="1">
      <c r="A1" s="1"/>
      <c r="B1" s="2"/>
      <c r="C1" s="3"/>
      <c r="D1" s="4" t="s">
        <v>0</v>
      </c>
      <c r="E1" s="5"/>
      <c r="F1" s="4" t="s">
        <v>1</v>
      </c>
      <c r="G1" s="5"/>
      <c r="H1" s="4" t="s">
        <v>2</v>
      </c>
      <c r="I1" s="5"/>
      <c r="J1" s="4" t="s">
        <v>3</v>
      </c>
      <c r="K1" s="5"/>
      <c r="L1" s="4" t="s">
        <v>4</v>
      </c>
      <c r="M1" s="5"/>
      <c r="N1" s="6" t="s">
        <v>5</v>
      </c>
      <c r="O1" s="7"/>
      <c r="P1" s="8" t="s">
        <v>6</v>
      </c>
      <c r="Q1" s="1"/>
      <c r="R1" s="1"/>
      <c r="S1" s="9">
        <f>COUNTIF(D10:Y333,TODAY())</f>
        <v>0</v>
      </c>
      <c r="T1" s="8" t="s">
        <v>7</v>
      </c>
      <c r="U1" s="10" t="s">
        <v>8</v>
      </c>
      <c r="V1" s="11"/>
      <c r="W1" s="11"/>
      <c r="X1" s="11"/>
      <c r="Y1" s="12"/>
      <c r="Z1" s="13"/>
      <c r="AA1" s="14"/>
      <c r="AB1" s="15"/>
      <c r="AC1" s="15"/>
      <c r="AD1" s="16" t="s">
        <v>9</v>
      </c>
      <c r="AE1" s="17"/>
      <c r="AF1" s="17"/>
    </row>
    <row r="2" ht="20.25" customHeight="1">
      <c r="A2" s="18"/>
      <c r="B2" s="19"/>
      <c r="C2" s="20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21"/>
      <c r="AA2" s="22"/>
      <c r="AB2" s="23"/>
      <c r="AC2" s="23"/>
      <c r="AD2" s="24" t="s">
        <v>10</v>
      </c>
      <c r="AE2" s="17"/>
      <c r="AF2" s="17"/>
    </row>
    <row r="3" ht="15.75" customHeight="1">
      <c r="A3" s="25" t="s">
        <v>11</v>
      </c>
      <c r="B3" s="26" t="s">
        <v>12</v>
      </c>
      <c r="C3" s="27" t="s">
        <v>13</v>
      </c>
      <c r="D3" s="28" t="s">
        <v>14</v>
      </c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30"/>
      <c r="X3" s="31"/>
      <c r="Y3" s="31" t="s">
        <v>15</v>
      </c>
      <c r="Z3" s="21"/>
      <c r="AA3" s="17"/>
      <c r="AB3" s="24"/>
      <c r="AC3" s="24"/>
      <c r="AD3" s="24" t="s">
        <v>16</v>
      </c>
      <c r="AE3" s="17"/>
      <c r="AF3" s="17"/>
    </row>
    <row r="4" ht="31.5" customHeight="1">
      <c r="A4" s="32"/>
      <c r="B4" s="32"/>
      <c r="C4" s="32"/>
      <c r="D4" s="33" t="str">
        <f>ROMAN(1)</f>
        <v>I</v>
      </c>
      <c r="E4" s="30"/>
      <c r="F4" s="33" t="str">
        <f>ROMAN(2)</f>
        <v>II</v>
      </c>
      <c r="G4" s="30"/>
      <c r="H4" s="33" t="str">
        <f>ROMAN(3)</f>
        <v>III</v>
      </c>
      <c r="I4" s="30"/>
      <c r="J4" s="33" t="str">
        <f>ROMAN(4)</f>
        <v>IV</v>
      </c>
      <c r="K4" s="30"/>
      <c r="L4" s="33" t="str">
        <f>ROMAN(5)</f>
        <v>V</v>
      </c>
      <c r="M4" s="30"/>
      <c r="N4" s="33" t="str">
        <f>ROMAN(6)</f>
        <v>VI</v>
      </c>
      <c r="O4" s="30"/>
      <c r="P4" s="33" t="str">
        <f>ROMAN(7)</f>
        <v>VII</v>
      </c>
      <c r="Q4" s="30"/>
      <c r="R4" s="33" t="str">
        <f>ROMAN(8)</f>
        <v>VIII</v>
      </c>
      <c r="S4" s="30"/>
      <c r="T4" s="33" t="str">
        <f>ROMAN(9)</f>
        <v>IX</v>
      </c>
      <c r="U4" s="30"/>
      <c r="V4" s="33" t="str">
        <f>ROMAN(10)</f>
        <v>X</v>
      </c>
      <c r="W4" s="30"/>
      <c r="X4" s="34" t="str">
        <f>ROMAN(11)</f>
        <v>XI</v>
      </c>
      <c r="Y4" s="34"/>
      <c r="Z4" s="21"/>
      <c r="AA4" s="17"/>
      <c r="AB4" s="24"/>
      <c r="AC4" s="24"/>
      <c r="AD4" s="24" t="s">
        <v>17</v>
      </c>
      <c r="AE4" s="17"/>
      <c r="AF4" s="17"/>
    </row>
    <row r="5" ht="19.5" customHeight="1">
      <c r="A5" s="35">
        <v>1.0</v>
      </c>
      <c r="B5" s="36">
        <v>2.0</v>
      </c>
      <c r="C5" s="35">
        <v>3.0</v>
      </c>
      <c r="D5" s="37">
        <v>4.0</v>
      </c>
      <c r="E5" s="30"/>
      <c r="F5" s="37">
        <v>5.0</v>
      </c>
      <c r="G5" s="30"/>
      <c r="H5" s="37">
        <v>6.0</v>
      </c>
      <c r="I5" s="30"/>
      <c r="J5" s="37">
        <v>7.0</v>
      </c>
      <c r="K5" s="30"/>
      <c r="L5" s="37">
        <v>8.0</v>
      </c>
      <c r="M5" s="30"/>
      <c r="N5" s="37">
        <v>9.0</v>
      </c>
      <c r="O5" s="30"/>
      <c r="P5" s="37">
        <v>10.0</v>
      </c>
      <c r="Q5" s="30"/>
      <c r="R5" s="37">
        <v>11.0</v>
      </c>
      <c r="S5" s="30"/>
      <c r="T5" s="37">
        <v>12.0</v>
      </c>
      <c r="U5" s="30"/>
      <c r="V5" s="37">
        <v>13.0</v>
      </c>
      <c r="W5" s="30"/>
      <c r="X5" s="35">
        <v>13.0</v>
      </c>
      <c r="Y5" s="35"/>
      <c r="Z5" s="38"/>
      <c r="AA5" s="17"/>
      <c r="AB5" s="24"/>
      <c r="AC5" s="24"/>
      <c r="AD5" s="24"/>
      <c r="AE5" s="17"/>
      <c r="AF5" s="17"/>
    </row>
    <row r="6" ht="24.75" customHeight="1">
      <c r="A6" s="39" t="s">
        <v>0</v>
      </c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1"/>
      <c r="Z6" s="17"/>
      <c r="AA6" s="17"/>
      <c r="AB6" s="17"/>
      <c r="AC6" s="17"/>
      <c r="AD6" s="17"/>
      <c r="AE6" s="17"/>
      <c r="AF6" s="17"/>
    </row>
    <row r="7" ht="22.5" customHeight="1">
      <c r="A7" s="42" t="s">
        <v>18</v>
      </c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4"/>
      <c r="Z7" s="17"/>
      <c r="AA7" s="17"/>
      <c r="AB7" s="17"/>
      <c r="AC7" s="17"/>
      <c r="AD7" s="17"/>
      <c r="AE7" s="17"/>
      <c r="AF7" s="17"/>
    </row>
    <row r="8" ht="13.5" customHeight="1">
      <c r="A8" s="45">
        <v>1.0</v>
      </c>
      <c r="B8" s="46" t="s">
        <v>19</v>
      </c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8"/>
      <c r="Z8" s="17" t="s">
        <v>20</v>
      </c>
      <c r="AA8" s="17"/>
      <c r="AB8" s="17"/>
      <c r="AC8" s="17"/>
      <c r="AD8" s="17"/>
      <c r="AE8" s="17"/>
      <c r="AF8" s="17"/>
    </row>
    <row r="9" ht="13.5" customHeight="1">
      <c r="A9" s="49"/>
      <c r="B9" s="50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2"/>
      <c r="Z9" s="17"/>
      <c r="AA9" s="17"/>
      <c r="AB9" s="17"/>
      <c r="AC9" s="17"/>
      <c r="AD9" s="17"/>
      <c r="AE9" s="17"/>
      <c r="AF9" s="17"/>
    </row>
    <row r="10" ht="15.75" customHeight="1">
      <c r="A10" s="53"/>
      <c r="B10" s="54" t="s">
        <v>21</v>
      </c>
      <c r="C10" s="55"/>
      <c r="D10" s="56"/>
      <c r="E10" s="57"/>
      <c r="F10" s="56"/>
      <c r="G10" s="57"/>
      <c r="H10" s="56"/>
      <c r="I10" s="58"/>
      <c r="J10" s="56"/>
      <c r="K10" s="57"/>
      <c r="L10" s="56"/>
      <c r="M10" s="59"/>
      <c r="N10" s="56"/>
      <c r="O10" s="59"/>
      <c r="P10" s="56"/>
      <c r="Q10" s="60"/>
      <c r="R10" s="56" t="s">
        <v>22</v>
      </c>
      <c r="S10" s="57"/>
      <c r="T10" s="61"/>
      <c r="U10" s="57"/>
      <c r="V10" s="56"/>
      <c r="W10" s="57"/>
      <c r="X10" s="62"/>
      <c r="Y10" s="63"/>
      <c r="Z10" s="17"/>
      <c r="AA10" s="17"/>
      <c r="AB10" s="17"/>
      <c r="AC10" s="17"/>
      <c r="AD10" s="17"/>
      <c r="AE10" s="17"/>
      <c r="AF10" s="17"/>
    </row>
    <row r="11" ht="15.75" customHeight="1">
      <c r="A11" s="53"/>
      <c r="B11" s="64" t="s">
        <v>23</v>
      </c>
      <c r="C11" s="55"/>
      <c r="D11" s="65"/>
      <c r="E11" s="66"/>
      <c r="F11" s="65"/>
      <c r="G11" s="66"/>
      <c r="H11" s="65"/>
      <c r="I11" s="66"/>
      <c r="J11" s="65"/>
      <c r="K11" s="66"/>
      <c r="L11" s="67"/>
      <c r="M11" s="68"/>
      <c r="N11" s="67"/>
      <c r="O11" s="68"/>
      <c r="P11" s="69"/>
      <c r="Q11" s="70"/>
      <c r="R11" s="71" t="s">
        <v>22</v>
      </c>
      <c r="S11" s="72"/>
      <c r="T11" s="73"/>
      <c r="U11" s="72"/>
      <c r="V11" s="71"/>
      <c r="W11" s="72"/>
      <c r="X11" s="74"/>
      <c r="Y11" s="63"/>
      <c r="Z11" s="17"/>
      <c r="AA11" s="17"/>
      <c r="AB11" s="17"/>
      <c r="AC11" s="17"/>
      <c r="AD11" s="17"/>
      <c r="AE11" s="17"/>
      <c r="AF11" s="17"/>
    </row>
    <row r="12" ht="15.75" customHeight="1">
      <c r="A12" s="53"/>
      <c r="B12" s="64" t="s">
        <v>24</v>
      </c>
      <c r="C12" s="55"/>
      <c r="D12" s="69"/>
      <c r="E12" s="66"/>
      <c r="F12" s="65"/>
      <c r="G12" s="66"/>
      <c r="H12" s="65"/>
      <c r="I12" s="66"/>
      <c r="J12" s="65"/>
      <c r="K12" s="66"/>
      <c r="L12" s="75"/>
      <c r="M12" s="68"/>
      <c r="N12" s="75"/>
      <c r="O12" s="68"/>
      <c r="P12" s="69"/>
      <c r="Q12" s="70"/>
      <c r="R12" s="71" t="s">
        <v>22</v>
      </c>
      <c r="S12" s="72"/>
      <c r="T12" s="73"/>
      <c r="U12" s="72"/>
      <c r="V12" s="71"/>
      <c r="W12" s="72"/>
      <c r="X12" s="74"/>
      <c r="Y12" s="63"/>
      <c r="Z12" s="17"/>
      <c r="AA12" s="17"/>
      <c r="AB12" s="17"/>
      <c r="AC12" s="17"/>
      <c r="AD12" s="17"/>
      <c r="AE12" s="17"/>
      <c r="AF12" s="17"/>
    </row>
    <row r="13" ht="15.75" customHeight="1">
      <c r="A13" s="53"/>
      <c r="B13" s="64" t="s">
        <v>25</v>
      </c>
      <c r="C13" s="55"/>
      <c r="D13" s="65"/>
      <c r="E13" s="66"/>
      <c r="F13" s="69"/>
      <c r="G13" s="66"/>
      <c r="H13" s="65"/>
      <c r="I13" s="66"/>
      <c r="J13" s="65"/>
      <c r="K13" s="66"/>
      <c r="L13" s="65"/>
      <c r="M13" s="68"/>
      <c r="N13" s="65"/>
      <c r="O13" s="68"/>
      <c r="P13" s="65"/>
      <c r="Q13" s="70"/>
      <c r="R13" s="76" t="s">
        <v>22</v>
      </c>
      <c r="S13" s="72"/>
      <c r="T13" s="77"/>
      <c r="U13" s="78"/>
      <c r="V13" s="71"/>
      <c r="W13" s="72"/>
      <c r="X13" s="74"/>
      <c r="Y13" s="63"/>
      <c r="Z13" s="79"/>
      <c r="AA13" s="80"/>
      <c r="AB13" s="80"/>
      <c r="AC13" s="81"/>
      <c r="AD13" s="81"/>
      <c r="AE13" s="81"/>
      <c r="AF13" s="81"/>
    </row>
    <row r="14" ht="15.75" customHeight="1">
      <c r="A14" s="53"/>
      <c r="B14" s="64" t="s">
        <v>26</v>
      </c>
      <c r="C14" s="55"/>
      <c r="D14" s="65"/>
      <c r="E14" s="66"/>
      <c r="F14" s="65"/>
      <c r="G14" s="66"/>
      <c r="H14" s="65"/>
      <c r="I14" s="66"/>
      <c r="J14" s="65"/>
      <c r="K14" s="66"/>
      <c r="L14" s="67"/>
      <c r="M14" s="68"/>
      <c r="N14" s="67"/>
      <c r="O14" s="68"/>
      <c r="P14" s="65"/>
      <c r="Q14" s="70"/>
      <c r="R14" s="82" t="s">
        <v>22</v>
      </c>
      <c r="S14" s="83"/>
      <c r="T14" s="61"/>
      <c r="U14" s="84"/>
      <c r="V14" s="73"/>
      <c r="W14" s="72"/>
      <c r="X14" s="74"/>
      <c r="Y14" s="63"/>
      <c r="Z14" s="79"/>
      <c r="AA14" s="80"/>
      <c r="AB14" s="80"/>
      <c r="AC14" s="81"/>
      <c r="AD14" s="81"/>
      <c r="AE14" s="81"/>
      <c r="AF14" s="81"/>
    </row>
    <row r="15" ht="17.25" customHeight="1">
      <c r="A15" s="53"/>
      <c r="B15" s="64" t="s">
        <v>27</v>
      </c>
      <c r="C15" s="55"/>
      <c r="D15" s="65"/>
      <c r="E15" s="66"/>
      <c r="F15" s="65"/>
      <c r="G15" s="66"/>
      <c r="H15" s="65"/>
      <c r="I15" s="66"/>
      <c r="J15" s="65"/>
      <c r="K15" s="66"/>
      <c r="L15" s="67"/>
      <c r="M15" s="68"/>
      <c r="N15" s="67"/>
      <c r="O15" s="68"/>
      <c r="P15" s="65"/>
      <c r="Q15" s="70"/>
      <c r="R15" s="71" t="s">
        <v>22</v>
      </c>
      <c r="S15" s="72"/>
      <c r="T15" s="73"/>
      <c r="U15" s="72"/>
      <c r="V15" s="71"/>
      <c r="W15" s="72"/>
      <c r="X15" s="83"/>
      <c r="Y15" s="85"/>
      <c r="Z15" s="79"/>
      <c r="AA15" s="80"/>
      <c r="AB15" s="80"/>
      <c r="AC15" s="81"/>
      <c r="AD15" s="81"/>
      <c r="AE15" s="81"/>
      <c r="AF15" s="81"/>
    </row>
    <row r="16" ht="13.5" customHeight="1">
      <c r="A16" s="45">
        <v>2.0</v>
      </c>
      <c r="B16" s="46" t="s">
        <v>28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8"/>
      <c r="Z16" s="79"/>
      <c r="AA16" s="80"/>
      <c r="AB16" s="80"/>
      <c r="AC16" s="81"/>
      <c r="AD16" s="81"/>
      <c r="AE16" s="81"/>
      <c r="AF16" s="81"/>
    </row>
    <row r="17" ht="13.5" customHeight="1">
      <c r="A17" s="49"/>
      <c r="B17" s="50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2"/>
      <c r="Z17" s="79"/>
      <c r="AA17" s="80"/>
      <c r="AB17" s="80"/>
      <c r="AC17" s="81"/>
      <c r="AD17" s="81"/>
      <c r="AE17" s="81"/>
      <c r="AF17" s="81"/>
    </row>
    <row r="18" ht="15.75" customHeight="1">
      <c r="A18" s="53"/>
      <c r="B18" s="54" t="s">
        <v>29</v>
      </c>
      <c r="C18" s="55"/>
      <c r="D18" s="56"/>
      <c r="E18" s="57"/>
      <c r="F18" s="56"/>
      <c r="G18" s="57"/>
      <c r="H18" s="56"/>
      <c r="I18" s="58"/>
      <c r="J18" s="86" t="s">
        <v>22</v>
      </c>
      <c r="K18" s="57"/>
      <c r="L18" s="87"/>
      <c r="M18" s="57"/>
      <c r="N18" s="87"/>
      <c r="O18" s="57"/>
      <c r="P18" s="87"/>
      <c r="Q18" s="57"/>
      <c r="R18" s="87"/>
      <c r="S18" s="57"/>
      <c r="T18" s="87"/>
      <c r="U18" s="57"/>
      <c r="V18" s="56"/>
      <c r="W18" s="57"/>
      <c r="X18" s="62"/>
      <c r="Y18" s="63"/>
      <c r="Z18" s="79"/>
      <c r="AA18" s="80"/>
      <c r="AB18" s="80"/>
      <c r="AC18" s="81"/>
      <c r="AD18" s="81"/>
      <c r="AE18" s="81"/>
      <c r="AF18" s="81"/>
    </row>
    <row r="19" ht="15.75" customHeight="1">
      <c r="A19" s="53"/>
      <c r="B19" s="64" t="s">
        <v>30</v>
      </c>
      <c r="C19" s="55"/>
      <c r="D19" s="65"/>
      <c r="E19" s="66"/>
      <c r="F19" s="65"/>
      <c r="G19" s="66"/>
      <c r="H19" s="65"/>
      <c r="I19" s="66"/>
      <c r="J19" s="86" t="s">
        <v>22</v>
      </c>
      <c r="K19" s="72"/>
      <c r="L19" s="87"/>
      <c r="M19" s="57"/>
      <c r="N19" s="87"/>
      <c r="O19" s="57"/>
      <c r="P19" s="87"/>
      <c r="Q19" s="57"/>
      <c r="R19" s="87"/>
      <c r="S19" s="57"/>
      <c r="T19" s="87"/>
      <c r="U19" s="57"/>
      <c r="V19" s="56"/>
      <c r="W19" s="57"/>
      <c r="X19" s="62"/>
      <c r="Y19" s="63"/>
      <c r="Z19" s="79"/>
      <c r="AA19" s="80"/>
      <c r="AB19" s="80"/>
      <c r="AC19" s="81"/>
      <c r="AD19" s="81"/>
      <c r="AE19" s="81"/>
      <c r="AF19" s="81"/>
    </row>
    <row r="20" ht="15.0" customHeight="1">
      <c r="A20" s="88"/>
      <c r="B20" s="64" t="s">
        <v>31</v>
      </c>
      <c r="C20" s="55"/>
      <c r="D20" s="56"/>
      <c r="E20" s="57"/>
      <c r="F20" s="56"/>
      <c r="G20" s="57"/>
      <c r="H20" s="56"/>
      <c r="I20" s="57"/>
      <c r="J20" s="86" t="s">
        <v>22</v>
      </c>
      <c r="K20" s="57"/>
      <c r="L20" s="87"/>
      <c r="M20" s="57"/>
      <c r="N20" s="87"/>
      <c r="O20" s="57"/>
      <c r="P20" s="87"/>
      <c r="Q20" s="57"/>
      <c r="R20" s="87"/>
      <c r="S20" s="57"/>
      <c r="T20" s="87"/>
      <c r="U20" s="57"/>
      <c r="V20" s="56"/>
      <c r="W20" s="57"/>
      <c r="X20" s="62"/>
      <c r="Y20" s="63"/>
      <c r="Z20" s="79"/>
      <c r="AA20" s="80"/>
      <c r="AB20" s="80"/>
      <c r="AC20" s="81"/>
      <c r="AD20" s="81"/>
      <c r="AE20" s="81"/>
      <c r="AF20" s="81"/>
    </row>
    <row r="21" ht="13.5" customHeight="1">
      <c r="A21" s="45">
        <v>3.0</v>
      </c>
      <c r="B21" s="46" t="s">
        <v>32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8"/>
      <c r="Z21" s="79"/>
      <c r="AA21" s="80"/>
      <c r="AB21" s="80"/>
      <c r="AC21" s="81"/>
      <c r="AD21" s="81"/>
      <c r="AE21" s="81"/>
      <c r="AF21" s="81"/>
    </row>
    <row r="22" ht="13.5" customHeight="1">
      <c r="A22" s="49"/>
      <c r="B22" s="50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2"/>
      <c r="Z22" s="79"/>
      <c r="AA22" s="80"/>
      <c r="AB22" s="80"/>
      <c r="AC22" s="81"/>
      <c r="AD22" s="81"/>
      <c r="AE22" s="81"/>
      <c r="AF22" s="81"/>
    </row>
    <row r="23" ht="15.75" customHeight="1">
      <c r="A23" s="53"/>
      <c r="B23" s="54" t="s">
        <v>33</v>
      </c>
      <c r="C23" s="55"/>
      <c r="D23" s="56"/>
      <c r="E23" s="57"/>
      <c r="F23" s="56"/>
      <c r="G23" s="57"/>
      <c r="H23" s="56"/>
      <c r="I23" s="58"/>
      <c r="J23" s="56"/>
      <c r="K23" s="57"/>
      <c r="L23" s="86" t="s">
        <v>22</v>
      </c>
      <c r="M23" s="57"/>
      <c r="N23" s="87"/>
      <c r="O23" s="57"/>
      <c r="P23" s="87"/>
      <c r="Q23" s="57"/>
      <c r="R23" s="87"/>
      <c r="S23" s="57"/>
      <c r="T23" s="87"/>
      <c r="U23" s="57"/>
      <c r="V23" s="56"/>
      <c r="W23" s="57"/>
      <c r="X23" s="62"/>
      <c r="Y23" s="63"/>
      <c r="Z23" s="79"/>
      <c r="AA23" s="80"/>
      <c r="AB23" s="80"/>
      <c r="AC23" s="81"/>
      <c r="AD23" s="81"/>
      <c r="AE23" s="81"/>
      <c r="AF23" s="81"/>
    </row>
    <row r="24" ht="15.75" customHeight="1">
      <c r="A24" s="53"/>
      <c r="B24" s="64" t="s">
        <v>34</v>
      </c>
      <c r="C24" s="55"/>
      <c r="D24" s="65"/>
      <c r="E24" s="66"/>
      <c r="F24" s="65"/>
      <c r="G24" s="66"/>
      <c r="H24" s="65"/>
      <c r="I24" s="66"/>
      <c r="J24" s="65"/>
      <c r="K24" s="66"/>
      <c r="L24" s="86" t="s">
        <v>22</v>
      </c>
      <c r="M24" s="57"/>
      <c r="N24" s="87"/>
      <c r="O24" s="57"/>
      <c r="P24" s="87"/>
      <c r="Q24" s="57"/>
      <c r="R24" s="87"/>
      <c r="S24" s="57"/>
      <c r="T24" s="87"/>
      <c r="U24" s="57"/>
      <c r="V24" s="56"/>
      <c r="W24" s="57"/>
      <c r="X24" s="62"/>
      <c r="Y24" s="63"/>
      <c r="Z24" s="79"/>
      <c r="AA24" s="80"/>
      <c r="AB24" s="80"/>
      <c r="AC24" s="81"/>
      <c r="AD24" s="81"/>
      <c r="AE24" s="81"/>
      <c r="AF24" s="81"/>
    </row>
    <row r="25" ht="16.5" customHeight="1">
      <c r="A25" s="88"/>
      <c r="B25" s="64" t="s">
        <v>35</v>
      </c>
      <c r="C25" s="55"/>
      <c r="D25" s="56"/>
      <c r="E25" s="57"/>
      <c r="F25" s="87"/>
      <c r="G25" s="57"/>
      <c r="H25" s="87"/>
      <c r="I25" s="57"/>
      <c r="J25" s="87"/>
      <c r="K25" s="57"/>
      <c r="L25" s="86" t="s">
        <v>22</v>
      </c>
      <c r="M25" s="57"/>
      <c r="N25" s="87"/>
      <c r="O25" s="57"/>
      <c r="P25" s="87"/>
      <c r="Q25" s="57"/>
      <c r="R25" s="87"/>
      <c r="S25" s="57"/>
      <c r="T25" s="87"/>
      <c r="U25" s="57"/>
      <c r="V25" s="56"/>
      <c r="W25" s="57"/>
      <c r="X25" s="62"/>
      <c r="Y25" s="63"/>
      <c r="Z25" s="79"/>
      <c r="AA25" s="80"/>
      <c r="AB25" s="80"/>
      <c r="AC25" s="81"/>
      <c r="AD25" s="81"/>
      <c r="AE25" s="81"/>
      <c r="AF25" s="81"/>
    </row>
    <row r="26" ht="13.5" customHeight="1">
      <c r="A26" s="45">
        <v>4.0</v>
      </c>
      <c r="B26" s="46" t="s">
        <v>36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8"/>
      <c r="Z26" s="79"/>
      <c r="AA26" s="80"/>
      <c r="AB26" s="80"/>
      <c r="AC26" s="81"/>
      <c r="AD26" s="81"/>
      <c r="AE26" s="81"/>
      <c r="AF26" s="81"/>
    </row>
    <row r="27" ht="13.5" customHeight="1">
      <c r="A27" s="49"/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2"/>
      <c r="Z27" s="79"/>
      <c r="AA27" s="80"/>
      <c r="AB27" s="80"/>
      <c r="AC27" s="81"/>
      <c r="AD27" s="81"/>
      <c r="AE27" s="81"/>
      <c r="AF27" s="81"/>
    </row>
    <row r="28" ht="18.75" customHeight="1">
      <c r="A28" s="53"/>
      <c r="B28" s="54" t="s">
        <v>37</v>
      </c>
      <c r="C28" s="55"/>
      <c r="D28" s="56"/>
      <c r="E28" s="57"/>
      <c r="F28" s="86" t="s">
        <v>22</v>
      </c>
      <c r="G28" s="57"/>
      <c r="H28" s="87"/>
      <c r="I28" s="58"/>
      <c r="J28" s="87"/>
      <c r="K28" s="57"/>
      <c r="L28" s="87"/>
      <c r="M28" s="57"/>
      <c r="N28" s="87"/>
      <c r="O28" s="57"/>
      <c r="P28" s="87"/>
      <c r="Q28" s="57"/>
      <c r="R28" s="87"/>
      <c r="S28" s="57"/>
      <c r="T28" s="87"/>
      <c r="U28" s="57"/>
      <c r="V28" s="56"/>
      <c r="W28" s="57"/>
      <c r="X28" s="62"/>
      <c r="Y28" s="63"/>
      <c r="Z28" s="79"/>
      <c r="AA28" s="80"/>
      <c r="AB28" s="80"/>
      <c r="AC28" s="81"/>
      <c r="AD28" s="81"/>
      <c r="AE28" s="81"/>
      <c r="AF28" s="81"/>
    </row>
    <row r="29" ht="17.25" customHeight="1">
      <c r="A29" s="53"/>
      <c r="B29" s="64" t="s">
        <v>38</v>
      </c>
      <c r="C29" s="55"/>
      <c r="D29" s="56"/>
      <c r="E29" s="66"/>
      <c r="F29" s="86" t="s">
        <v>22</v>
      </c>
      <c r="G29" s="72"/>
      <c r="H29" s="71"/>
      <c r="I29" s="72"/>
      <c r="J29" s="89"/>
      <c r="K29" s="72"/>
      <c r="L29" s="87"/>
      <c r="M29" s="57"/>
      <c r="N29" s="87"/>
      <c r="O29" s="57"/>
      <c r="P29" s="87"/>
      <c r="Q29" s="57"/>
      <c r="R29" s="87"/>
      <c r="S29" s="57"/>
      <c r="T29" s="87"/>
      <c r="U29" s="57"/>
      <c r="V29" s="56"/>
      <c r="W29" s="57"/>
      <c r="X29" s="62"/>
      <c r="Y29" s="63"/>
      <c r="Z29" s="79"/>
      <c r="AA29" s="80"/>
      <c r="AB29" s="80"/>
      <c r="AC29" s="81"/>
      <c r="AD29" s="81"/>
      <c r="AE29" s="81"/>
      <c r="AF29" s="81"/>
    </row>
    <row r="30" ht="15.75" customHeight="1">
      <c r="A30" s="88"/>
      <c r="B30" s="64" t="s">
        <v>39</v>
      </c>
      <c r="C30" s="55"/>
      <c r="D30" s="56"/>
      <c r="E30" s="57"/>
      <c r="F30" s="86" t="s">
        <v>22</v>
      </c>
      <c r="G30" s="57"/>
      <c r="H30" s="87"/>
      <c r="I30" s="57"/>
      <c r="J30" s="87"/>
      <c r="K30" s="57"/>
      <c r="L30" s="87"/>
      <c r="M30" s="57"/>
      <c r="N30" s="87"/>
      <c r="O30" s="57"/>
      <c r="P30" s="87"/>
      <c r="Q30" s="57"/>
      <c r="R30" s="87"/>
      <c r="S30" s="57"/>
      <c r="T30" s="87"/>
      <c r="U30" s="57"/>
      <c r="V30" s="56"/>
      <c r="W30" s="57"/>
      <c r="X30" s="62"/>
      <c r="Y30" s="63"/>
      <c r="Z30" s="79"/>
      <c r="AA30" s="80"/>
      <c r="AB30" s="80"/>
      <c r="AC30" s="81"/>
      <c r="AD30" s="81"/>
      <c r="AE30" s="81"/>
      <c r="AF30" s="81"/>
    </row>
    <row r="31" ht="13.5" customHeight="1">
      <c r="A31" s="45">
        <v>5.0</v>
      </c>
      <c r="B31" s="46" t="s">
        <v>40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8"/>
      <c r="Z31" s="79"/>
      <c r="AA31" s="80"/>
      <c r="AB31" s="80"/>
      <c r="AC31" s="81"/>
      <c r="AD31" s="81"/>
      <c r="AE31" s="81"/>
      <c r="AF31" s="81"/>
    </row>
    <row r="32" ht="13.5" customHeight="1">
      <c r="A32" s="49"/>
      <c r="B32" s="50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2"/>
      <c r="Z32" s="79"/>
      <c r="AA32" s="80"/>
      <c r="AB32" s="80"/>
      <c r="AC32" s="81"/>
      <c r="AD32" s="81"/>
      <c r="AE32" s="81"/>
      <c r="AF32" s="81"/>
    </row>
    <row r="33" ht="18.0" customHeight="1">
      <c r="A33" s="53"/>
      <c r="B33" s="54" t="s">
        <v>41</v>
      </c>
      <c r="C33" s="90"/>
      <c r="D33" s="56"/>
      <c r="E33" s="91"/>
      <c r="F33" s="86" t="s">
        <v>22</v>
      </c>
      <c r="G33" s="57"/>
      <c r="H33" s="87"/>
      <c r="I33" s="58"/>
      <c r="J33" s="87"/>
      <c r="K33" s="57"/>
      <c r="L33" s="87"/>
      <c r="M33" s="57"/>
      <c r="N33" s="87"/>
      <c r="O33" s="57"/>
      <c r="P33" s="87"/>
      <c r="Q33" s="57"/>
      <c r="R33" s="87"/>
      <c r="S33" s="57"/>
      <c r="T33" s="87"/>
      <c r="U33" s="57"/>
      <c r="V33" s="56"/>
      <c r="W33" s="57"/>
      <c r="X33" s="62"/>
      <c r="Y33" s="63"/>
      <c r="Z33" s="79"/>
      <c r="AA33" s="80"/>
      <c r="AB33" s="80"/>
      <c r="AC33" s="81"/>
      <c r="AD33" s="81"/>
      <c r="AE33" s="81"/>
      <c r="AF33" s="81"/>
    </row>
    <row r="34" ht="17.25" customHeight="1">
      <c r="A34" s="53"/>
      <c r="B34" s="64" t="s">
        <v>42</v>
      </c>
      <c r="C34" s="55"/>
      <c r="D34" s="56"/>
      <c r="E34" s="66"/>
      <c r="F34" s="86" t="s">
        <v>22</v>
      </c>
      <c r="G34" s="72"/>
      <c r="H34" s="71"/>
      <c r="I34" s="72"/>
      <c r="J34" s="71"/>
      <c r="K34" s="72"/>
      <c r="L34" s="87"/>
      <c r="M34" s="57"/>
      <c r="N34" s="87"/>
      <c r="O34" s="57"/>
      <c r="P34" s="87"/>
      <c r="Q34" s="57"/>
      <c r="R34" s="87"/>
      <c r="S34" s="57"/>
      <c r="T34" s="87"/>
      <c r="U34" s="57"/>
      <c r="V34" s="56"/>
      <c r="W34" s="57"/>
      <c r="X34" s="62"/>
      <c r="Y34" s="63"/>
      <c r="Z34" s="79"/>
      <c r="AA34" s="80"/>
      <c r="AB34" s="80"/>
      <c r="AC34" s="81"/>
      <c r="AD34" s="81"/>
      <c r="AE34" s="81"/>
      <c r="AF34" s="81"/>
    </row>
    <row r="35" ht="16.5" customHeight="1">
      <c r="A35" s="88"/>
      <c r="B35" s="64" t="s">
        <v>43</v>
      </c>
      <c r="C35" s="55"/>
      <c r="D35" s="56"/>
      <c r="E35" s="57"/>
      <c r="F35" s="86" t="s">
        <v>22</v>
      </c>
      <c r="G35" s="57"/>
      <c r="H35" s="87"/>
      <c r="I35" s="57"/>
      <c r="J35" s="87"/>
      <c r="K35" s="57"/>
      <c r="L35" s="87"/>
      <c r="M35" s="57"/>
      <c r="N35" s="87"/>
      <c r="O35" s="57"/>
      <c r="P35" s="87"/>
      <c r="Q35" s="57"/>
      <c r="R35" s="87"/>
      <c r="S35" s="57"/>
      <c r="T35" s="87"/>
      <c r="U35" s="57"/>
      <c r="V35" s="56"/>
      <c r="W35" s="57"/>
      <c r="X35" s="62"/>
      <c r="Y35" s="63"/>
      <c r="Z35" s="79"/>
      <c r="AA35" s="80"/>
      <c r="AB35" s="80"/>
      <c r="AC35" s="81"/>
      <c r="AD35" s="81"/>
      <c r="AE35" s="81"/>
      <c r="AF35" s="81"/>
    </row>
    <row r="36" ht="13.5" customHeight="1">
      <c r="A36" s="45">
        <v>6.0</v>
      </c>
      <c r="B36" s="46" t="s">
        <v>44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8"/>
      <c r="Z36" s="79"/>
      <c r="AA36" s="80"/>
      <c r="AB36" s="80"/>
      <c r="AC36" s="81"/>
      <c r="AD36" s="81"/>
      <c r="AE36" s="81"/>
      <c r="AF36" s="81"/>
    </row>
    <row r="37" ht="13.5" customHeight="1">
      <c r="A37" s="49"/>
      <c r="B37" s="50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2"/>
      <c r="Z37" s="79"/>
      <c r="AA37" s="80"/>
      <c r="AB37" s="80"/>
      <c r="AC37" s="81"/>
      <c r="AD37" s="81"/>
      <c r="AE37" s="81"/>
      <c r="AF37" s="81"/>
    </row>
    <row r="38" ht="17.25" customHeight="1">
      <c r="A38" s="53"/>
      <c r="B38" s="92" t="s">
        <v>45</v>
      </c>
      <c r="C38" s="55"/>
      <c r="D38" s="56"/>
      <c r="E38" s="57"/>
      <c r="F38" s="86" t="s">
        <v>22</v>
      </c>
      <c r="G38" s="57"/>
      <c r="H38" s="87"/>
      <c r="I38" s="58"/>
      <c r="J38" s="87"/>
      <c r="K38" s="57"/>
      <c r="L38" s="87"/>
      <c r="M38" s="57"/>
      <c r="N38" s="87"/>
      <c r="O38" s="57"/>
      <c r="P38" s="87"/>
      <c r="Q38" s="57"/>
      <c r="R38" s="87"/>
      <c r="S38" s="57"/>
      <c r="T38" s="87"/>
      <c r="U38" s="57"/>
      <c r="V38" s="56"/>
      <c r="W38" s="57"/>
      <c r="X38" s="62"/>
      <c r="Y38" s="63"/>
      <c r="Z38" s="79"/>
      <c r="AA38" s="80"/>
      <c r="AB38" s="80"/>
      <c r="AC38" s="81"/>
      <c r="AD38" s="81"/>
      <c r="AE38" s="81"/>
      <c r="AF38" s="81"/>
    </row>
    <row r="39" ht="15.75" customHeight="1">
      <c r="A39" s="53"/>
      <c r="B39" s="92" t="s">
        <v>46</v>
      </c>
      <c r="C39" s="55"/>
      <c r="D39" s="65"/>
      <c r="E39" s="66"/>
      <c r="F39" s="86" t="s">
        <v>22</v>
      </c>
      <c r="G39" s="72"/>
      <c r="H39" s="71"/>
      <c r="I39" s="72"/>
      <c r="J39" s="71"/>
      <c r="K39" s="72"/>
      <c r="L39" s="87"/>
      <c r="M39" s="57"/>
      <c r="N39" s="87"/>
      <c r="O39" s="57"/>
      <c r="P39" s="87"/>
      <c r="Q39" s="57"/>
      <c r="R39" s="87"/>
      <c r="S39" s="57"/>
      <c r="T39" s="87"/>
      <c r="U39" s="57"/>
      <c r="V39" s="56"/>
      <c r="W39" s="57"/>
      <c r="X39" s="62"/>
      <c r="Y39" s="63"/>
      <c r="Z39" s="79"/>
      <c r="AA39" s="80"/>
      <c r="AB39" s="80"/>
      <c r="AC39" s="81"/>
      <c r="AD39" s="81"/>
      <c r="AE39" s="81"/>
      <c r="AF39" s="81"/>
    </row>
    <row r="40" ht="18.0" customHeight="1">
      <c r="A40" s="88"/>
      <c r="B40" s="92" t="s">
        <v>47</v>
      </c>
      <c r="C40" s="55"/>
      <c r="D40" s="56"/>
      <c r="E40" s="57"/>
      <c r="F40" s="86" t="s">
        <v>22</v>
      </c>
      <c r="G40" s="57"/>
      <c r="H40" s="87"/>
      <c r="I40" s="57"/>
      <c r="J40" s="87"/>
      <c r="K40" s="57"/>
      <c r="L40" s="87"/>
      <c r="M40" s="57"/>
      <c r="N40" s="87"/>
      <c r="O40" s="57"/>
      <c r="P40" s="87"/>
      <c r="Q40" s="57"/>
      <c r="R40" s="87"/>
      <c r="S40" s="57"/>
      <c r="T40" s="87"/>
      <c r="U40" s="57"/>
      <c r="V40" s="56"/>
      <c r="W40" s="57"/>
      <c r="X40" s="62"/>
      <c r="Y40" s="63"/>
      <c r="Z40" s="79"/>
      <c r="AA40" s="80"/>
      <c r="AB40" s="80"/>
      <c r="AC40" s="81"/>
      <c r="AD40" s="81"/>
      <c r="AE40" s="81"/>
      <c r="AF40" s="81"/>
    </row>
    <row r="41" ht="13.5" customHeight="1">
      <c r="A41" s="45">
        <v>7.0</v>
      </c>
      <c r="B41" s="46" t="s">
        <v>48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8"/>
      <c r="Z41" s="79"/>
      <c r="AA41" s="80"/>
      <c r="AB41" s="80"/>
      <c r="AC41" s="81"/>
      <c r="AD41" s="81"/>
      <c r="AE41" s="81"/>
      <c r="AF41" s="81"/>
    </row>
    <row r="42" ht="13.5" customHeight="1">
      <c r="A42" s="49"/>
      <c r="B42" s="50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2"/>
      <c r="Z42" s="79"/>
      <c r="AA42" s="80"/>
      <c r="AB42" s="80"/>
      <c r="AC42" s="81"/>
      <c r="AD42" s="81"/>
      <c r="AE42" s="81"/>
      <c r="AF42" s="81"/>
    </row>
    <row r="43" ht="15.75" customHeight="1">
      <c r="A43" s="53"/>
      <c r="B43" s="54" t="s">
        <v>49</v>
      </c>
      <c r="C43" s="55"/>
      <c r="D43" s="56"/>
      <c r="E43" s="57"/>
      <c r="F43" s="86" t="s">
        <v>22</v>
      </c>
      <c r="G43" s="57"/>
      <c r="H43" s="87"/>
      <c r="I43" s="58"/>
      <c r="J43" s="87"/>
      <c r="K43" s="57"/>
      <c r="L43" s="87"/>
      <c r="M43" s="57"/>
      <c r="N43" s="87"/>
      <c r="O43" s="57"/>
      <c r="P43" s="87"/>
      <c r="Q43" s="57"/>
      <c r="R43" s="87"/>
      <c r="S43" s="57"/>
      <c r="T43" s="87"/>
      <c r="U43" s="57"/>
      <c r="V43" s="56"/>
      <c r="W43" s="57"/>
      <c r="X43" s="62"/>
      <c r="Y43" s="56" t="s">
        <v>50</v>
      </c>
      <c r="Z43" s="79"/>
      <c r="AA43" s="80"/>
      <c r="AB43" s="80"/>
      <c r="AC43" s="81"/>
      <c r="AD43" s="81"/>
      <c r="AE43" s="81"/>
      <c r="AF43" s="81"/>
    </row>
    <row r="44" ht="15.0" customHeight="1">
      <c r="A44" s="53"/>
      <c r="B44" s="64" t="s">
        <v>51</v>
      </c>
      <c r="C44" s="55"/>
      <c r="D44" s="56"/>
      <c r="E44" s="66"/>
      <c r="F44" s="86" t="s">
        <v>22</v>
      </c>
      <c r="G44" s="72"/>
      <c r="H44" s="71"/>
      <c r="I44" s="72"/>
      <c r="J44" s="71"/>
      <c r="K44" s="72"/>
      <c r="L44" s="87"/>
      <c r="M44" s="57"/>
      <c r="N44" s="87"/>
      <c r="O44" s="57"/>
      <c r="P44" s="87"/>
      <c r="Q44" s="57"/>
      <c r="R44" s="87"/>
      <c r="S44" s="57"/>
      <c r="T44" s="87"/>
      <c r="U44" s="57"/>
      <c r="V44" s="56"/>
      <c r="W44" s="57"/>
      <c r="X44" s="62"/>
      <c r="Y44" s="56" t="s">
        <v>50</v>
      </c>
      <c r="Z44" s="79"/>
      <c r="AA44" s="80"/>
      <c r="AB44" s="80"/>
      <c r="AC44" s="81"/>
      <c r="AD44" s="81"/>
      <c r="AE44" s="81"/>
      <c r="AF44" s="81"/>
    </row>
    <row r="45" ht="15.0" customHeight="1">
      <c r="A45" s="88"/>
      <c r="B45" s="64" t="s">
        <v>52</v>
      </c>
      <c r="C45" s="55"/>
      <c r="D45" s="56"/>
      <c r="E45" s="57"/>
      <c r="F45" s="86" t="s">
        <v>22</v>
      </c>
      <c r="G45" s="57"/>
      <c r="H45" s="87"/>
      <c r="I45" s="57"/>
      <c r="J45" s="87"/>
      <c r="K45" s="57"/>
      <c r="L45" s="87"/>
      <c r="M45" s="57"/>
      <c r="N45" s="87"/>
      <c r="O45" s="57"/>
      <c r="P45" s="87"/>
      <c r="Q45" s="57"/>
      <c r="R45" s="87"/>
      <c r="S45" s="57"/>
      <c r="T45" s="87"/>
      <c r="U45" s="57"/>
      <c r="V45" s="56"/>
      <c r="W45" s="57"/>
      <c r="X45" s="62"/>
      <c r="Y45" s="56" t="s">
        <v>50</v>
      </c>
      <c r="Z45" s="79"/>
      <c r="AA45" s="80"/>
      <c r="AB45" s="80"/>
      <c r="AC45" s="81"/>
      <c r="AD45" s="81"/>
      <c r="AE45" s="81"/>
      <c r="AF45" s="81"/>
    </row>
    <row r="46" ht="13.5" customHeight="1">
      <c r="A46" s="45">
        <v>8.0</v>
      </c>
      <c r="B46" s="46" t="s">
        <v>20</v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8"/>
      <c r="Z46" s="79"/>
      <c r="AA46" s="80"/>
      <c r="AB46" s="80"/>
      <c r="AC46" s="81"/>
      <c r="AD46" s="81"/>
      <c r="AE46" s="81"/>
      <c r="AF46" s="81"/>
    </row>
    <row r="47" ht="13.5" customHeight="1">
      <c r="A47" s="49"/>
      <c r="B47" s="50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2"/>
      <c r="Z47" s="79"/>
      <c r="AA47" s="80"/>
      <c r="AB47" s="80"/>
      <c r="AC47" s="81"/>
      <c r="AD47" s="81"/>
      <c r="AE47" s="81"/>
      <c r="AF47" s="81"/>
    </row>
    <row r="48" ht="15.75" customHeight="1">
      <c r="A48" s="53"/>
      <c r="B48" s="54" t="s">
        <v>53</v>
      </c>
      <c r="C48" s="55"/>
      <c r="D48" s="56"/>
      <c r="E48" s="57"/>
      <c r="F48" s="86" t="s">
        <v>22</v>
      </c>
      <c r="G48" s="57"/>
      <c r="H48" s="87"/>
      <c r="I48" s="58"/>
      <c r="J48" s="87"/>
      <c r="K48" s="57"/>
      <c r="L48" s="87"/>
      <c r="M48" s="57"/>
      <c r="N48" s="87"/>
      <c r="O48" s="57"/>
      <c r="P48" s="87"/>
      <c r="Q48" s="57"/>
      <c r="R48" s="87"/>
      <c r="S48" s="57"/>
      <c r="T48" s="87"/>
      <c r="U48" s="57"/>
      <c r="V48" s="56"/>
      <c r="W48" s="57"/>
      <c r="X48" s="62"/>
      <c r="Y48" s="63"/>
      <c r="Z48" s="79"/>
      <c r="AA48" s="80"/>
      <c r="AB48" s="80"/>
      <c r="AC48" s="81"/>
      <c r="AD48" s="81"/>
      <c r="AE48" s="81"/>
      <c r="AF48" s="81"/>
    </row>
    <row r="49" ht="15.75" customHeight="1">
      <c r="A49" s="53"/>
      <c r="B49" s="64" t="s">
        <v>54</v>
      </c>
      <c r="C49" s="55"/>
      <c r="D49" s="56"/>
      <c r="E49" s="66"/>
      <c r="F49" s="86" t="s">
        <v>22</v>
      </c>
      <c r="G49" s="72"/>
      <c r="H49" s="71"/>
      <c r="I49" s="72"/>
      <c r="J49" s="71"/>
      <c r="K49" s="72"/>
      <c r="L49" s="87"/>
      <c r="M49" s="57"/>
      <c r="N49" s="87"/>
      <c r="O49" s="57"/>
      <c r="P49" s="87"/>
      <c r="Q49" s="57"/>
      <c r="R49" s="87"/>
      <c r="S49" s="57"/>
      <c r="T49" s="87"/>
      <c r="U49" s="57"/>
      <c r="V49" s="56"/>
      <c r="W49" s="57"/>
      <c r="X49" s="62"/>
      <c r="Y49" s="63"/>
      <c r="Z49" s="79"/>
      <c r="AA49" s="80"/>
      <c r="AB49" s="80"/>
      <c r="AC49" s="81"/>
      <c r="AD49" s="81"/>
      <c r="AE49" s="81"/>
      <c r="AF49" s="81"/>
    </row>
    <row r="50" ht="15.75" customHeight="1">
      <c r="A50" s="88"/>
      <c r="B50" s="64" t="s">
        <v>55</v>
      </c>
      <c r="C50" s="55"/>
      <c r="D50" s="56"/>
      <c r="E50" s="57"/>
      <c r="F50" s="86" t="s">
        <v>22</v>
      </c>
      <c r="G50" s="57"/>
      <c r="H50" s="87"/>
      <c r="I50" s="57"/>
      <c r="J50" s="87"/>
      <c r="K50" s="57"/>
      <c r="L50" s="87"/>
      <c r="M50" s="57"/>
      <c r="N50" s="87"/>
      <c r="O50" s="57"/>
      <c r="P50" s="87"/>
      <c r="Q50" s="57"/>
      <c r="R50" s="87"/>
      <c r="S50" s="57"/>
      <c r="T50" s="87"/>
      <c r="U50" s="57"/>
      <c r="V50" s="56"/>
      <c r="W50" s="57"/>
      <c r="X50" s="62"/>
      <c r="Y50" s="63"/>
      <c r="Z50" s="79"/>
      <c r="AA50" s="80"/>
      <c r="AB50" s="80"/>
      <c r="AC50" s="81"/>
      <c r="AD50" s="81"/>
      <c r="AE50" s="81"/>
      <c r="AF50" s="81"/>
    </row>
    <row r="51" ht="13.5" customHeight="1">
      <c r="A51" s="45">
        <v>9.0</v>
      </c>
      <c r="B51" s="46" t="s">
        <v>56</v>
      </c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8"/>
      <c r="Z51" s="79"/>
      <c r="AA51" s="80"/>
      <c r="AB51" s="80"/>
      <c r="AC51" s="81"/>
      <c r="AD51" s="81"/>
      <c r="AE51" s="81"/>
      <c r="AF51" s="81"/>
    </row>
    <row r="52" ht="13.5" customHeight="1">
      <c r="A52" s="49"/>
      <c r="B52" s="50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2"/>
      <c r="Z52" s="79"/>
      <c r="AA52" s="80"/>
      <c r="AB52" s="80"/>
      <c r="AC52" s="81"/>
      <c r="AD52" s="81"/>
      <c r="AE52" s="81"/>
      <c r="AF52" s="81"/>
    </row>
    <row r="53" ht="15.75" customHeight="1">
      <c r="A53" s="88"/>
      <c r="B53" s="54" t="s">
        <v>57</v>
      </c>
      <c r="C53" s="55"/>
      <c r="D53" s="56"/>
      <c r="E53" s="57"/>
      <c r="F53" s="86" t="s">
        <v>22</v>
      </c>
      <c r="G53" s="57"/>
      <c r="H53" s="56"/>
      <c r="I53" s="58"/>
      <c r="J53" s="56"/>
      <c r="K53" s="57"/>
      <c r="L53" s="87"/>
      <c r="M53" s="57"/>
      <c r="N53" s="87"/>
      <c r="O53" s="57"/>
      <c r="P53" s="87"/>
      <c r="Q53" s="57"/>
      <c r="R53" s="87"/>
      <c r="S53" s="57"/>
      <c r="T53" s="87"/>
      <c r="U53" s="57"/>
      <c r="V53" s="56"/>
      <c r="W53" s="57"/>
      <c r="X53" s="62"/>
      <c r="Y53" s="63"/>
      <c r="Z53" s="79"/>
      <c r="AA53" s="80"/>
      <c r="AB53" s="80"/>
      <c r="AC53" s="81"/>
      <c r="AD53" s="81"/>
      <c r="AE53" s="81"/>
      <c r="AF53" s="81"/>
    </row>
    <row r="54" ht="15.75" customHeight="1">
      <c r="A54" s="53"/>
      <c r="B54" s="64" t="s">
        <v>58</v>
      </c>
      <c r="C54" s="55"/>
      <c r="D54" s="56"/>
      <c r="E54" s="66"/>
      <c r="F54" s="86" t="s">
        <v>22</v>
      </c>
      <c r="G54" s="72"/>
      <c r="H54" s="89"/>
      <c r="I54" s="93"/>
      <c r="J54" s="89"/>
      <c r="K54" s="72"/>
      <c r="L54" s="71"/>
      <c r="M54" s="72"/>
      <c r="N54" s="71"/>
      <c r="O54" s="72"/>
      <c r="P54" s="71"/>
      <c r="Q54" s="72"/>
      <c r="R54" s="71"/>
      <c r="S54" s="72"/>
      <c r="T54" s="71"/>
      <c r="U54" s="72"/>
      <c r="V54" s="89"/>
      <c r="W54" s="72"/>
      <c r="X54" s="74"/>
      <c r="Y54" s="63"/>
      <c r="Z54" s="79"/>
      <c r="AA54" s="80"/>
      <c r="AB54" s="80"/>
      <c r="AC54" s="81"/>
      <c r="AD54" s="81"/>
      <c r="AE54" s="81"/>
      <c r="AF54" s="81"/>
    </row>
    <row r="55" ht="15.75" customHeight="1">
      <c r="A55" s="53"/>
      <c r="B55" s="64" t="s">
        <v>59</v>
      </c>
      <c r="C55" s="55"/>
      <c r="D55" s="56"/>
      <c r="E55" s="66"/>
      <c r="F55" s="86" t="s">
        <v>22</v>
      </c>
      <c r="G55" s="72"/>
      <c r="H55" s="89"/>
      <c r="I55" s="72"/>
      <c r="J55" s="89"/>
      <c r="K55" s="72"/>
      <c r="L55" s="71"/>
      <c r="M55" s="72"/>
      <c r="N55" s="71"/>
      <c r="O55" s="72"/>
      <c r="P55" s="71"/>
      <c r="Q55" s="72"/>
      <c r="R55" s="71"/>
      <c r="S55" s="72"/>
      <c r="T55" s="71"/>
      <c r="U55" s="72"/>
      <c r="V55" s="71"/>
      <c r="W55" s="72"/>
      <c r="X55" s="83"/>
      <c r="Y55" s="85"/>
      <c r="Z55" s="79"/>
      <c r="AA55" s="80"/>
      <c r="AB55" s="80"/>
      <c r="AC55" s="81"/>
      <c r="AD55" s="81"/>
      <c r="AE55" s="81"/>
      <c r="AF55" s="81"/>
    </row>
    <row r="56" ht="13.5" customHeight="1">
      <c r="A56" s="45">
        <v>10.0</v>
      </c>
      <c r="B56" s="46" t="s">
        <v>60</v>
      </c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8"/>
      <c r="Z56" s="79"/>
      <c r="AA56" s="80"/>
      <c r="AB56" s="80"/>
      <c r="AC56" s="81"/>
      <c r="AD56" s="81"/>
      <c r="AE56" s="81"/>
      <c r="AF56" s="81"/>
    </row>
    <row r="57" ht="13.5" customHeight="1">
      <c r="A57" s="49"/>
      <c r="B57" s="50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2"/>
      <c r="Z57" s="79"/>
      <c r="AA57" s="80"/>
      <c r="AB57" s="80"/>
      <c r="AC57" s="81"/>
      <c r="AD57" s="81"/>
      <c r="AE57" s="81"/>
      <c r="AF57" s="81"/>
    </row>
    <row r="58" ht="15.75" customHeight="1">
      <c r="A58" s="88"/>
      <c r="B58" s="54" t="s">
        <v>61</v>
      </c>
      <c r="C58" s="55"/>
      <c r="D58" s="56"/>
      <c r="E58" s="57"/>
      <c r="F58" s="86" t="s">
        <v>22</v>
      </c>
      <c r="G58" s="57"/>
      <c r="H58" s="87"/>
      <c r="I58" s="58"/>
      <c r="J58" s="87"/>
      <c r="K58" s="57"/>
      <c r="L58" s="87"/>
      <c r="M58" s="57"/>
      <c r="N58" s="87"/>
      <c r="O58" s="57"/>
      <c r="P58" s="87"/>
      <c r="Q58" s="57"/>
      <c r="R58" s="87"/>
      <c r="S58" s="57"/>
      <c r="T58" s="87"/>
      <c r="U58" s="57"/>
      <c r="V58" s="56"/>
      <c r="W58" s="57"/>
      <c r="X58" s="62"/>
      <c r="Y58" s="63"/>
      <c r="Z58" s="79"/>
      <c r="AA58" s="80"/>
      <c r="AB58" s="80"/>
      <c r="AC58" s="81"/>
      <c r="AD58" s="81"/>
      <c r="AE58" s="81"/>
      <c r="AF58" s="81"/>
    </row>
    <row r="59" ht="15.75" customHeight="1">
      <c r="A59" s="53"/>
      <c r="B59" s="64" t="s">
        <v>62</v>
      </c>
      <c r="C59" s="55"/>
      <c r="D59" s="65"/>
      <c r="E59" s="66"/>
      <c r="F59" s="86"/>
      <c r="G59" s="72"/>
      <c r="H59" s="71"/>
      <c r="I59" s="93"/>
      <c r="J59" s="71"/>
      <c r="K59" s="72"/>
      <c r="L59" s="71"/>
      <c r="M59" s="72"/>
      <c r="N59" s="71"/>
      <c r="O59" s="72"/>
      <c r="P59" s="71"/>
      <c r="Q59" s="72"/>
      <c r="R59" s="71"/>
      <c r="S59" s="72"/>
      <c r="T59" s="71"/>
      <c r="U59" s="72"/>
      <c r="V59" s="89"/>
      <c r="W59" s="72"/>
      <c r="X59" s="74"/>
      <c r="Y59" s="63"/>
      <c r="Z59" s="79"/>
      <c r="AA59" s="80"/>
      <c r="AB59" s="80"/>
      <c r="AC59" s="81"/>
      <c r="AD59" s="81"/>
      <c r="AE59" s="81"/>
      <c r="AF59" s="81"/>
    </row>
    <row r="60" ht="15.75" customHeight="1">
      <c r="A60" s="53"/>
      <c r="B60" s="64" t="s">
        <v>63</v>
      </c>
      <c r="C60" s="55"/>
      <c r="D60" s="65"/>
      <c r="E60" s="66"/>
      <c r="F60" s="86" t="s">
        <v>22</v>
      </c>
      <c r="G60" s="72"/>
      <c r="H60" s="71"/>
      <c r="I60" s="93"/>
      <c r="J60" s="71"/>
      <c r="K60" s="72"/>
      <c r="L60" s="71"/>
      <c r="M60" s="72"/>
      <c r="N60" s="71"/>
      <c r="O60" s="72"/>
      <c r="P60" s="71"/>
      <c r="Q60" s="72"/>
      <c r="R60" s="71"/>
      <c r="S60" s="72"/>
      <c r="T60" s="71"/>
      <c r="U60" s="72"/>
      <c r="V60" s="89"/>
      <c r="W60" s="72"/>
      <c r="X60" s="74"/>
      <c r="Y60" s="63"/>
      <c r="Z60" s="79"/>
      <c r="AA60" s="80"/>
      <c r="AB60" s="80"/>
      <c r="AC60" s="81"/>
      <c r="AD60" s="81"/>
      <c r="AE60" s="81"/>
      <c r="AF60" s="81"/>
    </row>
    <row r="61" ht="22.5" customHeight="1">
      <c r="A61" s="42" t="s">
        <v>64</v>
      </c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4"/>
      <c r="Z61" s="79"/>
      <c r="AA61" s="80"/>
      <c r="AB61" s="80"/>
      <c r="AC61" s="81"/>
      <c r="AD61" s="81"/>
      <c r="AE61" s="81"/>
      <c r="AF61" s="81"/>
    </row>
    <row r="62" ht="13.5" customHeight="1">
      <c r="A62" s="45">
        <v>11.0</v>
      </c>
      <c r="B62" s="46" t="s">
        <v>65</v>
      </c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8"/>
      <c r="Z62" s="79"/>
      <c r="AA62" s="80"/>
      <c r="AB62" s="80"/>
      <c r="AC62" s="81"/>
      <c r="AD62" s="81"/>
      <c r="AE62" s="81"/>
      <c r="AF62" s="81"/>
    </row>
    <row r="63" ht="13.5" customHeight="1">
      <c r="A63" s="49"/>
      <c r="B63" s="50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2"/>
      <c r="Z63" s="79"/>
      <c r="AA63" s="80"/>
      <c r="AB63" s="80"/>
      <c r="AC63" s="81"/>
      <c r="AD63" s="81"/>
      <c r="AE63" s="81"/>
      <c r="AF63" s="81"/>
    </row>
    <row r="64" ht="15.75" customHeight="1">
      <c r="A64" s="88"/>
      <c r="B64" s="54" t="s">
        <v>66</v>
      </c>
      <c r="C64" s="55"/>
      <c r="D64" s="56"/>
      <c r="E64" s="57"/>
      <c r="F64" s="56"/>
      <c r="G64" s="57"/>
      <c r="H64" s="56"/>
      <c r="I64" s="58"/>
      <c r="J64" s="86" t="s">
        <v>22</v>
      </c>
      <c r="K64" s="57"/>
      <c r="L64" s="87"/>
      <c r="M64" s="57"/>
      <c r="N64" s="87"/>
      <c r="O64" s="57"/>
      <c r="P64" s="87"/>
      <c r="Q64" s="57"/>
      <c r="R64" s="87"/>
      <c r="S64" s="57"/>
      <c r="T64" s="87"/>
      <c r="U64" s="57"/>
      <c r="V64" s="56"/>
      <c r="W64" s="57"/>
      <c r="X64" s="62"/>
      <c r="Y64" s="63"/>
      <c r="Z64" s="79"/>
      <c r="AA64" s="80"/>
      <c r="AB64" s="80"/>
      <c r="AC64" s="81"/>
      <c r="AD64" s="81"/>
      <c r="AE64" s="81"/>
      <c r="AF64" s="81"/>
    </row>
    <row r="65" ht="15.0" customHeight="1">
      <c r="A65" s="53"/>
      <c r="B65" s="64" t="s">
        <v>67</v>
      </c>
      <c r="C65" s="55"/>
      <c r="D65" s="65"/>
      <c r="E65" s="66"/>
      <c r="F65" s="65"/>
      <c r="G65" s="66"/>
      <c r="H65" s="65"/>
      <c r="I65" s="94"/>
      <c r="J65" s="86" t="s">
        <v>22</v>
      </c>
      <c r="K65" s="72"/>
      <c r="L65" s="71"/>
      <c r="M65" s="72"/>
      <c r="N65" s="71"/>
      <c r="O65" s="72"/>
      <c r="P65" s="71"/>
      <c r="Q65" s="72"/>
      <c r="R65" s="71"/>
      <c r="S65" s="72"/>
      <c r="T65" s="71"/>
      <c r="U65" s="72"/>
      <c r="V65" s="89"/>
      <c r="W65" s="72"/>
      <c r="X65" s="74"/>
      <c r="Y65" s="63"/>
      <c r="Z65" s="79"/>
      <c r="AA65" s="80"/>
      <c r="AB65" s="80"/>
      <c r="AC65" s="81"/>
      <c r="AD65" s="81"/>
      <c r="AE65" s="81"/>
      <c r="AF65" s="81"/>
    </row>
    <row r="66" ht="15.0" customHeight="1">
      <c r="A66" s="53"/>
      <c r="B66" s="64" t="s">
        <v>68</v>
      </c>
      <c r="C66" s="55"/>
      <c r="D66" s="65"/>
      <c r="E66" s="66"/>
      <c r="F66" s="65"/>
      <c r="G66" s="66"/>
      <c r="H66" s="69"/>
      <c r="I66" s="94"/>
      <c r="J66" s="86" t="s">
        <v>22</v>
      </c>
      <c r="K66" s="72"/>
      <c r="L66" s="71"/>
      <c r="M66" s="72"/>
      <c r="N66" s="71"/>
      <c r="O66" s="72"/>
      <c r="P66" s="71"/>
      <c r="Q66" s="72"/>
      <c r="R66" s="71"/>
      <c r="S66" s="72"/>
      <c r="T66" s="71"/>
      <c r="U66" s="72"/>
      <c r="V66" s="89"/>
      <c r="W66" s="72"/>
      <c r="X66" s="74"/>
      <c r="Y66" s="63"/>
      <c r="Z66" s="79"/>
      <c r="AA66" s="80"/>
      <c r="AB66" s="80"/>
      <c r="AC66" s="81"/>
      <c r="AD66" s="81"/>
      <c r="AE66" s="81"/>
      <c r="AF66" s="81"/>
    </row>
    <row r="67" ht="15.0" customHeight="1">
      <c r="A67" s="53"/>
      <c r="B67" s="64" t="s">
        <v>69</v>
      </c>
      <c r="C67" s="55"/>
      <c r="D67" s="65"/>
      <c r="E67" s="66"/>
      <c r="F67" s="65"/>
      <c r="G67" s="66"/>
      <c r="H67" s="69"/>
      <c r="I67" s="94"/>
      <c r="J67" s="86" t="s">
        <v>22</v>
      </c>
      <c r="K67" s="72"/>
      <c r="L67" s="71"/>
      <c r="M67" s="72"/>
      <c r="N67" s="71"/>
      <c r="O67" s="72"/>
      <c r="P67" s="71"/>
      <c r="Q67" s="72"/>
      <c r="R67" s="71"/>
      <c r="S67" s="72"/>
      <c r="T67" s="71"/>
      <c r="U67" s="72"/>
      <c r="V67" s="89"/>
      <c r="W67" s="72"/>
      <c r="X67" s="74"/>
      <c r="Y67" s="63"/>
      <c r="Z67" s="79"/>
      <c r="AA67" s="80"/>
      <c r="AB67" s="80"/>
      <c r="AC67" s="81"/>
      <c r="AD67" s="81"/>
      <c r="AE67" s="81"/>
      <c r="AF67" s="81"/>
    </row>
    <row r="68" ht="15.0" customHeight="1">
      <c r="A68" s="53"/>
      <c r="B68" s="64" t="s">
        <v>70</v>
      </c>
      <c r="C68" s="55"/>
      <c r="D68" s="65"/>
      <c r="E68" s="66"/>
      <c r="F68" s="65"/>
      <c r="G68" s="66"/>
      <c r="H68" s="65"/>
      <c r="I68" s="66"/>
      <c r="J68" s="86" t="s">
        <v>22</v>
      </c>
      <c r="K68" s="72"/>
      <c r="L68" s="71"/>
      <c r="M68" s="72"/>
      <c r="N68" s="71"/>
      <c r="O68" s="72"/>
      <c r="P68" s="71"/>
      <c r="Q68" s="72"/>
      <c r="R68" s="71"/>
      <c r="S68" s="72"/>
      <c r="T68" s="71"/>
      <c r="U68" s="72"/>
      <c r="V68" s="71"/>
      <c r="W68" s="72"/>
      <c r="X68" s="83"/>
      <c r="Y68" s="85"/>
      <c r="Z68" s="79"/>
      <c r="AA68" s="80"/>
      <c r="AB68" s="80"/>
      <c r="AC68" s="81"/>
      <c r="AD68" s="81"/>
      <c r="AE68" s="81"/>
      <c r="AF68" s="81"/>
    </row>
    <row r="69" ht="13.5" customHeight="1">
      <c r="A69" s="45">
        <v>12.0</v>
      </c>
      <c r="B69" s="46" t="s">
        <v>71</v>
      </c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8"/>
      <c r="Z69" s="79"/>
      <c r="AA69" s="80"/>
      <c r="AB69" s="80"/>
      <c r="AC69" s="81"/>
      <c r="AD69" s="81"/>
      <c r="AE69" s="81"/>
      <c r="AF69" s="81"/>
    </row>
    <row r="70" ht="13.5" customHeight="1">
      <c r="A70" s="49"/>
      <c r="B70" s="50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2"/>
      <c r="Z70" s="79"/>
      <c r="AA70" s="80"/>
      <c r="AB70" s="80"/>
      <c r="AC70" s="81"/>
      <c r="AD70" s="81"/>
      <c r="AE70" s="81"/>
      <c r="AF70" s="81"/>
    </row>
    <row r="71" ht="18.0" customHeight="1">
      <c r="A71" s="53"/>
      <c r="B71" s="95" t="s">
        <v>72</v>
      </c>
      <c r="C71" s="55"/>
      <c r="D71" s="56"/>
      <c r="E71" s="57"/>
      <c r="F71" s="56"/>
      <c r="G71" s="57"/>
      <c r="H71" s="56"/>
      <c r="I71" s="58"/>
      <c r="J71" s="86" t="s">
        <v>22</v>
      </c>
      <c r="K71" s="57"/>
      <c r="L71" s="87"/>
      <c r="M71" s="57"/>
      <c r="N71" s="87"/>
      <c r="O71" s="57"/>
      <c r="P71" s="87"/>
      <c r="Q71" s="57"/>
      <c r="R71" s="87"/>
      <c r="S71" s="57"/>
      <c r="T71" s="87"/>
      <c r="U71" s="57"/>
      <c r="V71" s="56"/>
      <c r="W71" s="57"/>
      <c r="X71" s="62"/>
      <c r="Y71" s="63"/>
      <c r="Z71" s="79"/>
      <c r="AA71" s="80"/>
      <c r="AB71" s="80"/>
      <c r="AC71" s="81"/>
      <c r="AD71" s="81"/>
      <c r="AE71" s="81"/>
      <c r="AF71" s="81"/>
    </row>
    <row r="72" ht="15.0" customHeight="1">
      <c r="A72" s="53"/>
      <c r="B72" s="96" t="s">
        <v>73</v>
      </c>
      <c r="C72" s="55"/>
      <c r="D72" s="65"/>
      <c r="E72" s="66"/>
      <c r="F72" s="65"/>
      <c r="G72" s="66"/>
      <c r="H72" s="65"/>
      <c r="I72" s="66"/>
      <c r="J72" s="86" t="s">
        <v>22</v>
      </c>
      <c r="K72" s="72"/>
      <c r="L72" s="87"/>
      <c r="M72" s="57"/>
      <c r="N72" s="87"/>
      <c r="O72" s="57"/>
      <c r="P72" s="87"/>
      <c r="Q72" s="57"/>
      <c r="R72" s="87"/>
      <c r="S72" s="57"/>
      <c r="T72" s="87"/>
      <c r="U72" s="57"/>
      <c r="V72" s="56"/>
      <c r="W72" s="57"/>
      <c r="X72" s="62"/>
      <c r="Y72" s="63"/>
      <c r="Z72" s="79"/>
      <c r="AA72" s="80"/>
      <c r="AB72" s="80"/>
      <c r="AC72" s="81"/>
      <c r="AD72" s="81"/>
      <c r="AE72" s="81"/>
      <c r="AF72" s="81"/>
    </row>
    <row r="73" ht="15.0" customHeight="1">
      <c r="A73" s="88"/>
      <c r="B73" s="96"/>
      <c r="C73" s="55"/>
      <c r="D73" s="87"/>
      <c r="E73" s="57"/>
      <c r="F73" s="56"/>
      <c r="G73" s="57"/>
      <c r="H73" s="87"/>
      <c r="I73" s="57"/>
      <c r="J73" s="86" t="s">
        <v>22</v>
      </c>
      <c r="K73" s="57"/>
      <c r="L73" s="87"/>
      <c r="M73" s="57"/>
      <c r="N73" s="87"/>
      <c r="O73" s="57"/>
      <c r="P73" s="87"/>
      <c r="Q73" s="57"/>
      <c r="R73" s="87"/>
      <c r="S73" s="57"/>
      <c r="T73" s="87"/>
      <c r="U73" s="57"/>
      <c r="V73" s="56"/>
      <c r="W73" s="57"/>
      <c r="X73" s="62"/>
      <c r="Y73" s="63"/>
      <c r="Z73" s="79"/>
      <c r="AA73" s="80"/>
      <c r="AB73" s="80"/>
      <c r="AC73" s="81"/>
      <c r="AD73" s="81"/>
      <c r="AE73" s="81"/>
      <c r="AF73" s="81"/>
    </row>
    <row r="74" ht="13.5" customHeight="1">
      <c r="A74" s="45">
        <v>13.0</v>
      </c>
      <c r="B74" s="46" t="s">
        <v>74</v>
      </c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8"/>
      <c r="Z74" s="79"/>
      <c r="AA74" s="80"/>
      <c r="AB74" s="80"/>
      <c r="AC74" s="81"/>
      <c r="AD74" s="81"/>
      <c r="AE74" s="81"/>
      <c r="AF74" s="81"/>
    </row>
    <row r="75" ht="13.5" customHeight="1">
      <c r="A75" s="49"/>
      <c r="B75" s="50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2"/>
      <c r="Z75" s="79"/>
      <c r="AA75" s="80"/>
      <c r="AB75" s="80"/>
      <c r="AC75" s="81"/>
      <c r="AD75" s="81"/>
      <c r="AE75" s="81"/>
      <c r="AF75" s="81"/>
    </row>
    <row r="76" ht="15.75" customHeight="1">
      <c r="A76" s="53"/>
      <c r="B76" s="54" t="s">
        <v>75</v>
      </c>
      <c r="C76" s="55"/>
      <c r="D76" s="56"/>
      <c r="E76" s="57"/>
      <c r="F76" s="56"/>
      <c r="G76" s="57"/>
      <c r="H76" s="56"/>
      <c r="I76" s="58"/>
      <c r="J76" s="86" t="s">
        <v>22</v>
      </c>
      <c r="K76" s="57"/>
      <c r="L76" s="87"/>
      <c r="M76" s="57"/>
      <c r="N76" s="87"/>
      <c r="O76" s="57"/>
      <c r="P76" s="87"/>
      <c r="Q76" s="57"/>
      <c r="R76" s="87"/>
      <c r="S76" s="57"/>
      <c r="T76" s="87"/>
      <c r="U76" s="57"/>
      <c r="V76" s="56"/>
      <c r="W76" s="57"/>
      <c r="X76" s="62"/>
      <c r="Y76" s="63"/>
      <c r="Z76" s="79"/>
      <c r="AA76" s="80"/>
      <c r="AB76" s="80"/>
      <c r="AC76" s="81"/>
      <c r="AD76" s="81"/>
      <c r="AE76" s="81"/>
      <c r="AF76" s="81"/>
    </row>
    <row r="77" ht="15.75" customHeight="1">
      <c r="A77" s="53"/>
      <c r="B77" s="64" t="s">
        <v>76</v>
      </c>
      <c r="C77" s="55"/>
      <c r="D77" s="65"/>
      <c r="E77" s="66"/>
      <c r="F77" s="65"/>
      <c r="G77" s="66"/>
      <c r="H77" s="65"/>
      <c r="I77" s="94"/>
      <c r="J77" s="86" t="s">
        <v>22</v>
      </c>
      <c r="K77" s="72"/>
      <c r="L77" s="71"/>
      <c r="M77" s="72"/>
      <c r="N77" s="71"/>
      <c r="O77" s="72"/>
      <c r="P77" s="71"/>
      <c r="Q77" s="72"/>
      <c r="R77" s="71"/>
      <c r="S77" s="72"/>
      <c r="T77" s="71"/>
      <c r="U77" s="72"/>
      <c r="V77" s="89"/>
      <c r="W77" s="72"/>
      <c r="X77" s="74"/>
      <c r="Y77" s="63"/>
      <c r="Z77" s="79"/>
      <c r="AA77" s="80"/>
      <c r="AB77" s="80"/>
      <c r="AC77" s="81"/>
      <c r="AD77" s="81"/>
      <c r="AE77" s="81"/>
      <c r="AF77" s="81"/>
    </row>
    <row r="78" ht="15.75" customHeight="1">
      <c r="A78" s="53"/>
      <c r="B78" s="64" t="s">
        <v>77</v>
      </c>
      <c r="C78" s="55"/>
      <c r="D78" s="65"/>
      <c r="E78" s="66"/>
      <c r="F78" s="65"/>
      <c r="G78" s="66"/>
      <c r="H78" s="65"/>
      <c r="I78" s="66"/>
      <c r="J78" s="86" t="s">
        <v>22</v>
      </c>
      <c r="K78" s="72"/>
      <c r="L78" s="71"/>
      <c r="M78" s="72"/>
      <c r="N78" s="71"/>
      <c r="O78" s="72"/>
      <c r="P78" s="71"/>
      <c r="Q78" s="72"/>
      <c r="R78" s="71"/>
      <c r="S78" s="72"/>
      <c r="T78" s="71"/>
      <c r="U78" s="72"/>
      <c r="V78" s="71"/>
      <c r="W78" s="72"/>
      <c r="X78" s="74"/>
      <c r="Y78" s="63"/>
      <c r="Z78" s="79"/>
      <c r="AA78" s="80"/>
      <c r="AB78" s="80"/>
      <c r="AC78" s="81"/>
      <c r="AD78" s="81"/>
      <c r="AE78" s="81"/>
      <c r="AF78" s="81"/>
    </row>
    <row r="79" ht="13.5" customHeight="1">
      <c r="A79" s="45">
        <v>14.0</v>
      </c>
      <c r="B79" s="46" t="s">
        <v>78</v>
      </c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8"/>
      <c r="Z79" s="79"/>
      <c r="AA79" s="80"/>
      <c r="AB79" s="80"/>
      <c r="AC79" s="81"/>
      <c r="AD79" s="81"/>
      <c r="AE79" s="81"/>
      <c r="AF79" s="81"/>
    </row>
    <row r="80" ht="15.0" customHeight="1">
      <c r="A80" s="49"/>
      <c r="B80" s="50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2"/>
      <c r="Z80" s="79"/>
      <c r="AA80" s="80"/>
      <c r="AB80" s="80"/>
      <c r="AC80" s="81"/>
      <c r="AD80" s="81"/>
      <c r="AE80" s="81"/>
      <c r="AF80" s="81"/>
    </row>
    <row r="81" ht="15.0" customHeight="1">
      <c r="A81" s="88"/>
      <c r="B81" s="54" t="s">
        <v>79</v>
      </c>
      <c r="C81" s="55"/>
      <c r="D81" s="56"/>
      <c r="E81" s="57"/>
      <c r="F81" s="56"/>
      <c r="G81" s="57"/>
      <c r="H81" s="86" t="s">
        <v>22</v>
      </c>
      <c r="I81" s="58"/>
      <c r="J81" s="87"/>
      <c r="K81" s="57"/>
      <c r="L81" s="87"/>
      <c r="M81" s="57"/>
      <c r="N81" s="87"/>
      <c r="O81" s="57"/>
      <c r="P81" s="87"/>
      <c r="Q81" s="57"/>
      <c r="R81" s="87"/>
      <c r="S81" s="57"/>
      <c r="T81" s="87"/>
      <c r="U81" s="57"/>
      <c r="V81" s="56"/>
      <c r="W81" s="57"/>
      <c r="X81" s="62"/>
      <c r="Y81" s="63"/>
      <c r="Z81" s="79"/>
      <c r="AA81" s="80"/>
      <c r="AB81" s="80"/>
      <c r="AC81" s="81"/>
      <c r="AD81" s="81"/>
      <c r="AE81" s="81"/>
      <c r="AF81" s="81"/>
    </row>
    <row r="82" ht="15.75" customHeight="1">
      <c r="A82" s="53"/>
      <c r="B82" s="64" t="s">
        <v>80</v>
      </c>
      <c r="C82" s="55"/>
      <c r="D82" s="56"/>
      <c r="E82" s="66"/>
      <c r="F82" s="65"/>
      <c r="G82" s="66"/>
      <c r="H82" s="86" t="s">
        <v>22</v>
      </c>
      <c r="I82" s="93"/>
      <c r="J82" s="71"/>
      <c r="K82" s="72"/>
      <c r="L82" s="71"/>
      <c r="M82" s="72"/>
      <c r="N82" s="71"/>
      <c r="O82" s="72"/>
      <c r="P82" s="71"/>
      <c r="Q82" s="72"/>
      <c r="R82" s="71"/>
      <c r="S82" s="72"/>
      <c r="T82" s="71"/>
      <c r="U82" s="72"/>
      <c r="V82" s="89"/>
      <c r="W82" s="72"/>
      <c r="X82" s="74"/>
      <c r="Y82" s="63"/>
      <c r="Z82" s="79"/>
      <c r="AA82" s="80"/>
      <c r="AB82" s="80"/>
      <c r="AC82" s="81"/>
      <c r="AD82" s="81"/>
      <c r="AE82" s="81"/>
      <c r="AF82" s="81"/>
    </row>
    <row r="83" ht="15.0" customHeight="1">
      <c r="A83" s="53"/>
      <c r="B83" s="64" t="s">
        <v>81</v>
      </c>
      <c r="C83" s="55"/>
      <c r="D83" s="56"/>
      <c r="E83" s="66"/>
      <c r="F83" s="65"/>
      <c r="G83" s="66"/>
      <c r="H83" s="86" t="s">
        <v>22</v>
      </c>
      <c r="I83" s="72"/>
      <c r="J83" s="89"/>
      <c r="K83" s="72"/>
      <c r="L83" s="71"/>
      <c r="M83" s="72"/>
      <c r="N83" s="71"/>
      <c r="O83" s="72"/>
      <c r="P83" s="71"/>
      <c r="Q83" s="72"/>
      <c r="R83" s="71"/>
      <c r="S83" s="72"/>
      <c r="T83" s="71"/>
      <c r="U83" s="72"/>
      <c r="V83" s="71"/>
      <c r="W83" s="72"/>
      <c r="X83" s="83"/>
      <c r="Y83" s="85"/>
      <c r="Z83" s="79"/>
      <c r="AA83" s="80"/>
      <c r="AB83" s="80"/>
      <c r="AC83" s="81"/>
      <c r="AD83" s="81"/>
      <c r="AE83" s="81"/>
      <c r="AF83" s="81"/>
    </row>
    <row r="84" ht="13.5" customHeight="1">
      <c r="A84" s="45">
        <v>15.0</v>
      </c>
      <c r="B84" s="46" t="s">
        <v>82</v>
      </c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8"/>
      <c r="Z84" s="79"/>
      <c r="AA84" s="80"/>
      <c r="AB84" s="80"/>
      <c r="AC84" s="81"/>
      <c r="AD84" s="81"/>
      <c r="AE84" s="81"/>
      <c r="AF84" s="81"/>
    </row>
    <row r="85" ht="18.0" customHeight="1">
      <c r="A85" s="49"/>
      <c r="B85" s="50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2"/>
      <c r="Z85" s="79"/>
      <c r="AA85" s="80"/>
      <c r="AB85" s="80"/>
      <c r="AC85" s="81"/>
      <c r="AD85" s="81"/>
      <c r="AE85" s="81"/>
      <c r="AF85" s="81"/>
    </row>
    <row r="86" ht="16.5" customHeight="1">
      <c r="A86" s="88"/>
      <c r="B86" s="54" t="s">
        <v>83</v>
      </c>
      <c r="C86" s="55"/>
      <c r="D86" s="56"/>
      <c r="E86" s="59"/>
      <c r="F86" s="56"/>
      <c r="G86" s="59"/>
      <c r="H86" s="56"/>
      <c r="I86" s="97"/>
      <c r="J86" s="56"/>
      <c r="K86" s="60"/>
      <c r="L86" s="86" t="s">
        <v>22</v>
      </c>
      <c r="M86" s="72"/>
      <c r="N86" s="61"/>
      <c r="O86" s="57"/>
      <c r="P86" s="87"/>
      <c r="Q86" s="57"/>
      <c r="R86" s="87"/>
      <c r="S86" s="57"/>
      <c r="T86" s="87"/>
      <c r="U86" s="57"/>
      <c r="V86" s="56"/>
      <c r="W86" s="57"/>
      <c r="X86" s="62"/>
      <c r="Y86" s="81"/>
      <c r="Z86" s="79"/>
      <c r="AA86" s="80"/>
      <c r="AB86" s="80"/>
      <c r="AC86" s="81"/>
      <c r="AD86" s="81"/>
      <c r="AE86" s="81"/>
      <c r="AF86" s="81"/>
    </row>
    <row r="87" ht="15.75" customHeight="1">
      <c r="A87" s="53"/>
      <c r="B87" s="64" t="s">
        <v>84</v>
      </c>
      <c r="C87" s="55"/>
      <c r="D87" s="65"/>
      <c r="E87" s="66"/>
      <c r="F87" s="65"/>
      <c r="G87" s="66"/>
      <c r="H87" s="65"/>
      <c r="I87" s="98"/>
      <c r="J87" s="56"/>
      <c r="K87" s="68"/>
      <c r="L87" s="86" t="s">
        <v>22</v>
      </c>
      <c r="M87" s="72"/>
      <c r="N87" s="71"/>
      <c r="O87" s="72"/>
      <c r="P87" s="71"/>
      <c r="Q87" s="72"/>
      <c r="R87" s="71"/>
      <c r="S87" s="72"/>
      <c r="T87" s="71"/>
      <c r="U87" s="72"/>
      <c r="V87" s="89"/>
      <c r="W87" s="72"/>
      <c r="X87" s="74"/>
      <c r="Y87" s="63"/>
      <c r="Z87" s="79"/>
      <c r="AA87" s="80"/>
      <c r="AB87" s="80"/>
      <c r="AC87" s="81"/>
      <c r="AD87" s="81"/>
      <c r="AE87" s="81"/>
      <c r="AF87" s="81"/>
    </row>
    <row r="88" ht="15.0" customHeight="1">
      <c r="A88" s="53"/>
      <c r="B88" s="64" t="s">
        <v>85</v>
      </c>
      <c r="C88" s="55"/>
      <c r="D88" s="65"/>
      <c r="E88" s="66"/>
      <c r="F88" s="65"/>
      <c r="G88" s="66"/>
      <c r="H88" s="65"/>
      <c r="I88" s="66"/>
      <c r="J88" s="65"/>
      <c r="K88" s="66"/>
      <c r="L88" s="86" t="s">
        <v>22</v>
      </c>
      <c r="M88" s="72"/>
      <c r="N88" s="71"/>
      <c r="O88" s="72"/>
      <c r="P88" s="71"/>
      <c r="Q88" s="72"/>
      <c r="R88" s="71"/>
      <c r="S88" s="72"/>
      <c r="T88" s="71"/>
      <c r="U88" s="72"/>
      <c r="V88" s="89"/>
      <c r="W88" s="72"/>
      <c r="X88" s="74"/>
      <c r="Y88" s="63"/>
      <c r="Z88" s="79"/>
      <c r="AA88" s="80"/>
      <c r="AB88" s="80"/>
      <c r="AC88" s="81"/>
      <c r="AD88" s="81"/>
      <c r="AE88" s="81"/>
      <c r="AF88" s="81"/>
    </row>
    <row r="89" ht="15.0" customHeight="1">
      <c r="A89" s="53"/>
      <c r="B89" s="64" t="s">
        <v>86</v>
      </c>
      <c r="C89" s="55"/>
      <c r="D89" s="65"/>
      <c r="E89" s="66"/>
      <c r="F89" s="65"/>
      <c r="G89" s="66"/>
      <c r="H89" s="65"/>
      <c r="I89" s="98"/>
      <c r="J89" s="67"/>
      <c r="K89" s="68"/>
      <c r="L89" s="86" t="s">
        <v>22</v>
      </c>
      <c r="M89" s="72"/>
      <c r="N89" s="71"/>
      <c r="O89" s="72"/>
      <c r="P89" s="71"/>
      <c r="Q89" s="72"/>
      <c r="R89" s="71"/>
      <c r="S89" s="72"/>
      <c r="T89" s="71"/>
      <c r="U89" s="72"/>
      <c r="V89" s="89"/>
      <c r="W89" s="72"/>
      <c r="X89" s="74"/>
      <c r="Y89" s="63"/>
      <c r="Z89" s="79"/>
      <c r="AA89" s="80"/>
      <c r="AB89" s="80"/>
      <c r="AC89" s="81"/>
      <c r="AD89" s="81"/>
      <c r="AE89" s="81"/>
      <c r="AF89" s="81"/>
    </row>
    <row r="90" ht="15.0" customHeight="1">
      <c r="A90" s="53"/>
      <c r="B90" s="64" t="s">
        <v>87</v>
      </c>
      <c r="C90" s="55"/>
      <c r="D90" s="65"/>
      <c r="E90" s="66"/>
      <c r="F90" s="99"/>
      <c r="G90" s="66"/>
      <c r="H90" s="100"/>
      <c r="I90" s="98"/>
      <c r="J90" s="67"/>
      <c r="K90" s="68"/>
      <c r="L90" s="86" t="s">
        <v>22</v>
      </c>
      <c r="M90" s="72"/>
      <c r="N90" s="71"/>
      <c r="O90" s="72"/>
      <c r="P90" s="71"/>
      <c r="Q90" s="72"/>
      <c r="R90" s="71"/>
      <c r="S90" s="72"/>
      <c r="T90" s="71"/>
      <c r="U90" s="72"/>
      <c r="V90" s="89"/>
      <c r="W90" s="72"/>
      <c r="X90" s="74"/>
      <c r="Y90" s="63" t="s">
        <v>88</v>
      </c>
      <c r="Z90" s="79"/>
      <c r="AA90" s="80"/>
      <c r="AB90" s="80"/>
      <c r="AC90" s="81"/>
      <c r="AD90" s="81"/>
      <c r="AE90" s="81"/>
      <c r="AF90" s="81"/>
    </row>
    <row r="91" ht="15.0" customHeight="1">
      <c r="A91" s="53"/>
      <c r="B91" s="64" t="s">
        <v>89</v>
      </c>
      <c r="C91" s="55"/>
      <c r="D91" s="65"/>
      <c r="E91" s="66"/>
      <c r="F91" s="65"/>
      <c r="G91" s="66"/>
      <c r="H91" s="101"/>
      <c r="I91" s="68"/>
      <c r="J91" s="67"/>
      <c r="K91" s="68"/>
      <c r="L91" s="86" t="s">
        <v>22</v>
      </c>
      <c r="M91" s="72"/>
      <c r="N91" s="71"/>
      <c r="O91" s="72"/>
      <c r="P91" s="71"/>
      <c r="Q91" s="72"/>
      <c r="R91" s="71"/>
      <c r="S91" s="72"/>
      <c r="T91" s="71"/>
      <c r="U91" s="72"/>
      <c r="V91" s="71"/>
      <c r="W91" s="72"/>
      <c r="X91" s="83"/>
      <c r="Y91" s="85" t="s">
        <v>88</v>
      </c>
      <c r="Z91" s="79"/>
      <c r="AA91" s="80"/>
      <c r="AB91" s="80"/>
      <c r="AC91" s="81"/>
      <c r="AD91" s="81"/>
      <c r="AE91" s="81"/>
      <c r="AF91" s="81"/>
    </row>
    <row r="92" ht="20.25" customHeight="1">
      <c r="A92" s="42" t="s">
        <v>90</v>
      </c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4"/>
      <c r="Z92" s="79"/>
      <c r="AA92" s="80"/>
      <c r="AB92" s="80"/>
      <c r="AC92" s="81"/>
      <c r="AD92" s="81"/>
      <c r="AE92" s="81"/>
      <c r="AF92" s="81"/>
    </row>
    <row r="93" ht="13.5" customHeight="1">
      <c r="A93" s="45">
        <v>16.0</v>
      </c>
      <c r="B93" s="46" t="s">
        <v>20</v>
      </c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8"/>
      <c r="Z93" s="79"/>
      <c r="AA93" s="80"/>
      <c r="AB93" s="80"/>
      <c r="AC93" s="81"/>
      <c r="AD93" s="81"/>
      <c r="AE93" s="81"/>
      <c r="AF93" s="81"/>
    </row>
    <row r="94" ht="16.5" customHeight="1">
      <c r="A94" s="49"/>
      <c r="B94" s="50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2"/>
      <c r="Z94" s="79"/>
      <c r="AA94" s="80"/>
      <c r="AB94" s="80"/>
      <c r="AC94" s="81"/>
      <c r="AD94" s="81"/>
      <c r="AE94" s="81"/>
      <c r="AF94" s="81"/>
    </row>
    <row r="95" ht="16.5" customHeight="1">
      <c r="A95" s="88"/>
      <c r="B95" s="54" t="s">
        <v>91</v>
      </c>
      <c r="C95" s="55"/>
      <c r="D95" s="102"/>
      <c r="E95" s="103"/>
      <c r="F95" s="56"/>
      <c r="G95" s="59"/>
      <c r="H95" s="56"/>
      <c r="I95" s="97"/>
      <c r="J95" s="56"/>
      <c r="K95" s="59"/>
      <c r="L95" s="86" t="s">
        <v>22</v>
      </c>
      <c r="M95" s="57"/>
      <c r="N95" s="87"/>
      <c r="O95" s="57"/>
      <c r="P95" s="87"/>
      <c r="Q95" s="57"/>
      <c r="R95" s="87"/>
      <c r="S95" s="57"/>
      <c r="T95" s="87"/>
      <c r="U95" s="57"/>
      <c r="V95" s="56"/>
      <c r="W95" s="57"/>
      <c r="X95" s="62"/>
      <c r="Y95" s="63"/>
      <c r="Z95" s="79"/>
      <c r="AA95" s="80"/>
      <c r="AB95" s="80"/>
      <c r="AC95" s="81"/>
      <c r="AD95" s="81"/>
      <c r="AE95" s="81"/>
      <c r="AF95" s="81"/>
    </row>
    <row r="96" ht="16.5" customHeight="1">
      <c r="A96" s="53"/>
      <c r="B96" s="64" t="s">
        <v>92</v>
      </c>
      <c r="C96" s="55"/>
      <c r="D96" s="104"/>
      <c r="E96" s="105"/>
      <c r="F96" s="106"/>
      <c r="G96" s="59"/>
      <c r="H96" s="67"/>
      <c r="I96" s="68"/>
      <c r="J96" s="67"/>
      <c r="K96" s="68"/>
      <c r="L96" s="86" t="s">
        <v>22</v>
      </c>
      <c r="M96" s="57"/>
      <c r="N96" s="87"/>
      <c r="O96" s="57"/>
      <c r="P96" s="87"/>
      <c r="Q96" s="57"/>
      <c r="R96" s="87"/>
      <c r="S96" s="57"/>
      <c r="T96" s="87"/>
      <c r="U96" s="57"/>
      <c r="V96" s="56"/>
      <c r="W96" s="57"/>
      <c r="X96" s="62"/>
      <c r="Y96" s="63"/>
      <c r="Z96" s="79"/>
      <c r="AA96" s="80"/>
      <c r="AB96" s="80"/>
      <c r="AC96" s="81"/>
      <c r="AD96" s="81"/>
      <c r="AE96" s="81"/>
      <c r="AF96" s="81"/>
    </row>
    <row r="97" ht="16.5" customHeight="1">
      <c r="A97" s="53"/>
      <c r="B97" s="64" t="s">
        <v>93</v>
      </c>
      <c r="C97" s="55"/>
      <c r="D97" s="67"/>
      <c r="E97" s="68"/>
      <c r="F97" s="67"/>
      <c r="G97" s="68"/>
      <c r="H97" s="67"/>
      <c r="I97" s="68"/>
      <c r="J97" s="67"/>
      <c r="K97" s="68"/>
      <c r="L97" s="86" t="s">
        <v>22</v>
      </c>
      <c r="M97" s="57"/>
      <c r="N97" s="87"/>
      <c r="O97" s="57"/>
      <c r="P97" s="87"/>
      <c r="Q97" s="57"/>
      <c r="R97" s="87"/>
      <c r="S97" s="57"/>
      <c r="T97" s="87"/>
      <c r="U97" s="57"/>
      <c r="V97" s="56"/>
      <c r="W97" s="57"/>
      <c r="X97" s="62"/>
      <c r="Y97" s="63"/>
      <c r="Z97" s="79"/>
      <c r="AA97" s="80"/>
      <c r="AB97" s="80"/>
      <c r="AC97" s="81"/>
      <c r="AD97" s="81"/>
      <c r="AE97" s="81"/>
      <c r="AF97" s="81"/>
    </row>
    <row r="98" ht="15.75" customHeight="1">
      <c r="A98" s="53"/>
      <c r="B98" s="64" t="s">
        <v>94</v>
      </c>
      <c r="C98" s="55"/>
      <c r="D98" s="67"/>
      <c r="E98" s="68"/>
      <c r="F98" s="67"/>
      <c r="G98" s="68"/>
      <c r="H98" s="67"/>
      <c r="I98" s="68"/>
      <c r="J98" s="67"/>
      <c r="K98" s="68"/>
      <c r="L98" s="86" t="s">
        <v>22</v>
      </c>
      <c r="M98" s="57"/>
      <c r="N98" s="87"/>
      <c r="O98" s="57"/>
      <c r="P98" s="87"/>
      <c r="Q98" s="57"/>
      <c r="R98" s="87"/>
      <c r="S98" s="57"/>
      <c r="T98" s="87"/>
      <c r="U98" s="57"/>
      <c r="V98" s="56"/>
      <c r="W98" s="57"/>
      <c r="X98" s="62"/>
      <c r="Y98" s="63"/>
      <c r="Z98" s="79"/>
      <c r="AA98" s="80"/>
      <c r="AB98" s="80"/>
      <c r="AC98" s="81"/>
      <c r="AD98" s="81"/>
      <c r="AE98" s="81"/>
      <c r="AF98" s="81"/>
    </row>
    <row r="99" ht="13.5" customHeight="1">
      <c r="A99" s="45">
        <v>17.0</v>
      </c>
      <c r="B99" s="46" t="s">
        <v>95</v>
      </c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8"/>
      <c r="Z99" s="79"/>
      <c r="AA99" s="80"/>
      <c r="AB99" s="80"/>
      <c r="AC99" s="81"/>
      <c r="AD99" s="81"/>
      <c r="AE99" s="81"/>
      <c r="AF99" s="81"/>
    </row>
    <row r="100" ht="13.5" customHeight="1">
      <c r="A100" s="49"/>
      <c r="B100" s="50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2"/>
      <c r="Z100" s="79"/>
      <c r="AA100" s="80"/>
      <c r="AB100" s="80"/>
      <c r="AC100" s="81"/>
      <c r="AD100" s="81"/>
      <c r="AE100" s="81"/>
      <c r="AF100" s="81"/>
    </row>
    <row r="101" ht="16.5" customHeight="1">
      <c r="A101" s="88"/>
      <c r="B101" s="54" t="s">
        <v>96</v>
      </c>
      <c r="C101" s="55"/>
      <c r="D101" s="67"/>
      <c r="E101" s="68"/>
      <c r="F101" s="107"/>
      <c r="G101" s="57"/>
      <c r="H101" s="56"/>
      <c r="I101" s="97"/>
      <c r="J101" s="107"/>
      <c r="K101" s="68"/>
      <c r="L101" s="86" t="s">
        <v>22</v>
      </c>
      <c r="M101" s="57"/>
      <c r="N101" s="87"/>
      <c r="O101" s="57"/>
      <c r="P101" s="87"/>
      <c r="Q101" s="57"/>
      <c r="R101" s="87"/>
      <c r="S101" s="57"/>
      <c r="T101" s="87"/>
      <c r="U101" s="57"/>
      <c r="V101" s="56"/>
      <c r="W101" s="57"/>
      <c r="X101" s="62"/>
      <c r="Y101" s="63"/>
      <c r="Z101" s="79"/>
      <c r="AA101" s="80"/>
      <c r="AB101" s="80"/>
      <c r="AC101" s="81"/>
      <c r="AD101" s="81"/>
      <c r="AE101" s="81"/>
      <c r="AF101" s="81"/>
    </row>
    <row r="102" ht="15.75" customHeight="1">
      <c r="A102" s="53"/>
      <c r="B102" s="64" t="s">
        <v>97</v>
      </c>
      <c r="C102" s="55"/>
      <c r="D102" s="67"/>
      <c r="E102" s="68"/>
      <c r="F102" s="65"/>
      <c r="G102" s="66"/>
      <c r="H102" s="67"/>
      <c r="I102" s="98"/>
      <c r="J102" s="67"/>
      <c r="K102" s="68"/>
      <c r="L102" s="86" t="s">
        <v>22</v>
      </c>
      <c r="M102" s="72"/>
      <c r="N102" s="71"/>
      <c r="O102" s="72"/>
      <c r="P102" s="71"/>
      <c r="Q102" s="72"/>
      <c r="R102" s="71"/>
      <c r="S102" s="72"/>
      <c r="T102" s="71"/>
      <c r="U102" s="72"/>
      <c r="V102" s="89"/>
      <c r="W102" s="72"/>
      <c r="X102" s="74"/>
      <c r="Y102" s="63"/>
      <c r="Z102" s="79"/>
      <c r="AA102" s="80"/>
      <c r="AB102" s="80"/>
      <c r="AC102" s="81"/>
      <c r="AD102" s="81"/>
      <c r="AE102" s="81"/>
      <c r="AF102" s="81"/>
    </row>
    <row r="103" ht="21.75" customHeight="1">
      <c r="A103" s="108" t="s">
        <v>98</v>
      </c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4"/>
      <c r="Z103" s="79"/>
      <c r="AA103" s="80"/>
      <c r="AB103" s="80"/>
      <c r="AC103" s="81"/>
      <c r="AD103" s="81"/>
      <c r="AE103" s="81"/>
      <c r="AF103" s="81"/>
    </row>
    <row r="104" ht="18.0" customHeight="1">
      <c r="A104" s="109" t="s">
        <v>18</v>
      </c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4"/>
      <c r="Z104" s="79"/>
      <c r="AA104" s="80"/>
      <c r="AB104" s="80"/>
      <c r="AC104" s="81"/>
      <c r="AD104" s="81"/>
      <c r="AE104" s="81"/>
      <c r="AF104" s="81"/>
    </row>
    <row r="105" ht="19.5" customHeight="1">
      <c r="A105" s="45">
        <v>1.0</v>
      </c>
      <c r="B105" s="46" t="s">
        <v>99</v>
      </c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8"/>
      <c r="Z105" s="79"/>
      <c r="AA105" s="80"/>
      <c r="AB105" s="80"/>
      <c r="AC105" s="81"/>
      <c r="AD105" s="81"/>
      <c r="AE105" s="81"/>
      <c r="AF105" s="81"/>
    </row>
    <row r="106" ht="15.0" customHeight="1">
      <c r="A106" s="49"/>
      <c r="B106" s="50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2"/>
      <c r="Z106" s="79"/>
      <c r="AA106" s="80"/>
      <c r="AB106" s="80"/>
      <c r="AC106" s="81"/>
      <c r="AD106" s="81"/>
      <c r="AE106" s="81"/>
      <c r="AF106" s="81"/>
    </row>
    <row r="107" ht="15.0" customHeight="1">
      <c r="A107" s="88"/>
      <c r="B107" s="95" t="s">
        <v>100</v>
      </c>
      <c r="C107" s="55"/>
      <c r="D107" s="56"/>
      <c r="E107" s="57"/>
      <c r="F107" s="56"/>
      <c r="G107" s="57"/>
      <c r="H107" s="86" t="s">
        <v>22</v>
      </c>
      <c r="I107" s="58"/>
      <c r="J107" s="87"/>
      <c r="K107" s="57"/>
      <c r="L107" s="87"/>
      <c r="M107" s="57"/>
      <c r="N107" s="87"/>
      <c r="O107" s="57"/>
      <c r="P107" s="87"/>
      <c r="Q107" s="57"/>
      <c r="R107" s="87"/>
      <c r="S107" s="57"/>
      <c r="T107" s="87"/>
      <c r="U107" s="57"/>
      <c r="V107" s="56"/>
      <c r="W107" s="57"/>
      <c r="X107" s="62"/>
      <c r="Y107" s="63"/>
      <c r="Z107" s="79"/>
      <c r="AA107" s="80"/>
      <c r="AB107" s="80"/>
      <c r="AC107" s="81"/>
      <c r="AD107" s="81"/>
      <c r="AE107" s="81"/>
      <c r="AF107" s="81"/>
    </row>
    <row r="108" ht="22.5" customHeight="1">
      <c r="A108" s="45">
        <v>2.0</v>
      </c>
      <c r="B108" s="46" t="s">
        <v>101</v>
      </c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8"/>
      <c r="Z108" s="79"/>
      <c r="AA108" s="80"/>
      <c r="AB108" s="80"/>
      <c r="AC108" s="81"/>
      <c r="AD108" s="81"/>
      <c r="AE108" s="81"/>
      <c r="AF108" s="81"/>
    </row>
    <row r="109" ht="18.0" customHeight="1">
      <c r="A109" s="49"/>
      <c r="B109" s="50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2"/>
      <c r="Z109" s="79"/>
      <c r="AA109" s="80"/>
      <c r="AB109" s="80"/>
      <c r="AC109" s="81"/>
      <c r="AD109" s="81"/>
      <c r="AE109" s="81"/>
      <c r="AF109" s="81"/>
    </row>
    <row r="110" ht="18.0" customHeight="1">
      <c r="A110" s="88"/>
      <c r="B110" s="54" t="s">
        <v>102</v>
      </c>
      <c r="C110" s="55"/>
      <c r="D110" s="56"/>
      <c r="E110" s="57"/>
      <c r="F110" s="56"/>
      <c r="G110" s="57"/>
      <c r="H110" s="86" t="s">
        <v>22</v>
      </c>
      <c r="I110" s="58"/>
      <c r="J110" s="87"/>
      <c r="K110" s="57"/>
      <c r="L110" s="87"/>
      <c r="M110" s="57"/>
      <c r="N110" s="87"/>
      <c r="O110" s="57"/>
      <c r="P110" s="87"/>
      <c r="Q110" s="57"/>
      <c r="R110" s="87"/>
      <c r="S110" s="57"/>
      <c r="T110" s="87"/>
      <c r="U110" s="57"/>
      <c r="V110" s="56"/>
      <c r="W110" s="57"/>
      <c r="X110" s="62"/>
      <c r="Y110" s="63"/>
      <c r="Z110" s="79"/>
      <c r="AA110" s="80"/>
      <c r="AB110" s="80"/>
      <c r="AC110" s="81"/>
      <c r="AD110" s="81"/>
      <c r="AE110" s="81"/>
      <c r="AF110" s="81"/>
    </row>
    <row r="111" ht="15.75" customHeight="1">
      <c r="A111" s="53"/>
      <c r="B111" s="64" t="s">
        <v>103</v>
      </c>
      <c r="C111" s="55"/>
      <c r="D111" s="65"/>
      <c r="E111" s="66"/>
      <c r="F111" s="65"/>
      <c r="G111" s="66"/>
      <c r="H111" s="86" t="s">
        <v>22</v>
      </c>
      <c r="I111" s="72"/>
      <c r="J111" s="89"/>
      <c r="K111" s="72"/>
      <c r="L111" s="71"/>
      <c r="M111" s="72"/>
      <c r="N111" s="71"/>
      <c r="O111" s="72"/>
      <c r="P111" s="71"/>
      <c r="Q111" s="72"/>
      <c r="R111" s="71"/>
      <c r="S111" s="72"/>
      <c r="T111" s="71"/>
      <c r="U111" s="72"/>
      <c r="V111" s="71"/>
      <c r="W111" s="72"/>
      <c r="X111" s="83"/>
      <c r="Y111" s="85"/>
      <c r="Z111" s="79"/>
      <c r="AA111" s="80"/>
      <c r="AB111" s="80"/>
      <c r="AC111" s="81"/>
      <c r="AD111" s="81"/>
      <c r="AE111" s="81"/>
      <c r="AF111" s="81"/>
    </row>
    <row r="112" ht="15.75" customHeight="1">
      <c r="A112" s="53"/>
      <c r="B112" s="64" t="s">
        <v>104</v>
      </c>
      <c r="C112" s="55"/>
      <c r="D112" s="65"/>
      <c r="E112" s="66"/>
      <c r="F112" s="65"/>
      <c r="G112" s="66"/>
      <c r="H112" s="86" t="s">
        <v>22</v>
      </c>
      <c r="I112" s="72"/>
      <c r="J112" s="71"/>
      <c r="K112" s="72"/>
      <c r="L112" s="71"/>
      <c r="M112" s="72"/>
      <c r="N112" s="71"/>
      <c r="O112" s="72"/>
      <c r="P112" s="71"/>
      <c r="Q112" s="72"/>
      <c r="R112" s="71"/>
      <c r="S112" s="72"/>
      <c r="T112" s="89"/>
      <c r="U112" s="72"/>
      <c r="V112" s="71"/>
      <c r="W112" s="72"/>
      <c r="X112" s="74"/>
      <c r="Y112" s="63"/>
      <c r="Z112" s="79"/>
      <c r="AA112" s="80"/>
      <c r="AB112" s="80"/>
      <c r="AC112" s="81"/>
      <c r="AD112" s="81"/>
      <c r="AE112" s="81"/>
      <c r="AF112" s="81"/>
    </row>
    <row r="113" ht="15.0" customHeight="1">
      <c r="A113" s="53"/>
      <c r="B113" s="64" t="s">
        <v>105</v>
      </c>
      <c r="C113" s="55"/>
      <c r="D113" s="65"/>
      <c r="E113" s="66"/>
      <c r="F113" s="65"/>
      <c r="G113" s="66"/>
      <c r="H113" s="86" t="s">
        <v>22</v>
      </c>
      <c r="I113" s="72"/>
      <c r="J113" s="71"/>
      <c r="K113" s="72"/>
      <c r="L113" s="71"/>
      <c r="M113" s="72"/>
      <c r="N113" s="71"/>
      <c r="O113" s="72"/>
      <c r="P113" s="71"/>
      <c r="Q113" s="72"/>
      <c r="R113" s="71"/>
      <c r="S113" s="72"/>
      <c r="T113" s="89"/>
      <c r="U113" s="72"/>
      <c r="V113" s="71"/>
      <c r="W113" s="72"/>
      <c r="X113" s="83"/>
      <c r="Y113" s="85"/>
      <c r="Z113" s="79"/>
      <c r="AA113" s="80"/>
      <c r="AB113" s="80"/>
      <c r="AC113" s="81"/>
      <c r="AD113" s="81"/>
      <c r="AE113" s="81"/>
      <c r="AF113" s="81"/>
    </row>
    <row r="114" ht="13.5" customHeight="1">
      <c r="A114" s="45">
        <v>3.0</v>
      </c>
      <c r="B114" s="46" t="s">
        <v>106</v>
      </c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8"/>
      <c r="Z114" s="79"/>
      <c r="AA114" s="80"/>
      <c r="AB114" s="80"/>
      <c r="AC114" s="81"/>
      <c r="AD114" s="81"/>
      <c r="AE114" s="81"/>
      <c r="AF114" s="81"/>
    </row>
    <row r="115" ht="18.0" customHeight="1">
      <c r="A115" s="49"/>
      <c r="B115" s="50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2"/>
      <c r="Z115" s="79"/>
      <c r="AA115" s="80"/>
      <c r="AB115" s="80"/>
      <c r="AC115" s="81"/>
      <c r="AD115" s="81"/>
      <c r="AE115" s="81"/>
      <c r="AF115" s="81"/>
    </row>
    <row r="116" ht="15.75" customHeight="1">
      <c r="A116" s="88"/>
      <c r="B116" s="95" t="s">
        <v>107</v>
      </c>
      <c r="C116" s="55"/>
      <c r="D116" s="56"/>
      <c r="E116" s="57"/>
      <c r="F116" s="56"/>
      <c r="G116" s="66"/>
      <c r="H116" s="86" t="s">
        <v>22</v>
      </c>
      <c r="I116" s="57"/>
      <c r="J116" s="87"/>
      <c r="K116" s="57"/>
      <c r="L116" s="87"/>
      <c r="M116" s="57"/>
      <c r="N116" s="87"/>
      <c r="O116" s="57"/>
      <c r="P116" s="87"/>
      <c r="Q116" s="57"/>
      <c r="R116" s="87"/>
      <c r="S116" s="57"/>
      <c r="T116" s="87"/>
      <c r="U116" s="57"/>
      <c r="V116" s="56"/>
      <c r="W116" s="57"/>
      <c r="X116" s="62"/>
      <c r="Y116" s="63"/>
      <c r="Z116" s="79"/>
      <c r="AA116" s="80"/>
      <c r="AB116" s="80"/>
      <c r="AC116" s="81"/>
      <c r="AD116" s="81"/>
      <c r="AE116" s="81"/>
      <c r="AF116" s="81"/>
    </row>
    <row r="117" ht="13.5" customHeight="1">
      <c r="A117" s="45">
        <v>4.0</v>
      </c>
      <c r="B117" s="46" t="s">
        <v>108</v>
      </c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8"/>
      <c r="Z117" s="79"/>
      <c r="AA117" s="80"/>
      <c r="AB117" s="80"/>
      <c r="AC117" s="81"/>
      <c r="AD117" s="81"/>
      <c r="AE117" s="81"/>
      <c r="AF117" s="81"/>
    </row>
    <row r="118" ht="15.75" customHeight="1">
      <c r="A118" s="49"/>
      <c r="B118" s="50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2"/>
      <c r="Z118" s="79"/>
      <c r="AA118" s="80"/>
      <c r="AB118" s="80"/>
      <c r="AC118" s="81"/>
      <c r="AD118" s="81"/>
      <c r="AE118" s="81"/>
      <c r="AF118" s="81"/>
    </row>
    <row r="119" ht="18.0" customHeight="1">
      <c r="A119" s="53"/>
      <c r="B119" s="96" t="s">
        <v>109</v>
      </c>
      <c r="C119" s="55"/>
      <c r="D119" s="56"/>
      <c r="E119" s="57"/>
      <c r="F119" s="56"/>
      <c r="G119" s="66"/>
      <c r="H119" s="86" t="s">
        <v>22</v>
      </c>
      <c r="I119" s="72"/>
      <c r="J119" s="71"/>
      <c r="K119" s="72"/>
      <c r="L119" s="71"/>
      <c r="M119" s="72"/>
      <c r="N119" s="71"/>
      <c r="O119" s="72"/>
      <c r="P119" s="71"/>
      <c r="Q119" s="72"/>
      <c r="R119" s="71"/>
      <c r="S119" s="72"/>
      <c r="T119" s="71"/>
      <c r="U119" s="72"/>
      <c r="V119" s="71"/>
      <c r="W119" s="72"/>
      <c r="X119" s="83"/>
      <c r="Y119" s="85"/>
      <c r="Z119" s="79"/>
      <c r="AA119" s="80"/>
      <c r="AB119" s="80"/>
      <c r="AC119" s="81"/>
      <c r="AD119" s="81"/>
      <c r="AE119" s="81"/>
      <c r="AF119" s="81"/>
    </row>
    <row r="120" ht="0.75" customHeight="1">
      <c r="A120" s="45">
        <v>5.0</v>
      </c>
      <c r="B120" s="46" t="s">
        <v>110</v>
      </c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8"/>
      <c r="Z120" s="79"/>
      <c r="AA120" s="80"/>
      <c r="AB120" s="80"/>
      <c r="AC120" s="81"/>
      <c r="AD120" s="81"/>
      <c r="AE120" s="81"/>
      <c r="AF120" s="81"/>
    </row>
    <row r="121" ht="24.75" customHeight="1">
      <c r="A121" s="49"/>
      <c r="B121" s="50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2"/>
      <c r="Z121" s="79"/>
      <c r="AA121" s="80"/>
      <c r="AB121" s="80"/>
      <c r="AC121" s="81"/>
      <c r="AD121" s="81"/>
      <c r="AE121" s="81"/>
      <c r="AF121" s="81"/>
    </row>
    <row r="122" ht="15.0" customHeight="1">
      <c r="A122" s="53"/>
      <c r="B122" s="96" t="s">
        <v>111</v>
      </c>
      <c r="C122" s="55"/>
      <c r="D122" s="56"/>
      <c r="E122" s="57"/>
      <c r="F122" s="56"/>
      <c r="G122" s="66"/>
      <c r="H122" s="86" t="s">
        <v>22</v>
      </c>
      <c r="I122" s="72"/>
      <c r="J122" s="71"/>
      <c r="K122" s="72"/>
      <c r="L122" s="71"/>
      <c r="M122" s="72"/>
      <c r="N122" s="71"/>
      <c r="O122" s="72"/>
      <c r="P122" s="71"/>
      <c r="Q122" s="72"/>
      <c r="R122" s="71"/>
      <c r="S122" s="72"/>
      <c r="T122" s="71"/>
      <c r="U122" s="72"/>
      <c r="V122" s="71"/>
      <c r="W122" s="72"/>
      <c r="X122" s="83"/>
      <c r="Y122" s="85"/>
      <c r="Z122" s="79"/>
      <c r="AA122" s="80"/>
      <c r="AB122" s="80"/>
      <c r="AC122" s="81"/>
      <c r="AD122" s="81"/>
      <c r="AE122" s="81"/>
      <c r="AF122" s="81"/>
    </row>
    <row r="123" ht="6.0" customHeight="1">
      <c r="A123" s="45">
        <v>6.0</v>
      </c>
      <c r="B123" s="46" t="s">
        <v>112</v>
      </c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8"/>
      <c r="Z123" s="79"/>
      <c r="AA123" s="80"/>
      <c r="AB123" s="80"/>
      <c r="AC123" s="81"/>
      <c r="AD123" s="81"/>
      <c r="AE123" s="81"/>
      <c r="AF123" s="81"/>
    </row>
    <row r="124" ht="16.5" customHeight="1">
      <c r="A124" s="49"/>
      <c r="B124" s="50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2"/>
      <c r="Z124" s="79"/>
      <c r="AA124" s="80"/>
      <c r="AB124" s="80"/>
      <c r="AC124" s="81"/>
      <c r="AD124" s="81"/>
      <c r="AE124" s="81"/>
      <c r="AF124" s="81"/>
    </row>
    <row r="125" ht="15.75" customHeight="1">
      <c r="A125" s="110"/>
      <c r="B125" s="111"/>
      <c r="C125" s="88"/>
      <c r="D125" s="112" t="s">
        <v>113</v>
      </c>
      <c r="E125" s="44"/>
      <c r="F125" s="112" t="s">
        <v>114</v>
      </c>
      <c r="G125" s="44"/>
      <c r="H125" s="112" t="s">
        <v>115</v>
      </c>
      <c r="I125" s="44"/>
      <c r="J125" s="112" t="s">
        <v>116</v>
      </c>
      <c r="K125" s="44"/>
      <c r="L125" s="112" t="s">
        <v>117</v>
      </c>
      <c r="M125" s="44"/>
      <c r="N125" s="112" t="s">
        <v>118</v>
      </c>
      <c r="O125" s="44"/>
      <c r="P125" s="112" t="s">
        <v>119</v>
      </c>
      <c r="Q125" s="44"/>
      <c r="R125" s="112" t="s">
        <v>120</v>
      </c>
      <c r="S125" s="44"/>
      <c r="T125" s="112" t="s">
        <v>121</v>
      </c>
      <c r="U125" s="44"/>
      <c r="V125" s="112" t="s">
        <v>122</v>
      </c>
      <c r="W125" s="44"/>
      <c r="X125" s="113"/>
      <c r="Y125" s="114" t="s">
        <v>123</v>
      </c>
      <c r="Z125" s="79"/>
      <c r="AA125" s="80"/>
      <c r="AB125" s="80"/>
      <c r="AC125" s="81"/>
      <c r="AD125" s="81"/>
      <c r="AE125" s="81"/>
      <c r="AF125" s="81"/>
    </row>
    <row r="126" ht="15.75" customHeight="1">
      <c r="A126" s="115"/>
      <c r="B126" s="116" t="s">
        <v>124</v>
      </c>
      <c r="C126" s="115"/>
      <c r="D126" s="56"/>
      <c r="E126" s="117"/>
      <c r="F126" s="56"/>
      <c r="G126" s="117"/>
      <c r="H126" s="56"/>
      <c r="I126" s="117"/>
      <c r="J126" s="56"/>
      <c r="K126" s="117"/>
      <c r="L126" s="56"/>
      <c r="M126" s="117"/>
      <c r="N126" s="56"/>
      <c r="O126" s="117"/>
      <c r="P126" s="102"/>
      <c r="Q126" s="117"/>
      <c r="R126" s="102"/>
      <c r="S126" s="117"/>
      <c r="T126" s="102"/>
      <c r="U126" s="117"/>
      <c r="V126" s="102"/>
      <c r="W126" s="117"/>
      <c r="X126" s="86" t="s">
        <v>22</v>
      </c>
      <c r="Y126" s="118" t="s">
        <v>125</v>
      </c>
      <c r="Z126" s="79"/>
      <c r="AA126" s="80"/>
      <c r="AB126" s="80"/>
      <c r="AC126" s="81"/>
      <c r="AD126" s="81"/>
      <c r="AE126" s="81"/>
      <c r="AF126" s="81"/>
    </row>
    <row r="127" ht="15.75" customHeight="1">
      <c r="A127" s="49"/>
      <c r="B127" s="49"/>
      <c r="C127" s="49"/>
      <c r="D127" s="56"/>
      <c r="E127" s="119"/>
      <c r="F127" s="56"/>
      <c r="G127" s="119"/>
      <c r="H127" s="56"/>
      <c r="I127" s="119"/>
      <c r="J127" s="56"/>
      <c r="K127" s="119"/>
      <c r="L127" s="56"/>
      <c r="M127" s="119"/>
      <c r="N127" s="56"/>
      <c r="O127" s="119"/>
      <c r="P127" s="120"/>
      <c r="Q127" s="121"/>
      <c r="R127" s="120"/>
      <c r="S127" s="121"/>
      <c r="T127" s="120"/>
      <c r="U127" s="121"/>
      <c r="V127" s="120"/>
      <c r="W127" s="121"/>
      <c r="X127" s="86" t="s">
        <v>22</v>
      </c>
      <c r="Y127" s="122" t="s">
        <v>126</v>
      </c>
      <c r="Z127" s="79"/>
      <c r="AA127" s="80"/>
      <c r="AB127" s="80"/>
      <c r="AC127" s="81"/>
      <c r="AD127" s="81"/>
      <c r="AE127" s="81"/>
      <c r="AF127" s="81"/>
    </row>
    <row r="128" ht="15.75" customHeight="1">
      <c r="A128" s="115"/>
      <c r="B128" s="116" t="s">
        <v>127</v>
      </c>
      <c r="C128" s="115"/>
      <c r="D128" s="107"/>
      <c r="E128" s="117"/>
      <c r="F128" s="107"/>
      <c r="G128" s="117"/>
      <c r="H128" s="107"/>
      <c r="I128" s="117"/>
      <c r="J128" s="107"/>
      <c r="K128" s="117"/>
      <c r="L128" s="107"/>
      <c r="M128" s="117"/>
      <c r="N128" s="107"/>
      <c r="O128" s="117"/>
      <c r="P128" s="102"/>
      <c r="Q128" s="117"/>
      <c r="R128" s="102"/>
      <c r="S128" s="117"/>
      <c r="T128" s="102"/>
      <c r="U128" s="117"/>
      <c r="V128" s="102"/>
      <c r="W128" s="117"/>
      <c r="X128" s="86" t="s">
        <v>22</v>
      </c>
      <c r="Y128" s="118" t="s">
        <v>125</v>
      </c>
      <c r="Z128" s="79"/>
      <c r="AA128" s="80"/>
      <c r="AB128" s="80"/>
      <c r="AC128" s="81"/>
      <c r="AD128" s="81"/>
      <c r="AE128" s="81"/>
      <c r="AF128" s="81"/>
    </row>
    <row r="129" ht="15.75" customHeight="1">
      <c r="A129" s="49"/>
      <c r="B129" s="49"/>
      <c r="C129" s="49"/>
      <c r="D129" s="65"/>
      <c r="E129" s="119"/>
      <c r="F129" s="65"/>
      <c r="G129" s="119"/>
      <c r="H129" s="65"/>
      <c r="I129" s="119"/>
      <c r="J129" s="65"/>
      <c r="K129" s="119"/>
      <c r="L129" s="65"/>
      <c r="M129" s="119"/>
      <c r="N129" s="65"/>
      <c r="O129" s="119"/>
      <c r="P129" s="120"/>
      <c r="Q129" s="121"/>
      <c r="R129" s="120"/>
      <c r="S129" s="121"/>
      <c r="T129" s="120"/>
      <c r="U129" s="121"/>
      <c r="V129" s="120"/>
      <c r="W129" s="121"/>
      <c r="X129" s="86" t="s">
        <v>22</v>
      </c>
      <c r="Y129" s="122" t="s">
        <v>126</v>
      </c>
      <c r="Z129" s="79"/>
      <c r="AA129" s="80"/>
      <c r="AB129" s="80"/>
      <c r="AC129" s="81"/>
      <c r="AD129" s="81"/>
      <c r="AE129" s="81"/>
      <c r="AF129" s="81"/>
    </row>
    <row r="130" ht="15.75" customHeight="1">
      <c r="A130" s="115"/>
      <c r="B130" s="116" t="s">
        <v>128</v>
      </c>
      <c r="C130" s="115"/>
      <c r="D130" s="107"/>
      <c r="E130" s="117"/>
      <c r="F130" s="107"/>
      <c r="G130" s="117"/>
      <c r="H130" s="107"/>
      <c r="I130" s="117"/>
      <c r="J130" s="107"/>
      <c r="K130" s="117"/>
      <c r="L130" s="107"/>
      <c r="M130" s="117"/>
      <c r="N130" s="107"/>
      <c r="O130" s="117"/>
      <c r="P130" s="102"/>
      <c r="Q130" s="117"/>
      <c r="R130" s="102"/>
      <c r="S130" s="117"/>
      <c r="T130" s="102"/>
      <c r="U130" s="117"/>
      <c r="V130" s="102"/>
      <c r="W130" s="117"/>
      <c r="X130" s="86" t="s">
        <v>22</v>
      </c>
      <c r="Y130" s="118" t="s">
        <v>125</v>
      </c>
      <c r="Z130" s="79"/>
      <c r="AA130" s="80"/>
      <c r="AB130" s="80"/>
      <c r="AC130" s="81"/>
      <c r="AD130" s="81"/>
      <c r="AE130" s="81"/>
      <c r="AF130" s="81"/>
    </row>
    <row r="131" ht="15.75" customHeight="1">
      <c r="A131" s="49"/>
      <c r="B131" s="49"/>
      <c r="C131" s="49"/>
      <c r="D131" s="65"/>
      <c r="E131" s="119"/>
      <c r="F131" s="65"/>
      <c r="G131" s="117"/>
      <c r="H131" s="65"/>
      <c r="I131" s="119"/>
      <c r="J131" s="65"/>
      <c r="K131" s="119"/>
      <c r="L131" s="107"/>
      <c r="M131" s="119"/>
      <c r="N131" s="107"/>
      <c r="O131" s="119"/>
      <c r="P131" s="120"/>
      <c r="Q131" s="121"/>
      <c r="R131" s="120"/>
      <c r="S131" s="121"/>
      <c r="T131" s="120"/>
      <c r="U131" s="121"/>
      <c r="V131" s="120"/>
      <c r="W131" s="121"/>
      <c r="X131" s="86" t="s">
        <v>22</v>
      </c>
      <c r="Y131" s="122" t="s">
        <v>126</v>
      </c>
      <c r="Z131" s="79"/>
      <c r="AA131" s="80"/>
      <c r="AB131" s="80"/>
      <c r="AC131" s="81"/>
      <c r="AD131" s="81"/>
      <c r="AE131" s="81"/>
      <c r="AF131" s="81"/>
    </row>
    <row r="132" ht="15.75" customHeight="1">
      <c r="A132" s="115"/>
      <c r="B132" s="116" t="s">
        <v>129</v>
      </c>
      <c r="C132" s="115"/>
      <c r="D132" s="107"/>
      <c r="E132" s="123"/>
      <c r="F132" s="107"/>
      <c r="G132" s="123"/>
      <c r="H132" s="107"/>
      <c r="I132" s="123"/>
      <c r="J132" s="107"/>
      <c r="K132" s="123"/>
      <c r="L132" s="107"/>
      <c r="M132" s="123"/>
      <c r="N132" s="107"/>
      <c r="O132" s="123"/>
      <c r="P132" s="102"/>
      <c r="Q132" s="117"/>
      <c r="R132" s="102"/>
      <c r="S132" s="117"/>
      <c r="T132" s="102"/>
      <c r="U132" s="117"/>
      <c r="V132" s="102"/>
      <c r="W132" s="117"/>
      <c r="X132" s="86" t="s">
        <v>22</v>
      </c>
      <c r="Y132" s="118" t="s">
        <v>125</v>
      </c>
      <c r="Z132" s="79"/>
      <c r="AA132" s="80"/>
      <c r="AB132" s="80"/>
      <c r="AC132" s="81"/>
      <c r="AD132" s="81"/>
      <c r="AE132" s="81"/>
      <c r="AF132" s="81"/>
    </row>
    <row r="133" ht="15.0" customHeight="1">
      <c r="A133" s="49"/>
      <c r="B133" s="49"/>
      <c r="C133" s="49"/>
      <c r="D133" s="107"/>
      <c r="E133" s="119"/>
      <c r="F133" s="124"/>
      <c r="G133" s="119"/>
      <c r="H133" s="124"/>
      <c r="I133" s="119"/>
      <c r="J133" s="124"/>
      <c r="K133" s="119"/>
      <c r="L133" s="124"/>
      <c r="M133" s="119"/>
      <c r="N133" s="124"/>
      <c r="O133" s="119"/>
      <c r="P133" s="120"/>
      <c r="Q133" s="121"/>
      <c r="R133" s="120"/>
      <c r="S133" s="121"/>
      <c r="T133" s="120"/>
      <c r="U133" s="121"/>
      <c r="V133" s="120"/>
      <c r="W133" s="121"/>
      <c r="X133" s="86" t="s">
        <v>22</v>
      </c>
      <c r="Y133" s="122" t="s">
        <v>126</v>
      </c>
      <c r="Z133" s="79"/>
      <c r="AA133" s="80"/>
      <c r="AB133" s="80"/>
      <c r="AC133" s="81"/>
      <c r="AD133" s="81"/>
      <c r="AE133" s="81"/>
      <c r="AF133" s="81"/>
    </row>
    <row r="134" ht="13.5" customHeight="1">
      <c r="A134" s="115"/>
      <c r="B134" s="116" t="s">
        <v>130</v>
      </c>
      <c r="C134" s="115"/>
      <c r="D134" s="107"/>
      <c r="E134" s="117"/>
      <c r="F134" s="107"/>
      <c r="G134" s="117"/>
      <c r="H134" s="107"/>
      <c r="I134" s="117"/>
      <c r="J134" s="107"/>
      <c r="K134" s="117"/>
      <c r="L134" s="125"/>
      <c r="M134" s="117"/>
      <c r="N134" s="107"/>
      <c r="O134" s="117"/>
      <c r="P134" s="102"/>
      <c r="Q134" s="117"/>
      <c r="R134" s="102"/>
      <c r="S134" s="117"/>
      <c r="T134" s="102"/>
      <c r="U134" s="117"/>
      <c r="V134" s="102"/>
      <c r="W134" s="117"/>
      <c r="X134" s="86" t="s">
        <v>22</v>
      </c>
      <c r="Y134" s="118" t="s">
        <v>125</v>
      </c>
      <c r="Z134" s="79"/>
      <c r="AA134" s="80"/>
      <c r="AB134" s="80"/>
      <c r="AC134" s="81"/>
      <c r="AD134" s="81"/>
      <c r="AE134" s="81"/>
      <c r="AF134" s="81"/>
    </row>
    <row r="135" ht="15.0" customHeight="1">
      <c r="A135" s="49"/>
      <c r="B135" s="49"/>
      <c r="C135" s="49"/>
      <c r="D135" s="65"/>
      <c r="E135" s="119"/>
      <c r="F135" s="65"/>
      <c r="G135" s="119"/>
      <c r="H135" s="65"/>
      <c r="I135" s="119"/>
      <c r="J135" s="65"/>
      <c r="K135" s="119"/>
      <c r="L135" s="65"/>
      <c r="M135" s="119"/>
      <c r="N135" s="65"/>
      <c r="O135" s="119"/>
      <c r="P135" s="120"/>
      <c r="Q135" s="121"/>
      <c r="R135" s="120"/>
      <c r="S135" s="121"/>
      <c r="T135" s="120"/>
      <c r="U135" s="121"/>
      <c r="V135" s="120"/>
      <c r="W135" s="121"/>
      <c r="X135" s="86" t="s">
        <v>22</v>
      </c>
      <c r="Y135" s="122" t="s">
        <v>126</v>
      </c>
      <c r="Z135" s="79"/>
      <c r="AA135" s="80"/>
      <c r="AB135" s="80"/>
      <c r="AC135" s="81"/>
      <c r="AD135" s="81"/>
      <c r="AE135" s="81"/>
      <c r="AF135" s="81"/>
    </row>
    <row r="136" ht="15.75" customHeight="1">
      <c r="A136" s="115"/>
      <c r="B136" s="116" t="s">
        <v>131</v>
      </c>
      <c r="C136" s="115"/>
      <c r="D136" s="107"/>
      <c r="E136" s="117"/>
      <c r="F136" s="107"/>
      <c r="G136" s="117"/>
      <c r="H136" s="107"/>
      <c r="I136" s="117"/>
      <c r="J136" s="107"/>
      <c r="K136" s="117"/>
      <c r="L136" s="107"/>
      <c r="M136" s="117"/>
      <c r="N136" s="107"/>
      <c r="O136" s="117"/>
      <c r="P136" s="102"/>
      <c r="Q136" s="117"/>
      <c r="R136" s="102"/>
      <c r="S136" s="117"/>
      <c r="T136" s="102"/>
      <c r="U136" s="117"/>
      <c r="V136" s="102"/>
      <c r="W136" s="117"/>
      <c r="X136" s="86" t="s">
        <v>22</v>
      </c>
      <c r="Y136" s="118" t="s">
        <v>125</v>
      </c>
      <c r="Z136" s="79"/>
      <c r="AA136" s="80"/>
      <c r="AB136" s="80"/>
      <c r="AC136" s="81"/>
      <c r="AD136" s="81"/>
      <c r="AE136" s="81"/>
      <c r="AF136" s="81"/>
    </row>
    <row r="137" ht="15.75" customHeight="1">
      <c r="A137" s="49"/>
      <c r="B137" s="49"/>
      <c r="C137" s="49"/>
      <c r="D137" s="65"/>
      <c r="E137" s="119"/>
      <c r="F137" s="65"/>
      <c r="G137" s="119"/>
      <c r="H137" s="65"/>
      <c r="I137" s="119"/>
      <c r="J137" s="65"/>
      <c r="K137" s="119"/>
      <c r="L137" s="65"/>
      <c r="M137" s="119"/>
      <c r="N137" s="65"/>
      <c r="O137" s="119"/>
      <c r="P137" s="120"/>
      <c r="Q137" s="121"/>
      <c r="R137" s="120"/>
      <c r="S137" s="121"/>
      <c r="T137" s="120"/>
      <c r="U137" s="121"/>
      <c r="V137" s="120"/>
      <c r="W137" s="121"/>
      <c r="X137" s="86" t="s">
        <v>22</v>
      </c>
      <c r="Y137" s="122" t="s">
        <v>126</v>
      </c>
      <c r="Z137" s="79"/>
      <c r="AA137" s="80"/>
      <c r="AB137" s="80"/>
      <c r="AC137" s="81"/>
      <c r="AD137" s="81"/>
      <c r="AE137" s="81"/>
      <c r="AF137" s="81"/>
    </row>
    <row r="138" ht="20.25" customHeight="1">
      <c r="A138" s="126" t="s">
        <v>64</v>
      </c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4"/>
      <c r="Z138" s="79"/>
      <c r="AA138" s="80"/>
      <c r="AB138" s="80"/>
      <c r="AC138" s="81"/>
      <c r="AD138" s="81"/>
      <c r="AE138" s="81"/>
      <c r="AF138" s="81"/>
    </row>
    <row r="139" ht="13.5" customHeight="1">
      <c r="A139" s="45">
        <v>7.0</v>
      </c>
      <c r="B139" s="46" t="s">
        <v>132</v>
      </c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8"/>
      <c r="Z139" s="79"/>
      <c r="AA139" s="80"/>
      <c r="AB139" s="80"/>
      <c r="AC139" s="81"/>
      <c r="AD139" s="81"/>
      <c r="AE139" s="81"/>
      <c r="AF139" s="81"/>
    </row>
    <row r="140" ht="17.25" customHeight="1">
      <c r="A140" s="49"/>
      <c r="B140" s="50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2"/>
      <c r="Z140" s="79"/>
      <c r="AA140" s="80"/>
      <c r="AB140" s="80"/>
      <c r="AC140" s="81"/>
      <c r="AD140" s="81"/>
      <c r="AE140" s="81"/>
      <c r="AF140" s="81"/>
    </row>
    <row r="141" ht="15.75" customHeight="1">
      <c r="A141" s="88"/>
      <c r="B141" s="127" t="s">
        <v>133</v>
      </c>
      <c r="C141" s="55" t="s">
        <v>10</v>
      </c>
      <c r="D141" s="56"/>
      <c r="E141" s="57"/>
      <c r="F141" s="56"/>
      <c r="G141" s="57"/>
      <c r="H141" s="56"/>
      <c r="I141" s="58"/>
      <c r="J141" s="56"/>
      <c r="K141" s="57"/>
      <c r="L141" s="56"/>
      <c r="M141" s="56"/>
      <c r="N141" s="86" t="s">
        <v>22</v>
      </c>
      <c r="O141" s="57"/>
      <c r="P141" s="87"/>
      <c r="Q141" s="57"/>
      <c r="R141" s="87"/>
      <c r="S141" s="57"/>
      <c r="T141" s="87"/>
      <c r="U141" s="57"/>
      <c r="V141" s="56"/>
      <c r="W141" s="57"/>
      <c r="X141" s="62"/>
      <c r="Y141" s="63"/>
      <c r="Z141" s="79"/>
      <c r="AA141" s="80"/>
      <c r="AB141" s="80"/>
      <c r="AC141" s="81"/>
      <c r="AD141" s="81"/>
      <c r="AE141" s="81"/>
      <c r="AF141" s="81"/>
    </row>
    <row r="142" ht="15.75" customHeight="1">
      <c r="A142" s="53"/>
      <c r="B142" s="128" t="s">
        <v>134</v>
      </c>
      <c r="C142" s="55" t="s">
        <v>10</v>
      </c>
      <c r="D142" s="67"/>
      <c r="E142" s="68"/>
      <c r="F142" s="67"/>
      <c r="G142" s="68"/>
      <c r="H142" s="67"/>
      <c r="I142" s="68"/>
      <c r="J142" s="67"/>
      <c r="K142" s="68"/>
      <c r="L142" s="56"/>
      <c r="M142" s="56"/>
      <c r="N142" s="86" t="s">
        <v>22</v>
      </c>
      <c r="O142" s="72"/>
      <c r="P142" s="71"/>
      <c r="Q142" s="72"/>
      <c r="R142" s="71"/>
      <c r="S142" s="72"/>
      <c r="T142" s="71"/>
      <c r="U142" s="72"/>
      <c r="V142" s="71"/>
      <c r="W142" s="72"/>
      <c r="X142" s="83"/>
      <c r="Y142" s="85"/>
      <c r="Z142" s="79"/>
      <c r="AA142" s="80"/>
      <c r="AB142" s="80"/>
      <c r="AC142" s="81"/>
      <c r="AD142" s="81"/>
      <c r="AE142" s="81"/>
      <c r="AF142" s="81"/>
    </row>
    <row r="143" ht="15.75" customHeight="1">
      <c r="A143" s="53"/>
      <c r="B143" s="128" t="s">
        <v>135</v>
      </c>
      <c r="C143" s="55" t="s">
        <v>10</v>
      </c>
      <c r="D143" s="65"/>
      <c r="E143" s="66"/>
      <c r="F143" s="65"/>
      <c r="G143" s="66"/>
      <c r="H143" s="65"/>
      <c r="I143" s="66"/>
      <c r="J143" s="65"/>
      <c r="K143" s="66"/>
      <c r="L143" s="56"/>
      <c r="M143" s="56"/>
      <c r="N143" s="86" t="s">
        <v>22</v>
      </c>
      <c r="O143" s="72"/>
      <c r="P143" s="71"/>
      <c r="Q143" s="72"/>
      <c r="R143" s="71"/>
      <c r="S143" s="72"/>
      <c r="T143" s="71"/>
      <c r="U143" s="72"/>
      <c r="V143" s="71"/>
      <c r="W143" s="72"/>
      <c r="X143" s="74"/>
      <c r="Y143" s="63"/>
      <c r="Z143" s="79"/>
      <c r="AA143" s="80"/>
      <c r="AB143" s="80"/>
      <c r="AC143" s="81"/>
      <c r="AD143" s="81"/>
      <c r="AE143" s="81"/>
      <c r="AF143" s="81"/>
    </row>
    <row r="144" ht="16.5" customHeight="1">
      <c r="A144" s="88"/>
      <c r="B144" s="128" t="s">
        <v>136</v>
      </c>
      <c r="C144" s="55" t="s">
        <v>10</v>
      </c>
      <c r="D144" s="56"/>
      <c r="E144" s="57"/>
      <c r="F144" s="56"/>
      <c r="G144" s="57"/>
      <c r="H144" s="56"/>
      <c r="I144" s="58"/>
      <c r="J144" s="56"/>
      <c r="K144" s="57"/>
      <c r="L144" s="56"/>
      <c r="M144" s="56"/>
      <c r="N144" s="86" t="s">
        <v>22</v>
      </c>
      <c r="O144" s="57"/>
      <c r="P144" s="87"/>
      <c r="Q144" s="57"/>
      <c r="R144" s="87"/>
      <c r="S144" s="57"/>
      <c r="T144" s="87"/>
      <c r="U144" s="57"/>
      <c r="V144" s="56"/>
      <c r="W144" s="57"/>
      <c r="X144" s="62"/>
      <c r="Y144" s="63"/>
      <c r="Z144" s="79"/>
      <c r="AA144" s="80"/>
      <c r="AB144" s="80"/>
      <c r="AC144" s="81"/>
      <c r="AD144" s="81"/>
      <c r="AE144" s="81"/>
      <c r="AF144" s="81"/>
    </row>
    <row r="145" ht="15.0" customHeight="1">
      <c r="A145" s="53"/>
      <c r="B145" s="128" t="s">
        <v>137</v>
      </c>
      <c r="C145" s="55" t="s">
        <v>10</v>
      </c>
      <c r="D145" s="65"/>
      <c r="E145" s="66"/>
      <c r="F145" s="65"/>
      <c r="G145" s="66"/>
      <c r="H145" s="65"/>
      <c r="I145" s="66"/>
      <c r="J145" s="65"/>
      <c r="K145" s="66"/>
      <c r="L145" s="56"/>
      <c r="M145" s="56"/>
      <c r="N145" s="86" t="s">
        <v>22</v>
      </c>
      <c r="O145" s="72"/>
      <c r="P145" s="71"/>
      <c r="Q145" s="72"/>
      <c r="R145" s="71"/>
      <c r="S145" s="72"/>
      <c r="T145" s="71"/>
      <c r="U145" s="72"/>
      <c r="V145" s="71"/>
      <c r="W145" s="72"/>
      <c r="X145" s="83"/>
      <c r="Y145" s="85"/>
      <c r="Z145" s="79"/>
      <c r="AA145" s="80"/>
      <c r="AB145" s="80"/>
      <c r="AC145" s="81"/>
      <c r="AD145" s="81"/>
      <c r="AE145" s="81"/>
      <c r="AF145" s="81"/>
    </row>
    <row r="146" ht="15.0" customHeight="1">
      <c r="A146" s="53"/>
      <c r="B146" s="128" t="s">
        <v>138</v>
      </c>
      <c r="C146" s="55" t="s">
        <v>10</v>
      </c>
      <c r="D146" s="65"/>
      <c r="E146" s="66"/>
      <c r="F146" s="65"/>
      <c r="G146" s="66"/>
      <c r="H146" s="65"/>
      <c r="I146" s="66"/>
      <c r="J146" s="65"/>
      <c r="K146" s="66"/>
      <c r="L146" s="56"/>
      <c r="M146" s="56"/>
      <c r="N146" s="86" t="s">
        <v>22</v>
      </c>
      <c r="O146" s="72"/>
      <c r="P146" s="71"/>
      <c r="Q146" s="72"/>
      <c r="R146" s="71"/>
      <c r="S146" s="72"/>
      <c r="T146" s="71"/>
      <c r="U146" s="72"/>
      <c r="V146" s="71"/>
      <c r="W146" s="72"/>
      <c r="X146" s="74"/>
      <c r="Y146" s="63"/>
      <c r="Z146" s="79"/>
      <c r="AA146" s="80"/>
      <c r="AB146" s="80"/>
      <c r="AC146" s="81"/>
      <c r="AD146" s="81"/>
      <c r="AE146" s="81"/>
      <c r="AF146" s="81"/>
    </row>
    <row r="147" ht="14.25" customHeight="1">
      <c r="A147" s="53"/>
      <c r="B147" s="128" t="s">
        <v>139</v>
      </c>
      <c r="C147" s="55" t="s">
        <v>10</v>
      </c>
      <c r="D147" s="65"/>
      <c r="E147" s="66"/>
      <c r="F147" s="65"/>
      <c r="G147" s="66"/>
      <c r="H147" s="65"/>
      <c r="I147" s="66"/>
      <c r="J147" s="65"/>
      <c r="K147" s="66"/>
      <c r="L147" s="56"/>
      <c r="M147" s="56"/>
      <c r="N147" s="86" t="s">
        <v>22</v>
      </c>
      <c r="O147" s="72"/>
      <c r="P147" s="71"/>
      <c r="Q147" s="72"/>
      <c r="R147" s="71"/>
      <c r="S147" s="72"/>
      <c r="T147" s="71"/>
      <c r="U147" s="72"/>
      <c r="V147" s="71"/>
      <c r="W147" s="72"/>
      <c r="X147" s="74"/>
      <c r="Y147" s="63"/>
      <c r="Z147" s="79"/>
      <c r="AA147" s="80"/>
      <c r="AB147" s="80"/>
      <c r="AC147" s="81"/>
      <c r="AD147" s="81"/>
      <c r="AE147" s="81"/>
      <c r="AF147" s="81"/>
    </row>
    <row r="148" ht="14.25" customHeight="1">
      <c r="A148" s="53"/>
      <c r="B148" s="128" t="s">
        <v>140</v>
      </c>
      <c r="C148" s="55" t="s">
        <v>10</v>
      </c>
      <c r="D148" s="65"/>
      <c r="E148" s="66"/>
      <c r="F148" s="65"/>
      <c r="G148" s="66"/>
      <c r="H148" s="65"/>
      <c r="I148" s="66"/>
      <c r="J148" s="65"/>
      <c r="K148" s="66"/>
      <c r="L148" s="56"/>
      <c r="M148" s="56"/>
      <c r="N148" s="86" t="s">
        <v>22</v>
      </c>
      <c r="O148" s="72"/>
      <c r="P148" s="71"/>
      <c r="Q148" s="72"/>
      <c r="R148" s="71"/>
      <c r="S148" s="72"/>
      <c r="T148" s="71"/>
      <c r="U148" s="72"/>
      <c r="V148" s="71"/>
      <c r="W148" s="72"/>
      <c r="X148" s="74"/>
      <c r="Y148" s="63"/>
      <c r="Z148" s="79"/>
      <c r="AA148" s="80"/>
      <c r="AB148" s="80"/>
      <c r="AC148" s="81"/>
      <c r="AD148" s="81"/>
      <c r="AE148" s="81"/>
      <c r="AF148" s="81"/>
    </row>
    <row r="149" ht="15.0" customHeight="1">
      <c r="A149" s="53"/>
      <c r="B149" s="128" t="s">
        <v>141</v>
      </c>
      <c r="C149" s="55" t="s">
        <v>10</v>
      </c>
      <c r="D149" s="65"/>
      <c r="E149" s="66"/>
      <c r="F149" s="65"/>
      <c r="G149" s="66"/>
      <c r="H149" s="65"/>
      <c r="I149" s="66"/>
      <c r="J149" s="65"/>
      <c r="K149" s="66"/>
      <c r="L149" s="56"/>
      <c r="M149" s="56"/>
      <c r="N149" s="86" t="s">
        <v>22</v>
      </c>
      <c r="O149" s="72"/>
      <c r="P149" s="71"/>
      <c r="Q149" s="72"/>
      <c r="R149" s="71"/>
      <c r="S149" s="72"/>
      <c r="T149" s="71"/>
      <c r="U149" s="72"/>
      <c r="V149" s="71"/>
      <c r="W149" s="72"/>
      <c r="X149" s="74"/>
      <c r="Y149" s="63"/>
      <c r="Z149" s="79"/>
      <c r="AA149" s="80"/>
      <c r="AB149" s="80"/>
      <c r="AC149" s="81"/>
      <c r="AD149" s="81"/>
      <c r="AE149" s="81"/>
      <c r="AF149" s="81"/>
    </row>
    <row r="150" ht="15.0" customHeight="1">
      <c r="A150" s="53"/>
      <c r="B150" s="128" t="s">
        <v>142</v>
      </c>
      <c r="C150" s="55" t="s">
        <v>10</v>
      </c>
      <c r="D150" s="69"/>
      <c r="E150" s="66"/>
      <c r="F150" s="69"/>
      <c r="G150" s="66"/>
      <c r="H150" s="69"/>
      <c r="I150" s="66"/>
      <c r="J150" s="69"/>
      <c r="K150" s="66"/>
      <c r="L150" s="56"/>
      <c r="M150" s="56"/>
      <c r="N150" s="86" t="s">
        <v>22</v>
      </c>
      <c r="O150" s="72"/>
      <c r="P150" s="71"/>
      <c r="Q150" s="72"/>
      <c r="R150" s="71"/>
      <c r="S150" s="72"/>
      <c r="T150" s="71"/>
      <c r="U150" s="72"/>
      <c r="V150" s="71"/>
      <c r="W150" s="72"/>
      <c r="X150" s="74"/>
      <c r="Y150" s="63"/>
      <c r="Z150" s="79"/>
      <c r="AA150" s="80"/>
      <c r="AB150" s="80"/>
      <c r="AC150" s="81"/>
      <c r="AD150" s="81"/>
      <c r="AE150" s="81"/>
      <c r="AF150" s="81"/>
    </row>
    <row r="151" ht="13.5" customHeight="1">
      <c r="A151" s="45">
        <v>8.0</v>
      </c>
      <c r="B151" s="46" t="s">
        <v>143</v>
      </c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8"/>
      <c r="Z151" s="79"/>
      <c r="AA151" s="80"/>
      <c r="AB151" s="80"/>
      <c r="AC151" s="81"/>
      <c r="AD151" s="81"/>
      <c r="AE151" s="81"/>
      <c r="AF151" s="81"/>
    </row>
    <row r="152" ht="16.5" customHeight="1">
      <c r="A152" s="49"/>
      <c r="B152" s="50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2"/>
      <c r="Z152" s="79"/>
      <c r="AA152" s="80"/>
      <c r="AB152" s="80"/>
      <c r="AC152" s="81"/>
      <c r="AD152" s="81"/>
      <c r="AE152" s="81"/>
      <c r="AF152" s="81"/>
    </row>
    <row r="153" ht="15.75" customHeight="1">
      <c r="A153" s="88"/>
      <c r="B153" s="127" t="s">
        <v>144</v>
      </c>
      <c r="C153" s="55" t="s">
        <v>10</v>
      </c>
      <c r="D153" s="56"/>
      <c r="E153" s="57"/>
      <c r="F153" s="56"/>
      <c r="G153" s="57"/>
      <c r="H153" s="56"/>
      <c r="I153" s="56"/>
      <c r="J153" s="86" t="s">
        <v>22</v>
      </c>
      <c r="K153" s="57"/>
      <c r="L153" s="87"/>
      <c r="M153" s="57"/>
      <c r="N153" s="87"/>
      <c r="O153" s="57"/>
      <c r="P153" s="87"/>
      <c r="Q153" s="57"/>
      <c r="R153" s="87"/>
      <c r="S153" s="57"/>
      <c r="T153" s="87"/>
      <c r="U153" s="57"/>
      <c r="V153" s="56"/>
      <c r="W153" s="57"/>
      <c r="X153" s="62"/>
      <c r="Y153" s="63"/>
      <c r="Z153" s="79"/>
      <c r="AA153" s="80"/>
      <c r="AB153" s="80"/>
      <c r="AC153" s="81"/>
      <c r="AD153" s="81"/>
      <c r="AE153" s="81"/>
      <c r="AF153" s="81"/>
    </row>
    <row r="154" ht="15.0" customHeight="1">
      <c r="A154" s="53"/>
      <c r="B154" s="128" t="s">
        <v>145</v>
      </c>
      <c r="C154" s="55" t="s">
        <v>10</v>
      </c>
      <c r="D154" s="65"/>
      <c r="E154" s="66"/>
      <c r="F154" s="65"/>
      <c r="G154" s="66"/>
      <c r="H154" s="56"/>
      <c r="I154" s="56"/>
      <c r="J154" s="86" t="s">
        <v>22</v>
      </c>
      <c r="K154" s="72"/>
      <c r="L154" s="71"/>
      <c r="M154" s="72"/>
      <c r="N154" s="71"/>
      <c r="O154" s="72"/>
      <c r="P154" s="71"/>
      <c r="Q154" s="72"/>
      <c r="R154" s="71"/>
      <c r="S154" s="72"/>
      <c r="T154" s="71"/>
      <c r="U154" s="72"/>
      <c r="V154" s="71"/>
      <c r="W154" s="72"/>
      <c r="X154" s="83"/>
      <c r="Y154" s="85"/>
      <c r="Z154" s="79"/>
      <c r="AA154" s="80"/>
      <c r="AB154" s="80"/>
      <c r="AC154" s="81"/>
      <c r="AD154" s="81"/>
      <c r="AE154" s="81"/>
      <c r="AF154" s="81"/>
    </row>
    <row r="155" ht="15.75" customHeight="1">
      <c r="A155" s="53"/>
      <c r="B155" s="128" t="s">
        <v>146</v>
      </c>
      <c r="C155" s="55" t="s">
        <v>10</v>
      </c>
      <c r="D155" s="65"/>
      <c r="E155" s="66"/>
      <c r="F155" s="65"/>
      <c r="G155" s="66"/>
      <c r="H155" s="56"/>
      <c r="I155" s="56"/>
      <c r="J155" s="86" t="s">
        <v>22</v>
      </c>
      <c r="K155" s="72"/>
      <c r="L155" s="71"/>
      <c r="M155" s="72"/>
      <c r="N155" s="71"/>
      <c r="O155" s="72"/>
      <c r="P155" s="71"/>
      <c r="Q155" s="72"/>
      <c r="R155" s="71"/>
      <c r="S155" s="72"/>
      <c r="T155" s="71"/>
      <c r="U155" s="72"/>
      <c r="V155" s="71"/>
      <c r="W155" s="72"/>
      <c r="X155" s="74"/>
      <c r="Y155" s="63"/>
      <c r="Z155" s="79"/>
      <c r="AA155" s="80"/>
      <c r="AB155" s="80"/>
      <c r="AC155" s="81"/>
      <c r="AD155" s="81"/>
      <c r="AE155" s="81"/>
      <c r="AF155" s="81"/>
    </row>
    <row r="156" ht="15.0" customHeight="1">
      <c r="A156" s="53"/>
      <c r="B156" s="128" t="s">
        <v>147</v>
      </c>
      <c r="C156" s="55" t="s">
        <v>10</v>
      </c>
      <c r="D156" s="69"/>
      <c r="E156" s="66"/>
      <c r="F156" s="69"/>
      <c r="G156" s="66"/>
      <c r="H156" s="56"/>
      <c r="I156" s="56"/>
      <c r="J156" s="86" t="s">
        <v>22</v>
      </c>
      <c r="K156" s="72"/>
      <c r="L156" s="71"/>
      <c r="M156" s="72"/>
      <c r="N156" s="71"/>
      <c r="O156" s="72"/>
      <c r="P156" s="71"/>
      <c r="Q156" s="72"/>
      <c r="R156" s="71"/>
      <c r="S156" s="72"/>
      <c r="T156" s="71"/>
      <c r="U156" s="72"/>
      <c r="V156" s="71"/>
      <c r="W156" s="72"/>
      <c r="X156" s="74"/>
      <c r="Y156" s="63"/>
      <c r="Z156" s="79"/>
      <c r="AA156" s="80"/>
      <c r="AB156" s="80"/>
      <c r="AC156" s="81"/>
      <c r="AD156" s="81"/>
      <c r="AE156" s="81"/>
      <c r="AF156" s="81"/>
    </row>
    <row r="157" ht="15.75" customHeight="1">
      <c r="A157" s="53"/>
      <c r="B157" s="128" t="s">
        <v>148</v>
      </c>
      <c r="C157" s="55" t="s">
        <v>10</v>
      </c>
      <c r="D157" s="65"/>
      <c r="E157" s="66"/>
      <c r="F157" s="65"/>
      <c r="G157" s="66"/>
      <c r="H157" s="56"/>
      <c r="I157" s="56"/>
      <c r="J157" s="86" t="s">
        <v>22</v>
      </c>
      <c r="K157" s="72"/>
      <c r="L157" s="71"/>
      <c r="M157" s="72"/>
      <c r="N157" s="71"/>
      <c r="O157" s="72"/>
      <c r="P157" s="71"/>
      <c r="Q157" s="72"/>
      <c r="R157" s="71"/>
      <c r="S157" s="72"/>
      <c r="T157" s="71"/>
      <c r="U157" s="72"/>
      <c r="V157" s="71"/>
      <c r="W157" s="72"/>
      <c r="X157" s="74"/>
      <c r="Y157" s="63"/>
      <c r="Z157" s="79"/>
      <c r="AA157" s="80"/>
      <c r="AB157" s="80"/>
      <c r="AC157" s="81"/>
      <c r="AD157" s="81"/>
      <c r="AE157" s="81"/>
      <c r="AF157" s="81"/>
    </row>
    <row r="158" ht="16.5" customHeight="1">
      <c r="A158" s="53"/>
      <c r="B158" s="128" t="s">
        <v>149</v>
      </c>
      <c r="C158" s="55" t="s">
        <v>10</v>
      </c>
      <c r="D158" s="69"/>
      <c r="E158" s="66"/>
      <c r="F158" s="69"/>
      <c r="G158" s="66"/>
      <c r="H158" s="56"/>
      <c r="I158" s="56"/>
      <c r="J158" s="86" t="s">
        <v>22</v>
      </c>
      <c r="K158" s="72"/>
      <c r="L158" s="71"/>
      <c r="M158" s="72"/>
      <c r="N158" s="71"/>
      <c r="O158" s="72"/>
      <c r="P158" s="71"/>
      <c r="Q158" s="72"/>
      <c r="R158" s="71"/>
      <c r="S158" s="72"/>
      <c r="T158" s="71"/>
      <c r="U158" s="72"/>
      <c r="V158" s="71"/>
      <c r="W158" s="72"/>
      <c r="X158" s="83"/>
      <c r="Y158" s="85"/>
      <c r="Z158" s="79"/>
      <c r="AA158" s="80"/>
      <c r="AB158" s="80"/>
      <c r="AC158" s="81"/>
      <c r="AD158" s="81"/>
      <c r="AE158" s="81"/>
      <c r="AF158" s="81"/>
    </row>
    <row r="159" ht="13.5" customHeight="1">
      <c r="A159" s="45">
        <v>9.0</v>
      </c>
      <c r="B159" s="46" t="s">
        <v>150</v>
      </c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8"/>
      <c r="Z159" s="79"/>
      <c r="AA159" s="80"/>
      <c r="AB159" s="80"/>
      <c r="AC159" s="81"/>
      <c r="AD159" s="81"/>
      <c r="AE159" s="81"/>
      <c r="AF159" s="81"/>
    </row>
    <row r="160" ht="18.75" customHeight="1">
      <c r="A160" s="49"/>
      <c r="B160" s="50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2"/>
      <c r="Z160" s="79"/>
      <c r="AA160" s="80"/>
      <c r="AB160" s="80"/>
      <c r="AC160" s="81"/>
      <c r="AD160" s="81"/>
      <c r="AE160" s="81"/>
      <c r="AF160" s="81"/>
    </row>
    <row r="161" ht="15.75" customHeight="1">
      <c r="A161" s="88"/>
      <c r="B161" s="127" t="s">
        <v>151</v>
      </c>
      <c r="C161" s="55"/>
      <c r="D161" s="56"/>
      <c r="E161" s="57"/>
      <c r="F161" s="56"/>
      <c r="G161" s="57"/>
      <c r="H161" s="56"/>
      <c r="I161" s="58"/>
      <c r="J161" s="86" t="s">
        <v>22</v>
      </c>
      <c r="K161" s="57"/>
      <c r="L161" s="87"/>
      <c r="M161" s="57"/>
      <c r="N161" s="87"/>
      <c r="O161" s="57"/>
      <c r="P161" s="87"/>
      <c r="Q161" s="57"/>
      <c r="R161" s="87"/>
      <c r="S161" s="57"/>
      <c r="T161" s="87"/>
      <c r="U161" s="57"/>
      <c r="V161" s="56"/>
      <c r="W161" s="57"/>
      <c r="X161" s="62"/>
      <c r="Y161" s="63"/>
      <c r="Z161" s="79"/>
      <c r="AA161" s="80"/>
      <c r="AB161" s="80"/>
      <c r="AC161" s="81"/>
      <c r="AD161" s="81"/>
      <c r="AE161" s="81"/>
      <c r="AF161" s="81"/>
    </row>
    <row r="162" ht="21.0" customHeight="1">
      <c r="A162" s="53"/>
      <c r="B162" s="128" t="s">
        <v>152</v>
      </c>
      <c r="C162" s="55"/>
      <c r="D162" s="56"/>
      <c r="E162" s="66"/>
      <c r="F162" s="56"/>
      <c r="G162" s="66"/>
      <c r="H162" s="56"/>
      <c r="I162" s="66"/>
      <c r="J162" s="86" t="s">
        <v>22</v>
      </c>
      <c r="K162" s="72"/>
      <c r="L162" s="71"/>
      <c r="M162" s="72"/>
      <c r="N162" s="71"/>
      <c r="O162" s="72"/>
      <c r="P162" s="71"/>
      <c r="Q162" s="72"/>
      <c r="R162" s="71"/>
      <c r="S162" s="72"/>
      <c r="T162" s="71"/>
      <c r="U162" s="72"/>
      <c r="V162" s="71"/>
      <c r="W162" s="72"/>
      <c r="X162" s="83"/>
      <c r="Y162" s="85"/>
      <c r="Z162" s="79"/>
      <c r="AA162" s="80"/>
      <c r="AB162" s="80"/>
      <c r="AC162" s="81"/>
      <c r="AD162" s="81"/>
      <c r="AE162" s="81"/>
      <c r="AF162" s="81"/>
    </row>
    <row r="163" ht="13.5" customHeight="1">
      <c r="A163" s="45">
        <v>10.0</v>
      </c>
      <c r="B163" s="46" t="s">
        <v>153</v>
      </c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129"/>
      <c r="X163" s="130"/>
      <c r="Y163" s="131"/>
      <c r="Z163" s="79"/>
      <c r="AA163" s="80"/>
      <c r="AB163" s="80"/>
      <c r="AC163" s="81"/>
      <c r="AD163" s="81"/>
      <c r="AE163" s="81"/>
      <c r="AF163" s="81"/>
    </row>
    <row r="164" ht="16.5" customHeight="1">
      <c r="A164" s="49"/>
      <c r="B164" s="50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132"/>
      <c r="X164" s="133"/>
      <c r="Y164" s="49"/>
      <c r="Z164" s="79"/>
      <c r="AA164" s="80"/>
      <c r="AB164" s="80"/>
      <c r="AC164" s="81"/>
      <c r="AD164" s="81"/>
      <c r="AE164" s="81"/>
      <c r="AF164" s="81"/>
    </row>
    <row r="165" ht="15.75" customHeight="1">
      <c r="A165" s="88"/>
      <c r="B165" s="127" t="s">
        <v>154</v>
      </c>
      <c r="C165" s="55"/>
      <c r="D165" s="56"/>
      <c r="E165" s="57"/>
      <c r="F165" s="56"/>
      <c r="G165" s="57"/>
      <c r="H165" s="56"/>
      <c r="I165" s="58"/>
      <c r="J165" s="56"/>
      <c r="K165" s="57"/>
      <c r="L165" s="56"/>
      <c r="M165" s="57"/>
      <c r="N165" s="56"/>
      <c r="O165" s="57"/>
      <c r="P165" s="56"/>
      <c r="Q165" s="57"/>
      <c r="R165" s="56"/>
      <c r="S165" s="57"/>
      <c r="T165" s="56"/>
      <c r="U165" s="57"/>
      <c r="V165" s="56"/>
      <c r="W165" s="57"/>
      <c r="X165" s="56"/>
      <c r="Y165" s="86" t="s">
        <v>22</v>
      </c>
      <c r="Z165" s="79"/>
      <c r="AA165" s="80"/>
      <c r="AB165" s="80"/>
      <c r="AC165" s="81"/>
      <c r="AD165" s="81"/>
      <c r="AE165" s="81"/>
      <c r="AF165" s="81"/>
    </row>
    <row r="166" ht="15.75" customHeight="1">
      <c r="A166" s="53"/>
      <c r="B166" s="128" t="s">
        <v>155</v>
      </c>
      <c r="C166" s="55"/>
      <c r="D166" s="65"/>
      <c r="E166" s="66"/>
      <c r="F166" s="56"/>
      <c r="G166" s="66"/>
      <c r="H166" s="56"/>
      <c r="I166" s="66"/>
      <c r="J166" s="56"/>
      <c r="K166" s="66"/>
      <c r="L166" s="56"/>
      <c r="M166" s="66"/>
      <c r="N166" s="65"/>
      <c r="O166" s="66"/>
      <c r="P166" s="56"/>
      <c r="Q166" s="66"/>
      <c r="R166" s="56"/>
      <c r="S166" s="66"/>
      <c r="T166" s="56"/>
      <c r="U166" s="66"/>
      <c r="V166" s="56"/>
      <c r="W166" s="66"/>
      <c r="X166" s="134"/>
      <c r="Y166" s="86" t="s">
        <v>22</v>
      </c>
      <c r="Z166" s="79"/>
      <c r="AA166" s="80"/>
      <c r="AB166" s="80"/>
      <c r="AC166" s="81"/>
      <c r="AD166" s="81"/>
      <c r="AE166" s="81"/>
      <c r="AF166" s="81"/>
    </row>
    <row r="167" ht="15.75" customHeight="1">
      <c r="A167" s="53"/>
      <c r="B167" s="128" t="s">
        <v>156</v>
      </c>
      <c r="C167" s="55"/>
      <c r="D167" s="56"/>
      <c r="E167" s="66"/>
      <c r="F167" s="65"/>
      <c r="G167" s="66"/>
      <c r="H167" s="65"/>
      <c r="I167" s="66"/>
      <c r="J167" s="65"/>
      <c r="K167" s="66"/>
      <c r="L167" s="65"/>
      <c r="M167" s="66"/>
      <c r="N167" s="56"/>
      <c r="O167" s="66"/>
      <c r="P167" s="65"/>
      <c r="Q167" s="66"/>
      <c r="R167" s="65"/>
      <c r="S167" s="66"/>
      <c r="T167" s="65"/>
      <c r="U167" s="66"/>
      <c r="V167" s="65"/>
      <c r="W167" s="66"/>
      <c r="X167" s="134"/>
      <c r="Y167" s="86" t="s">
        <v>22</v>
      </c>
      <c r="Z167" s="79"/>
      <c r="AA167" s="80"/>
      <c r="AB167" s="80"/>
      <c r="AC167" s="81"/>
      <c r="AD167" s="81"/>
      <c r="AE167" s="81"/>
      <c r="AF167" s="81"/>
    </row>
    <row r="168" ht="18.0" customHeight="1">
      <c r="A168" s="53"/>
      <c r="B168" s="128" t="s">
        <v>157</v>
      </c>
      <c r="C168" s="55"/>
      <c r="D168" s="56"/>
      <c r="E168" s="66"/>
      <c r="F168" s="65"/>
      <c r="G168" s="66"/>
      <c r="H168" s="65"/>
      <c r="I168" s="66"/>
      <c r="J168" s="65"/>
      <c r="K168" s="66"/>
      <c r="L168" s="65"/>
      <c r="M168" s="66"/>
      <c r="N168" s="56"/>
      <c r="O168" s="66"/>
      <c r="P168" s="65"/>
      <c r="Q168" s="66"/>
      <c r="R168" s="65"/>
      <c r="S168" s="66"/>
      <c r="T168" s="65"/>
      <c r="U168" s="66"/>
      <c r="V168" s="65"/>
      <c r="W168" s="66"/>
      <c r="X168" s="134"/>
      <c r="Y168" s="86" t="s">
        <v>22</v>
      </c>
      <c r="Z168" s="79"/>
      <c r="AA168" s="80"/>
      <c r="AB168" s="80"/>
      <c r="AC168" s="81"/>
      <c r="AD168" s="81"/>
      <c r="AE168" s="81"/>
      <c r="AF168" s="81"/>
    </row>
    <row r="169" ht="22.5" customHeight="1">
      <c r="A169" s="108" t="s">
        <v>158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4"/>
      <c r="Z169" s="79"/>
      <c r="AA169" s="80"/>
      <c r="AB169" s="80"/>
      <c r="AC169" s="81"/>
      <c r="AD169" s="81"/>
      <c r="AE169" s="81"/>
      <c r="AF169" s="81"/>
    </row>
    <row r="170" ht="13.5" customHeight="1">
      <c r="A170" s="42" t="s">
        <v>20</v>
      </c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4"/>
      <c r="Z170" s="79"/>
      <c r="AA170" s="80"/>
      <c r="AB170" s="80"/>
      <c r="AC170" s="81"/>
      <c r="AD170" s="81"/>
      <c r="AE170" s="81"/>
      <c r="AF170" s="81"/>
    </row>
    <row r="171" ht="15.75" customHeight="1">
      <c r="A171" s="45">
        <v>1.0</v>
      </c>
      <c r="B171" s="46" t="s">
        <v>159</v>
      </c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8"/>
      <c r="Z171" s="79"/>
      <c r="AA171" s="80"/>
      <c r="AB171" s="80"/>
      <c r="AC171" s="81"/>
      <c r="AD171" s="81"/>
      <c r="AE171" s="81"/>
      <c r="AF171" s="81"/>
    </row>
    <row r="172" ht="16.5" customHeight="1">
      <c r="A172" s="49"/>
      <c r="B172" s="50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2"/>
      <c r="Z172" s="79"/>
      <c r="AA172" s="80"/>
      <c r="AB172" s="80"/>
      <c r="AC172" s="81"/>
      <c r="AD172" s="81"/>
      <c r="AE172" s="81"/>
      <c r="AF172" s="81"/>
    </row>
    <row r="173" ht="17.25" customHeight="1">
      <c r="A173" s="88"/>
      <c r="B173" s="135" t="s">
        <v>160</v>
      </c>
      <c r="C173" s="136"/>
      <c r="D173" s="56"/>
      <c r="E173" s="57"/>
      <c r="F173" s="56"/>
      <c r="G173" s="57"/>
      <c r="H173" s="56"/>
      <c r="I173" s="58"/>
      <c r="J173" s="56"/>
      <c r="K173" s="57"/>
      <c r="L173" s="86" t="s">
        <v>22</v>
      </c>
      <c r="M173" s="57"/>
      <c r="N173" s="87"/>
      <c r="O173" s="57"/>
      <c r="P173" s="87"/>
      <c r="Q173" s="57"/>
      <c r="R173" s="87"/>
      <c r="S173" s="57"/>
      <c r="T173" s="87"/>
      <c r="U173" s="57"/>
      <c r="V173" s="56"/>
      <c r="W173" s="57"/>
      <c r="X173" s="62"/>
      <c r="Y173" s="63"/>
      <c r="Z173" s="79"/>
      <c r="AA173" s="80"/>
      <c r="AB173" s="80"/>
      <c r="AC173" s="81"/>
      <c r="AD173" s="81"/>
      <c r="AE173" s="81"/>
      <c r="AF173" s="81"/>
    </row>
    <row r="174" ht="13.5" customHeight="1">
      <c r="A174" s="45">
        <v>2.0</v>
      </c>
      <c r="B174" s="46" t="s">
        <v>161</v>
      </c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8"/>
      <c r="Z174" s="79"/>
      <c r="AA174" s="80"/>
      <c r="AB174" s="80"/>
      <c r="AC174" s="81"/>
      <c r="AD174" s="81"/>
      <c r="AE174" s="81"/>
      <c r="AF174" s="81"/>
    </row>
    <row r="175" ht="15.0" customHeight="1">
      <c r="A175" s="49"/>
      <c r="B175" s="50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2"/>
      <c r="Z175" s="79"/>
      <c r="AA175" s="80"/>
      <c r="AB175" s="80"/>
      <c r="AC175" s="81"/>
      <c r="AD175" s="81"/>
      <c r="AE175" s="81"/>
      <c r="AF175" s="81"/>
    </row>
    <row r="176" ht="15.0" customHeight="1">
      <c r="A176" s="88"/>
      <c r="B176" s="127" t="s">
        <v>162</v>
      </c>
      <c r="C176" s="55"/>
      <c r="D176" s="56"/>
      <c r="E176" s="57"/>
      <c r="F176" s="56"/>
      <c r="G176" s="57"/>
      <c r="H176" s="56"/>
      <c r="I176" s="58"/>
      <c r="J176" s="56"/>
      <c r="K176" s="57"/>
      <c r="L176" s="86" t="s">
        <v>22</v>
      </c>
      <c r="M176" s="57"/>
      <c r="N176" s="87"/>
      <c r="O176" s="57"/>
      <c r="P176" s="87"/>
      <c r="Q176" s="57"/>
      <c r="R176" s="87"/>
      <c r="S176" s="57"/>
      <c r="T176" s="87"/>
      <c r="U176" s="57"/>
      <c r="V176" s="56"/>
      <c r="W176" s="57"/>
      <c r="X176" s="62"/>
      <c r="Y176" s="63"/>
      <c r="Z176" s="79"/>
      <c r="AA176" s="80"/>
      <c r="AB176" s="80"/>
      <c r="AC176" s="81"/>
      <c r="AD176" s="81"/>
      <c r="AE176" s="81"/>
      <c r="AF176" s="81"/>
    </row>
    <row r="177" ht="15.0" customHeight="1">
      <c r="A177" s="88"/>
      <c r="B177" s="128" t="s">
        <v>163</v>
      </c>
      <c r="C177" s="55"/>
      <c r="D177" s="56"/>
      <c r="E177" s="57"/>
      <c r="F177" s="56"/>
      <c r="G177" s="57"/>
      <c r="H177" s="87"/>
      <c r="I177" s="58"/>
      <c r="J177" s="87"/>
      <c r="K177" s="57"/>
      <c r="L177" s="86" t="s">
        <v>22</v>
      </c>
      <c r="M177" s="57"/>
      <c r="N177" s="87"/>
      <c r="O177" s="57"/>
      <c r="P177" s="87"/>
      <c r="Q177" s="57"/>
      <c r="R177" s="87"/>
      <c r="S177" s="57"/>
      <c r="T177" s="87"/>
      <c r="U177" s="57"/>
      <c r="V177" s="56"/>
      <c r="W177" s="57"/>
      <c r="X177" s="62"/>
      <c r="Y177" s="63"/>
      <c r="Z177" s="79"/>
      <c r="AA177" s="80"/>
      <c r="AB177" s="80"/>
      <c r="AC177" s="81"/>
      <c r="AD177" s="81"/>
      <c r="AE177" s="81"/>
      <c r="AF177" s="81"/>
    </row>
    <row r="178" ht="15.0" customHeight="1">
      <c r="A178" s="88"/>
      <c r="B178" s="128" t="s">
        <v>164</v>
      </c>
      <c r="C178" s="55"/>
      <c r="D178" s="56"/>
      <c r="E178" s="57"/>
      <c r="F178" s="56"/>
      <c r="G178" s="57"/>
      <c r="H178" s="87"/>
      <c r="I178" s="58"/>
      <c r="J178" s="87"/>
      <c r="K178" s="57"/>
      <c r="L178" s="86" t="s">
        <v>22</v>
      </c>
      <c r="M178" s="57"/>
      <c r="N178" s="87"/>
      <c r="O178" s="57"/>
      <c r="P178" s="87"/>
      <c r="Q178" s="57"/>
      <c r="R178" s="87"/>
      <c r="S178" s="57"/>
      <c r="T178" s="87"/>
      <c r="U178" s="57"/>
      <c r="V178" s="56"/>
      <c r="W178" s="57"/>
      <c r="X178" s="62"/>
      <c r="Y178" s="63"/>
      <c r="Z178" s="79"/>
      <c r="AA178" s="80"/>
      <c r="AB178" s="80"/>
      <c r="AC178" s="81"/>
      <c r="AD178" s="81"/>
      <c r="AE178" s="81"/>
      <c r="AF178" s="81"/>
    </row>
    <row r="179" ht="15.0" customHeight="1">
      <c r="A179" s="88"/>
      <c r="B179" s="128" t="s">
        <v>165</v>
      </c>
      <c r="C179" s="55"/>
      <c r="D179" s="56"/>
      <c r="E179" s="57"/>
      <c r="F179" s="56"/>
      <c r="G179" s="57"/>
      <c r="H179" s="87"/>
      <c r="I179" s="58"/>
      <c r="J179" s="87"/>
      <c r="K179" s="57"/>
      <c r="L179" s="86" t="s">
        <v>22</v>
      </c>
      <c r="M179" s="57"/>
      <c r="N179" s="87"/>
      <c r="O179" s="57"/>
      <c r="P179" s="87"/>
      <c r="Q179" s="57"/>
      <c r="R179" s="87"/>
      <c r="S179" s="57"/>
      <c r="T179" s="87"/>
      <c r="U179" s="57"/>
      <c r="V179" s="56"/>
      <c r="W179" s="57"/>
      <c r="X179" s="62"/>
      <c r="Y179" s="63"/>
      <c r="Z179" s="79"/>
      <c r="AA179" s="80"/>
      <c r="AB179" s="80"/>
      <c r="AC179" s="81"/>
      <c r="AD179" s="81"/>
      <c r="AE179" s="81"/>
      <c r="AF179" s="81"/>
    </row>
    <row r="180" ht="15.0" customHeight="1">
      <c r="A180" s="88"/>
      <c r="B180" s="127" t="s">
        <v>166</v>
      </c>
      <c r="C180" s="55"/>
      <c r="D180" s="107"/>
      <c r="E180" s="57"/>
      <c r="F180" s="107"/>
      <c r="G180" s="57"/>
      <c r="H180" s="107"/>
      <c r="I180" s="58"/>
      <c r="J180" s="107"/>
      <c r="K180" s="57"/>
      <c r="L180" s="86" t="s">
        <v>22</v>
      </c>
      <c r="M180" s="57"/>
      <c r="N180" s="87"/>
      <c r="O180" s="57"/>
      <c r="P180" s="87"/>
      <c r="Q180" s="57"/>
      <c r="R180" s="87"/>
      <c r="S180" s="57"/>
      <c r="T180" s="87"/>
      <c r="U180" s="57"/>
      <c r="V180" s="56"/>
      <c r="W180" s="57"/>
      <c r="X180" s="62"/>
      <c r="Y180" s="63"/>
      <c r="Z180" s="79"/>
      <c r="AA180" s="80"/>
      <c r="AB180" s="80"/>
      <c r="AC180" s="81"/>
      <c r="AD180" s="81"/>
      <c r="AE180" s="81"/>
      <c r="AF180" s="81"/>
    </row>
    <row r="181" ht="15.0" customHeight="1">
      <c r="A181" s="88"/>
      <c r="B181" s="128" t="s">
        <v>166</v>
      </c>
      <c r="C181" s="55"/>
      <c r="D181" s="107"/>
      <c r="E181" s="57"/>
      <c r="F181" s="107"/>
      <c r="G181" s="57"/>
      <c r="H181" s="107"/>
      <c r="I181" s="58"/>
      <c r="J181" s="107"/>
      <c r="K181" s="57"/>
      <c r="L181" s="86" t="s">
        <v>22</v>
      </c>
      <c r="M181" s="57"/>
      <c r="N181" s="87"/>
      <c r="O181" s="57"/>
      <c r="P181" s="87"/>
      <c r="Q181" s="57"/>
      <c r="R181" s="87"/>
      <c r="S181" s="57"/>
      <c r="T181" s="87"/>
      <c r="U181" s="57"/>
      <c r="V181" s="56"/>
      <c r="W181" s="57"/>
      <c r="X181" s="62"/>
      <c r="Y181" s="63"/>
      <c r="Z181" s="79"/>
      <c r="AA181" s="80"/>
      <c r="AB181" s="80"/>
      <c r="AC181" s="81"/>
      <c r="AD181" s="81"/>
      <c r="AE181" s="81"/>
      <c r="AF181" s="81"/>
    </row>
    <row r="182" ht="15.0" customHeight="1">
      <c r="A182" s="88"/>
      <c r="B182" s="128" t="s">
        <v>167</v>
      </c>
      <c r="C182" s="55"/>
      <c r="D182" s="107"/>
      <c r="E182" s="57"/>
      <c r="F182" s="107"/>
      <c r="G182" s="57"/>
      <c r="H182" s="107"/>
      <c r="I182" s="58"/>
      <c r="J182" s="107"/>
      <c r="K182" s="57"/>
      <c r="L182" s="86" t="s">
        <v>22</v>
      </c>
      <c r="M182" s="57"/>
      <c r="N182" s="87"/>
      <c r="O182" s="57"/>
      <c r="P182" s="87"/>
      <c r="Q182" s="57"/>
      <c r="R182" s="87"/>
      <c r="S182" s="57"/>
      <c r="T182" s="87"/>
      <c r="U182" s="57"/>
      <c r="V182" s="56"/>
      <c r="W182" s="57"/>
      <c r="X182" s="62"/>
      <c r="Y182" s="63"/>
      <c r="Z182" s="79"/>
      <c r="AA182" s="80"/>
      <c r="AB182" s="80"/>
      <c r="AC182" s="81"/>
      <c r="AD182" s="81"/>
      <c r="AE182" s="81"/>
      <c r="AF182" s="81"/>
    </row>
    <row r="183" ht="15.0" customHeight="1">
      <c r="A183" s="88"/>
      <c r="B183" s="128" t="s">
        <v>168</v>
      </c>
      <c r="C183" s="55"/>
      <c r="D183" s="107"/>
      <c r="E183" s="57"/>
      <c r="F183" s="107"/>
      <c r="G183" s="57"/>
      <c r="H183" s="107"/>
      <c r="I183" s="58"/>
      <c r="J183" s="107"/>
      <c r="K183" s="57"/>
      <c r="L183" s="86" t="s">
        <v>22</v>
      </c>
      <c r="M183" s="57"/>
      <c r="N183" s="87"/>
      <c r="O183" s="57"/>
      <c r="P183" s="87"/>
      <c r="Q183" s="57"/>
      <c r="R183" s="87"/>
      <c r="S183" s="57"/>
      <c r="T183" s="87"/>
      <c r="U183" s="57"/>
      <c r="V183" s="56"/>
      <c r="W183" s="57"/>
      <c r="X183" s="62"/>
      <c r="Y183" s="63"/>
      <c r="Z183" s="79"/>
      <c r="AA183" s="80"/>
      <c r="AB183" s="80"/>
      <c r="AC183" s="81"/>
      <c r="AD183" s="81"/>
      <c r="AE183" s="81"/>
      <c r="AF183" s="81"/>
    </row>
    <row r="184" ht="15.0" customHeight="1">
      <c r="A184" s="88"/>
      <c r="B184" s="128" t="s">
        <v>169</v>
      </c>
      <c r="C184" s="55"/>
      <c r="D184" s="56"/>
      <c r="E184" s="57"/>
      <c r="F184" s="56"/>
      <c r="G184" s="57"/>
      <c r="H184" s="87"/>
      <c r="I184" s="58"/>
      <c r="J184" s="87"/>
      <c r="K184" s="57"/>
      <c r="L184" s="86" t="s">
        <v>22</v>
      </c>
      <c r="M184" s="57"/>
      <c r="N184" s="87"/>
      <c r="O184" s="57"/>
      <c r="P184" s="87"/>
      <c r="Q184" s="57"/>
      <c r="R184" s="87"/>
      <c r="S184" s="57"/>
      <c r="T184" s="87"/>
      <c r="U184" s="57"/>
      <c r="V184" s="56"/>
      <c r="W184" s="57"/>
      <c r="X184" s="62"/>
      <c r="Y184" s="63"/>
      <c r="Z184" s="79"/>
      <c r="AA184" s="80"/>
      <c r="AB184" s="80"/>
      <c r="AC184" s="81"/>
      <c r="AD184" s="81"/>
      <c r="AE184" s="81"/>
      <c r="AF184" s="81"/>
    </row>
    <row r="185" ht="15.0" customHeight="1">
      <c r="A185" s="88"/>
      <c r="B185" s="128" t="s">
        <v>170</v>
      </c>
      <c r="C185" s="55"/>
      <c r="D185" s="56"/>
      <c r="E185" s="57"/>
      <c r="F185" s="56"/>
      <c r="G185" s="57"/>
      <c r="H185" s="87"/>
      <c r="I185" s="58"/>
      <c r="J185" s="87"/>
      <c r="K185" s="57"/>
      <c r="L185" s="86" t="s">
        <v>22</v>
      </c>
      <c r="M185" s="57"/>
      <c r="N185" s="87"/>
      <c r="O185" s="57"/>
      <c r="P185" s="87"/>
      <c r="Q185" s="57"/>
      <c r="R185" s="87"/>
      <c r="S185" s="57"/>
      <c r="T185" s="87"/>
      <c r="U185" s="57"/>
      <c r="V185" s="56"/>
      <c r="W185" s="137"/>
      <c r="X185" s="138"/>
      <c r="Y185" s="139"/>
      <c r="Z185" s="79"/>
      <c r="AA185" s="80"/>
      <c r="AB185" s="80"/>
      <c r="AC185" s="81"/>
      <c r="AD185" s="81"/>
      <c r="AE185" s="81"/>
      <c r="AF185" s="81"/>
    </row>
    <row r="186" ht="15.0" customHeight="1">
      <c r="A186" s="53"/>
      <c r="B186" s="128" t="s">
        <v>171</v>
      </c>
      <c r="C186" s="55"/>
      <c r="D186" s="65"/>
      <c r="E186" s="66"/>
      <c r="F186" s="65"/>
      <c r="G186" s="66"/>
      <c r="H186" s="65"/>
      <c r="I186" s="66"/>
      <c r="J186" s="65"/>
      <c r="K186" s="66"/>
      <c r="L186" s="86" t="s">
        <v>22</v>
      </c>
      <c r="M186" s="72"/>
      <c r="N186" s="71"/>
      <c r="O186" s="72"/>
      <c r="P186" s="71"/>
      <c r="Q186" s="72"/>
      <c r="R186" s="71"/>
      <c r="S186" s="72"/>
      <c r="T186" s="71"/>
      <c r="U186" s="72"/>
      <c r="V186" s="71"/>
      <c r="W186" s="140"/>
      <c r="X186" s="138"/>
      <c r="Y186" s="141"/>
      <c r="Z186" s="79"/>
      <c r="AA186" s="80"/>
      <c r="AB186" s="80"/>
      <c r="AC186" s="81"/>
      <c r="AD186" s="81"/>
      <c r="AE186" s="81"/>
      <c r="AF186" s="81"/>
    </row>
    <row r="187" ht="13.5" customHeight="1">
      <c r="A187" s="53"/>
      <c r="B187" s="128" t="s">
        <v>172</v>
      </c>
      <c r="C187" s="55"/>
      <c r="D187" s="69"/>
      <c r="E187" s="66"/>
      <c r="F187" s="69"/>
      <c r="G187" s="66"/>
      <c r="H187" s="69"/>
      <c r="I187" s="66"/>
      <c r="J187" s="69"/>
      <c r="K187" s="66"/>
      <c r="L187" s="86" t="s">
        <v>22</v>
      </c>
      <c r="M187" s="72"/>
      <c r="N187" s="71"/>
      <c r="O187" s="72"/>
      <c r="P187" s="71"/>
      <c r="Q187" s="72"/>
      <c r="R187" s="71"/>
      <c r="S187" s="72"/>
      <c r="T187" s="71"/>
      <c r="U187" s="72"/>
      <c r="V187" s="71"/>
      <c r="W187" s="140"/>
      <c r="X187" s="138"/>
      <c r="Y187" s="139"/>
      <c r="Z187" s="79"/>
      <c r="AA187" s="80"/>
      <c r="AB187" s="80"/>
      <c r="AC187" s="81"/>
      <c r="AD187" s="81"/>
      <c r="AE187" s="81"/>
      <c r="AF187" s="81"/>
    </row>
    <row r="188" ht="13.5" customHeight="1">
      <c r="A188" s="45">
        <v>3.0</v>
      </c>
      <c r="B188" s="142" t="s">
        <v>173</v>
      </c>
      <c r="C188" s="143"/>
      <c r="D188" s="143"/>
      <c r="E188" s="143"/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4"/>
      <c r="Z188" s="79"/>
      <c r="AA188" s="80"/>
      <c r="AB188" s="80"/>
      <c r="AC188" s="81"/>
      <c r="AD188" s="81"/>
      <c r="AE188" s="81"/>
      <c r="AF188" s="81"/>
    </row>
    <row r="189" ht="15.75" customHeight="1">
      <c r="A189" s="49"/>
      <c r="B189" s="50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2"/>
      <c r="Z189" s="79"/>
      <c r="AA189" s="80"/>
      <c r="AB189" s="80"/>
      <c r="AC189" s="81"/>
      <c r="AD189" s="81"/>
      <c r="AE189" s="81"/>
      <c r="AF189" s="81"/>
    </row>
    <row r="190" ht="15.75" customHeight="1">
      <c r="A190" s="88"/>
      <c r="B190" s="127" t="s">
        <v>174</v>
      </c>
      <c r="C190" s="55"/>
      <c r="D190" s="56"/>
      <c r="E190" s="57"/>
      <c r="F190" s="56"/>
      <c r="G190" s="57"/>
      <c r="H190" s="56"/>
      <c r="I190" s="58"/>
      <c r="J190" s="56"/>
      <c r="K190" s="57"/>
      <c r="L190" s="86" t="s">
        <v>22</v>
      </c>
      <c r="M190" s="57"/>
      <c r="N190" s="87"/>
      <c r="O190" s="57"/>
      <c r="P190" s="87"/>
      <c r="Q190" s="57"/>
      <c r="R190" s="87"/>
      <c r="S190" s="57"/>
      <c r="T190" s="87"/>
      <c r="U190" s="57"/>
      <c r="V190" s="56"/>
      <c r="W190" s="57"/>
      <c r="X190" s="62"/>
      <c r="Y190" s="63"/>
      <c r="Z190" s="79"/>
      <c r="AA190" s="80"/>
      <c r="AB190" s="80"/>
      <c r="AC190" s="81"/>
      <c r="AD190" s="81"/>
      <c r="AE190" s="81"/>
      <c r="AF190" s="81"/>
    </row>
    <row r="191" ht="15.0" customHeight="1">
      <c r="A191" s="88"/>
      <c r="B191" s="128" t="s">
        <v>175</v>
      </c>
      <c r="C191" s="55"/>
      <c r="D191" s="56"/>
      <c r="E191" s="57"/>
      <c r="F191" s="56"/>
      <c r="G191" s="57"/>
      <c r="H191" s="87"/>
      <c r="I191" s="58"/>
      <c r="J191" s="87"/>
      <c r="K191" s="57"/>
      <c r="L191" s="86" t="s">
        <v>22</v>
      </c>
      <c r="M191" s="57"/>
      <c r="N191" s="87"/>
      <c r="O191" s="57"/>
      <c r="P191" s="87"/>
      <c r="Q191" s="57"/>
      <c r="R191" s="87"/>
      <c r="S191" s="57"/>
      <c r="T191" s="87"/>
      <c r="U191" s="57"/>
      <c r="V191" s="56"/>
      <c r="W191" s="57"/>
      <c r="X191" s="62"/>
      <c r="Y191" s="63"/>
      <c r="Z191" s="79"/>
      <c r="AA191" s="80"/>
      <c r="AB191" s="80"/>
      <c r="AC191" s="81"/>
      <c r="AD191" s="81"/>
      <c r="AE191" s="81"/>
      <c r="AF191" s="81"/>
    </row>
    <row r="192" ht="13.5" customHeight="1">
      <c r="A192" s="45">
        <v>4.0</v>
      </c>
      <c r="B192" s="145" t="s">
        <v>176</v>
      </c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8"/>
      <c r="Z192" s="79"/>
      <c r="AA192" s="80"/>
      <c r="AB192" s="80"/>
      <c r="AC192" s="81"/>
      <c r="AD192" s="81"/>
      <c r="AE192" s="81"/>
      <c r="AF192" s="81"/>
    </row>
    <row r="193" ht="15.75" customHeight="1">
      <c r="A193" s="49"/>
      <c r="B193" s="50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2"/>
      <c r="Z193" s="79"/>
      <c r="AA193" s="80"/>
      <c r="AB193" s="80"/>
      <c r="AC193" s="81"/>
      <c r="AD193" s="81"/>
      <c r="AE193" s="81"/>
      <c r="AF193" s="81"/>
    </row>
    <row r="194" ht="15.75" customHeight="1">
      <c r="A194" s="88"/>
      <c r="B194" s="127" t="s">
        <v>177</v>
      </c>
      <c r="C194" s="55"/>
      <c r="D194" s="56"/>
      <c r="E194" s="57"/>
      <c r="F194" s="56"/>
      <c r="G194" s="57"/>
      <c r="H194" s="56"/>
      <c r="I194" s="58"/>
      <c r="J194" s="56"/>
      <c r="K194" s="57"/>
      <c r="L194" s="86" t="s">
        <v>22</v>
      </c>
      <c r="M194" s="57"/>
      <c r="N194" s="87"/>
      <c r="O194" s="57"/>
      <c r="P194" s="87"/>
      <c r="Q194" s="57"/>
      <c r="R194" s="87"/>
      <c r="S194" s="57"/>
      <c r="T194" s="87"/>
      <c r="U194" s="57"/>
      <c r="V194" s="56"/>
      <c r="W194" s="57"/>
      <c r="X194" s="62"/>
      <c r="Y194" s="63"/>
      <c r="Z194" s="79"/>
      <c r="AA194" s="80"/>
      <c r="AB194" s="80"/>
      <c r="AC194" s="81"/>
      <c r="AD194" s="81"/>
      <c r="AE194" s="81"/>
      <c r="AF194" s="81"/>
    </row>
    <row r="195" ht="15.75" customHeight="1">
      <c r="A195" s="88"/>
      <c r="B195" s="128" t="s">
        <v>178</v>
      </c>
      <c r="C195" s="55"/>
      <c r="D195" s="56"/>
      <c r="E195" s="57"/>
      <c r="F195" s="56"/>
      <c r="G195" s="57"/>
      <c r="H195" s="87"/>
      <c r="I195" s="58"/>
      <c r="J195" s="87"/>
      <c r="K195" s="57"/>
      <c r="L195" s="86" t="s">
        <v>22</v>
      </c>
      <c r="M195" s="57"/>
      <c r="N195" s="87"/>
      <c r="O195" s="57"/>
      <c r="P195" s="87"/>
      <c r="Q195" s="57"/>
      <c r="R195" s="87"/>
      <c r="S195" s="57"/>
      <c r="T195" s="87"/>
      <c r="U195" s="57"/>
      <c r="V195" s="56"/>
      <c r="W195" s="57"/>
      <c r="X195" s="62"/>
      <c r="Y195" s="63"/>
      <c r="Z195" s="79"/>
      <c r="AA195" s="80"/>
      <c r="AB195" s="80"/>
      <c r="AC195" s="81"/>
      <c r="AD195" s="81"/>
      <c r="AE195" s="81"/>
      <c r="AF195" s="81"/>
    </row>
    <row r="196" ht="15.75" customHeight="1">
      <c r="A196" s="88"/>
      <c r="B196" s="128" t="s">
        <v>179</v>
      </c>
      <c r="C196" s="55"/>
      <c r="D196" s="56"/>
      <c r="E196" s="57"/>
      <c r="F196" s="56"/>
      <c r="G196" s="57"/>
      <c r="H196" s="87"/>
      <c r="I196" s="58"/>
      <c r="J196" s="87"/>
      <c r="K196" s="57"/>
      <c r="L196" s="86" t="s">
        <v>22</v>
      </c>
      <c r="M196" s="57"/>
      <c r="N196" s="87"/>
      <c r="O196" s="57"/>
      <c r="P196" s="87"/>
      <c r="Q196" s="57"/>
      <c r="R196" s="87"/>
      <c r="S196" s="57"/>
      <c r="T196" s="87"/>
      <c r="U196" s="57"/>
      <c r="V196" s="56"/>
      <c r="W196" s="57"/>
      <c r="X196" s="62"/>
      <c r="Y196" s="63"/>
      <c r="Z196" s="79"/>
      <c r="AA196" s="80"/>
      <c r="AB196" s="80"/>
      <c r="AC196" s="81"/>
      <c r="AD196" s="81"/>
      <c r="AE196" s="81"/>
      <c r="AF196" s="81"/>
    </row>
    <row r="197" ht="15.75" customHeight="1">
      <c r="A197" s="88"/>
      <c r="B197" s="128" t="s">
        <v>180</v>
      </c>
      <c r="C197" s="55"/>
      <c r="D197" s="56"/>
      <c r="E197" s="57"/>
      <c r="F197" s="56"/>
      <c r="G197" s="57"/>
      <c r="H197" s="87"/>
      <c r="I197" s="58"/>
      <c r="J197" s="87"/>
      <c r="K197" s="57"/>
      <c r="L197" s="86" t="s">
        <v>22</v>
      </c>
      <c r="M197" s="57"/>
      <c r="N197" s="87"/>
      <c r="O197" s="57"/>
      <c r="P197" s="87"/>
      <c r="Q197" s="57"/>
      <c r="R197" s="87"/>
      <c r="S197" s="57"/>
      <c r="T197" s="87"/>
      <c r="U197" s="57"/>
      <c r="V197" s="56"/>
      <c r="W197" s="57"/>
      <c r="X197" s="62"/>
      <c r="Y197" s="63"/>
      <c r="Z197" s="79"/>
      <c r="AA197" s="80"/>
      <c r="AB197" s="80"/>
      <c r="AC197" s="81"/>
      <c r="AD197" s="81"/>
      <c r="AE197" s="81"/>
      <c r="AF197" s="81"/>
    </row>
    <row r="198" ht="15.75" customHeight="1">
      <c r="A198" s="88"/>
      <c r="B198" s="128" t="s">
        <v>181</v>
      </c>
      <c r="C198" s="55"/>
      <c r="D198" s="56"/>
      <c r="E198" s="57"/>
      <c r="F198" s="56"/>
      <c r="G198" s="57"/>
      <c r="H198" s="87"/>
      <c r="I198" s="58"/>
      <c r="J198" s="87"/>
      <c r="K198" s="57"/>
      <c r="L198" s="86" t="s">
        <v>22</v>
      </c>
      <c r="M198" s="57"/>
      <c r="N198" s="87"/>
      <c r="O198" s="57"/>
      <c r="P198" s="87"/>
      <c r="Q198" s="57"/>
      <c r="R198" s="87"/>
      <c r="S198" s="57"/>
      <c r="T198" s="87"/>
      <c r="U198" s="57"/>
      <c r="V198" s="56"/>
      <c r="W198" s="57"/>
      <c r="X198" s="62"/>
      <c r="Y198" s="63"/>
      <c r="Z198" s="79"/>
      <c r="AA198" s="80"/>
      <c r="AB198" s="80"/>
      <c r="AC198" s="81"/>
      <c r="AD198" s="81"/>
      <c r="AE198" s="81"/>
      <c r="AF198" s="81"/>
    </row>
    <row r="199" ht="15.75" customHeight="1">
      <c r="A199" s="88"/>
      <c r="B199" s="128" t="s">
        <v>182</v>
      </c>
      <c r="C199" s="55"/>
      <c r="D199" s="56"/>
      <c r="E199" s="57"/>
      <c r="F199" s="56"/>
      <c r="G199" s="57"/>
      <c r="H199" s="87"/>
      <c r="I199" s="58"/>
      <c r="J199" s="87"/>
      <c r="K199" s="57"/>
      <c r="L199" s="86" t="s">
        <v>22</v>
      </c>
      <c r="M199" s="57"/>
      <c r="N199" s="87"/>
      <c r="O199" s="57"/>
      <c r="P199" s="87"/>
      <c r="Q199" s="57"/>
      <c r="R199" s="87"/>
      <c r="S199" s="57"/>
      <c r="T199" s="87"/>
      <c r="U199" s="57"/>
      <c r="V199" s="56"/>
      <c r="W199" s="57"/>
      <c r="X199" s="62"/>
      <c r="Y199" s="63"/>
      <c r="Z199" s="79"/>
      <c r="AA199" s="80"/>
      <c r="AB199" s="80"/>
      <c r="AC199" s="81"/>
      <c r="AD199" s="81"/>
      <c r="AE199" s="81"/>
      <c r="AF199" s="81"/>
    </row>
    <row r="200" ht="15.75" customHeight="1">
      <c r="A200" s="88"/>
      <c r="B200" s="127" t="s">
        <v>183</v>
      </c>
      <c r="C200" s="55"/>
      <c r="D200" s="56"/>
      <c r="E200" s="57"/>
      <c r="F200" s="56"/>
      <c r="G200" s="57"/>
      <c r="H200" s="87"/>
      <c r="I200" s="58"/>
      <c r="J200" s="87"/>
      <c r="K200" s="57"/>
      <c r="L200" s="86" t="s">
        <v>22</v>
      </c>
      <c r="M200" s="57"/>
      <c r="N200" s="87"/>
      <c r="O200" s="57"/>
      <c r="P200" s="87"/>
      <c r="Q200" s="57"/>
      <c r="R200" s="87"/>
      <c r="S200" s="57"/>
      <c r="T200" s="87"/>
      <c r="U200" s="57"/>
      <c r="V200" s="56"/>
      <c r="W200" s="57"/>
      <c r="X200" s="62"/>
      <c r="Y200" s="63"/>
      <c r="Z200" s="79"/>
      <c r="AA200" s="80"/>
      <c r="AB200" s="80"/>
      <c r="AC200" s="81"/>
      <c r="AD200" s="81"/>
      <c r="AE200" s="81"/>
      <c r="AF200" s="81"/>
    </row>
    <row r="201" ht="13.5" customHeight="1">
      <c r="A201" s="88"/>
      <c r="B201" s="128" t="s">
        <v>184</v>
      </c>
      <c r="C201" s="55"/>
      <c r="D201" s="56"/>
      <c r="E201" s="57"/>
      <c r="F201" s="56"/>
      <c r="G201" s="57"/>
      <c r="H201" s="87"/>
      <c r="I201" s="58"/>
      <c r="J201" s="87"/>
      <c r="K201" s="57"/>
      <c r="L201" s="86" t="s">
        <v>22</v>
      </c>
      <c r="M201" s="57"/>
      <c r="N201" s="87"/>
      <c r="O201" s="57"/>
      <c r="P201" s="87"/>
      <c r="Q201" s="57"/>
      <c r="R201" s="87"/>
      <c r="S201" s="57"/>
      <c r="T201" s="87"/>
      <c r="U201" s="57"/>
      <c r="V201" s="56"/>
      <c r="W201" s="57"/>
      <c r="X201" s="62"/>
      <c r="Y201" s="63"/>
      <c r="Z201" s="79"/>
      <c r="AA201" s="80"/>
      <c r="AB201" s="80"/>
      <c r="AC201" s="81"/>
      <c r="AD201" s="81"/>
      <c r="AE201" s="81"/>
      <c r="AF201" s="81"/>
    </row>
    <row r="202" ht="13.5" customHeight="1">
      <c r="A202" s="45">
        <v>5.0</v>
      </c>
      <c r="B202" s="46" t="s">
        <v>185</v>
      </c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8"/>
      <c r="Z202" s="79"/>
      <c r="AA202" s="80"/>
      <c r="AB202" s="80"/>
      <c r="AC202" s="81"/>
      <c r="AD202" s="81"/>
      <c r="AE202" s="81"/>
      <c r="AF202" s="81"/>
    </row>
    <row r="203" ht="15.75" customHeight="1">
      <c r="A203" s="49"/>
      <c r="B203" s="50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2"/>
      <c r="Z203" s="79"/>
      <c r="AA203" s="80"/>
      <c r="AB203" s="80"/>
      <c r="AC203" s="81"/>
      <c r="AD203" s="81"/>
      <c r="AE203" s="81"/>
      <c r="AF203" s="81"/>
    </row>
    <row r="204" ht="15.75" customHeight="1">
      <c r="A204" s="88"/>
      <c r="B204" s="127" t="s">
        <v>186</v>
      </c>
      <c r="C204" s="55"/>
      <c r="D204" s="56"/>
      <c r="E204" s="57"/>
      <c r="F204" s="56"/>
      <c r="G204" s="57"/>
      <c r="H204" s="56"/>
      <c r="I204" s="58"/>
      <c r="J204" s="56"/>
      <c r="K204" s="57"/>
      <c r="L204" s="86" t="s">
        <v>22</v>
      </c>
      <c r="M204" s="57"/>
      <c r="N204" s="87"/>
      <c r="O204" s="57"/>
      <c r="P204" s="87"/>
      <c r="Q204" s="57"/>
      <c r="R204" s="87"/>
      <c r="S204" s="57"/>
      <c r="T204" s="87"/>
      <c r="U204" s="57"/>
      <c r="V204" s="56"/>
      <c r="W204" s="57"/>
      <c r="X204" s="62"/>
      <c r="Y204" s="63"/>
      <c r="Z204" s="79"/>
      <c r="AA204" s="80"/>
      <c r="AB204" s="80"/>
      <c r="AC204" s="81"/>
      <c r="AD204" s="81"/>
      <c r="AE204" s="81"/>
      <c r="AF204" s="81"/>
    </row>
    <row r="205" ht="15.75" customHeight="1">
      <c r="A205" s="88"/>
      <c r="B205" s="128" t="s">
        <v>187</v>
      </c>
      <c r="C205" s="55"/>
      <c r="D205" s="56"/>
      <c r="E205" s="57"/>
      <c r="F205" s="56"/>
      <c r="G205" s="57"/>
      <c r="H205" s="56"/>
      <c r="I205" s="58"/>
      <c r="J205" s="56"/>
      <c r="K205" s="57"/>
      <c r="L205" s="86" t="s">
        <v>22</v>
      </c>
      <c r="M205" s="57"/>
      <c r="N205" s="87"/>
      <c r="O205" s="57"/>
      <c r="P205" s="87"/>
      <c r="Q205" s="57"/>
      <c r="R205" s="87"/>
      <c r="S205" s="57"/>
      <c r="T205" s="87"/>
      <c r="U205" s="57"/>
      <c r="V205" s="56"/>
      <c r="W205" s="57"/>
      <c r="X205" s="62"/>
      <c r="Y205" s="63"/>
      <c r="Z205" s="79"/>
      <c r="AA205" s="80"/>
      <c r="AB205" s="80"/>
      <c r="AC205" s="81"/>
      <c r="AD205" s="81"/>
      <c r="AE205" s="81"/>
      <c r="AF205" s="81"/>
    </row>
    <row r="206" ht="15.75" customHeight="1">
      <c r="A206" s="88"/>
      <c r="B206" s="128" t="s">
        <v>188</v>
      </c>
      <c r="C206" s="55"/>
      <c r="D206" s="56"/>
      <c r="E206" s="57"/>
      <c r="F206" s="56"/>
      <c r="G206" s="57"/>
      <c r="H206" s="56"/>
      <c r="I206" s="58"/>
      <c r="J206" s="56"/>
      <c r="K206" s="57"/>
      <c r="L206" s="86" t="s">
        <v>22</v>
      </c>
      <c r="M206" s="57"/>
      <c r="N206" s="87"/>
      <c r="O206" s="57"/>
      <c r="P206" s="87"/>
      <c r="Q206" s="57"/>
      <c r="R206" s="87"/>
      <c r="S206" s="57"/>
      <c r="T206" s="87"/>
      <c r="U206" s="57"/>
      <c r="V206" s="56"/>
      <c r="W206" s="57"/>
      <c r="X206" s="62"/>
      <c r="Y206" s="63"/>
      <c r="Z206" s="79"/>
      <c r="AA206" s="80"/>
      <c r="AB206" s="80"/>
      <c r="AC206" s="81"/>
      <c r="AD206" s="81"/>
      <c r="AE206" s="81"/>
      <c r="AF206" s="81"/>
    </row>
    <row r="207" ht="15.75" customHeight="1">
      <c r="A207" s="88"/>
      <c r="B207" s="128" t="s">
        <v>189</v>
      </c>
      <c r="C207" s="55"/>
      <c r="D207" s="56"/>
      <c r="E207" s="57"/>
      <c r="F207" s="56"/>
      <c r="G207" s="57"/>
      <c r="H207" s="56"/>
      <c r="I207" s="58"/>
      <c r="J207" s="56"/>
      <c r="K207" s="57"/>
      <c r="L207" s="86" t="s">
        <v>22</v>
      </c>
      <c r="M207" s="57"/>
      <c r="N207" s="87"/>
      <c r="O207" s="57"/>
      <c r="P207" s="87"/>
      <c r="Q207" s="57"/>
      <c r="R207" s="87"/>
      <c r="S207" s="57"/>
      <c r="T207" s="87"/>
      <c r="U207" s="57"/>
      <c r="V207" s="56"/>
      <c r="W207" s="57"/>
      <c r="X207" s="62"/>
      <c r="Y207" s="63"/>
      <c r="Z207" s="79"/>
      <c r="AA207" s="80"/>
      <c r="AB207" s="80"/>
      <c r="AC207" s="81"/>
      <c r="AD207" s="81"/>
      <c r="AE207" s="81"/>
      <c r="AF207" s="81"/>
    </row>
    <row r="208" ht="15.75" customHeight="1">
      <c r="A208" s="88"/>
      <c r="B208" s="128" t="s">
        <v>190</v>
      </c>
      <c r="C208" s="55"/>
      <c r="D208" s="56"/>
      <c r="E208" s="57"/>
      <c r="F208" s="56"/>
      <c r="G208" s="57"/>
      <c r="H208" s="56"/>
      <c r="I208" s="58"/>
      <c r="J208" s="56"/>
      <c r="K208" s="57"/>
      <c r="L208" s="86" t="s">
        <v>22</v>
      </c>
      <c r="M208" s="57"/>
      <c r="N208" s="87"/>
      <c r="O208" s="57"/>
      <c r="P208" s="87"/>
      <c r="Q208" s="57"/>
      <c r="R208" s="87"/>
      <c r="S208" s="57"/>
      <c r="T208" s="87"/>
      <c r="U208" s="57"/>
      <c r="V208" s="56"/>
      <c r="W208" s="57"/>
      <c r="X208" s="62"/>
      <c r="Y208" s="63"/>
      <c r="Z208" s="79"/>
      <c r="AA208" s="80"/>
      <c r="AB208" s="80"/>
      <c r="AC208" s="81"/>
      <c r="AD208" s="81"/>
      <c r="AE208" s="81"/>
      <c r="AF208" s="81"/>
    </row>
    <row r="209" ht="15.75" customHeight="1">
      <c r="A209" s="88"/>
      <c r="B209" s="128" t="s">
        <v>191</v>
      </c>
      <c r="C209" s="55"/>
      <c r="D209" s="56"/>
      <c r="E209" s="57"/>
      <c r="F209" s="56"/>
      <c r="G209" s="57"/>
      <c r="H209" s="56"/>
      <c r="I209" s="58"/>
      <c r="J209" s="56"/>
      <c r="K209" s="57"/>
      <c r="L209" s="86" t="s">
        <v>22</v>
      </c>
      <c r="M209" s="57"/>
      <c r="N209" s="87"/>
      <c r="O209" s="57"/>
      <c r="P209" s="87"/>
      <c r="Q209" s="57"/>
      <c r="R209" s="87"/>
      <c r="S209" s="57"/>
      <c r="T209" s="87"/>
      <c r="U209" s="57"/>
      <c r="V209" s="56"/>
      <c r="W209" s="57"/>
      <c r="X209" s="62"/>
      <c r="Y209" s="63"/>
      <c r="Z209" s="79"/>
      <c r="AA209" s="80"/>
      <c r="AB209" s="80"/>
      <c r="AC209" s="81"/>
      <c r="AD209" s="81"/>
      <c r="AE209" s="81"/>
      <c r="AF209" s="81"/>
    </row>
    <row r="210" ht="15.75" customHeight="1">
      <c r="A210" s="88"/>
      <c r="B210" s="128" t="s">
        <v>192</v>
      </c>
      <c r="C210" s="55"/>
      <c r="D210" s="56"/>
      <c r="E210" s="57"/>
      <c r="F210" s="56"/>
      <c r="G210" s="57"/>
      <c r="H210" s="87"/>
      <c r="I210" s="58"/>
      <c r="J210" s="87"/>
      <c r="K210" s="57"/>
      <c r="L210" s="86" t="s">
        <v>22</v>
      </c>
      <c r="M210" s="57"/>
      <c r="N210" s="87"/>
      <c r="O210" s="57"/>
      <c r="P210" s="87"/>
      <c r="Q210" s="57"/>
      <c r="R210" s="87"/>
      <c r="S210" s="57"/>
      <c r="T210" s="87"/>
      <c r="U210" s="57"/>
      <c r="V210" s="56"/>
      <c r="W210" s="57"/>
      <c r="X210" s="62"/>
      <c r="Y210" s="63"/>
      <c r="Z210" s="79"/>
      <c r="AA210" s="80"/>
      <c r="AB210" s="80"/>
      <c r="AC210" s="81"/>
      <c r="AD210" s="81"/>
      <c r="AE210" s="81"/>
      <c r="AF210" s="81"/>
    </row>
    <row r="211" ht="15.75" customHeight="1">
      <c r="A211" s="88"/>
      <c r="B211" s="128" t="s">
        <v>193</v>
      </c>
      <c r="C211" s="55"/>
      <c r="D211" s="56"/>
      <c r="E211" s="57"/>
      <c r="F211" s="56"/>
      <c r="G211" s="57"/>
      <c r="H211" s="87"/>
      <c r="I211" s="58"/>
      <c r="J211" s="87"/>
      <c r="K211" s="57"/>
      <c r="L211" s="86" t="s">
        <v>22</v>
      </c>
      <c r="M211" s="57"/>
      <c r="N211" s="87"/>
      <c r="O211" s="57"/>
      <c r="P211" s="87"/>
      <c r="Q211" s="57"/>
      <c r="R211" s="87"/>
      <c r="S211" s="57"/>
      <c r="T211" s="87"/>
      <c r="U211" s="57"/>
      <c r="V211" s="56"/>
      <c r="W211" s="57"/>
      <c r="X211" s="62"/>
      <c r="Y211" s="63"/>
      <c r="Z211" s="79"/>
      <c r="AA211" s="80"/>
      <c r="AB211" s="80"/>
      <c r="AC211" s="81"/>
      <c r="AD211" s="81"/>
      <c r="AE211" s="81"/>
      <c r="AF211" s="81"/>
    </row>
    <row r="212" ht="15.75" customHeight="1">
      <c r="A212" s="88"/>
      <c r="B212" s="128" t="s">
        <v>194</v>
      </c>
      <c r="C212" s="55"/>
      <c r="D212" s="56"/>
      <c r="E212" s="57"/>
      <c r="F212" s="56"/>
      <c r="G212" s="57"/>
      <c r="H212" s="87"/>
      <c r="I212" s="58"/>
      <c r="J212" s="87"/>
      <c r="K212" s="57"/>
      <c r="L212" s="86" t="s">
        <v>22</v>
      </c>
      <c r="M212" s="57"/>
      <c r="N212" s="87"/>
      <c r="O212" s="57"/>
      <c r="P212" s="87"/>
      <c r="Q212" s="57"/>
      <c r="R212" s="87"/>
      <c r="S212" s="57"/>
      <c r="T212" s="87"/>
      <c r="U212" s="57"/>
      <c r="V212" s="56"/>
      <c r="W212" s="57"/>
      <c r="X212" s="56"/>
      <c r="Y212" s="63"/>
      <c r="Z212" s="79"/>
      <c r="AA212" s="80"/>
      <c r="AB212" s="80"/>
      <c r="AC212" s="81"/>
      <c r="AD212" s="81"/>
      <c r="AE212" s="81"/>
      <c r="AF212" s="81"/>
    </row>
    <row r="213" ht="15.75" customHeight="1">
      <c r="A213" s="53"/>
      <c r="B213" s="128" t="s">
        <v>195</v>
      </c>
      <c r="C213" s="55"/>
      <c r="D213" s="65"/>
      <c r="E213" s="66"/>
      <c r="F213" s="65"/>
      <c r="G213" s="66"/>
      <c r="H213" s="65"/>
      <c r="I213" s="66"/>
      <c r="J213" s="65"/>
      <c r="K213" s="66"/>
      <c r="L213" s="86" t="s">
        <v>22</v>
      </c>
      <c r="M213" s="72"/>
      <c r="N213" s="71"/>
      <c r="O213" s="72"/>
      <c r="P213" s="71"/>
      <c r="Q213" s="72"/>
      <c r="R213" s="71"/>
      <c r="S213" s="72"/>
      <c r="T213" s="71"/>
      <c r="U213" s="72"/>
      <c r="V213" s="71"/>
      <c r="W213" s="72"/>
      <c r="X213" s="71"/>
      <c r="Y213" s="85"/>
      <c r="Z213" s="79"/>
      <c r="AA213" s="80"/>
      <c r="AB213" s="80"/>
      <c r="AC213" s="81"/>
      <c r="AD213" s="81"/>
      <c r="AE213" s="81"/>
      <c r="AF213" s="81"/>
    </row>
    <row r="214" ht="15.75" customHeight="1">
      <c r="A214" s="53"/>
      <c r="B214" s="128" t="s">
        <v>196</v>
      </c>
      <c r="C214" s="55"/>
      <c r="D214" s="69"/>
      <c r="E214" s="66"/>
      <c r="F214" s="69"/>
      <c r="G214" s="66"/>
      <c r="H214" s="69"/>
      <c r="I214" s="66"/>
      <c r="J214" s="69"/>
      <c r="K214" s="66"/>
      <c r="L214" s="86" t="s">
        <v>22</v>
      </c>
      <c r="M214" s="72"/>
      <c r="N214" s="71"/>
      <c r="O214" s="72"/>
      <c r="P214" s="71"/>
      <c r="Q214" s="72"/>
      <c r="R214" s="71"/>
      <c r="S214" s="72"/>
      <c r="T214" s="71"/>
      <c r="U214" s="72"/>
      <c r="V214" s="71"/>
      <c r="W214" s="72"/>
      <c r="X214" s="71"/>
      <c r="Y214" s="63"/>
      <c r="Z214" s="79"/>
      <c r="AA214" s="80"/>
      <c r="AB214" s="80"/>
      <c r="AC214" s="81"/>
      <c r="AD214" s="81"/>
      <c r="AE214" s="81"/>
      <c r="AF214" s="81"/>
    </row>
    <row r="215" ht="13.5" customHeight="1">
      <c r="A215" s="53"/>
      <c r="B215" s="128" t="s">
        <v>197</v>
      </c>
      <c r="C215" s="55"/>
      <c r="D215" s="69"/>
      <c r="E215" s="66"/>
      <c r="F215" s="69"/>
      <c r="G215" s="66"/>
      <c r="H215" s="69"/>
      <c r="I215" s="66"/>
      <c r="J215" s="69"/>
      <c r="K215" s="66"/>
      <c r="L215" s="86" t="s">
        <v>22</v>
      </c>
      <c r="M215" s="72"/>
      <c r="N215" s="71"/>
      <c r="O215" s="72"/>
      <c r="P215" s="71"/>
      <c r="Q215" s="72"/>
      <c r="R215" s="71"/>
      <c r="S215" s="72"/>
      <c r="T215" s="71"/>
      <c r="U215" s="72"/>
      <c r="V215" s="71"/>
      <c r="W215" s="72"/>
      <c r="X215" s="71"/>
      <c r="Y215" s="63"/>
      <c r="Z215" s="79"/>
      <c r="AA215" s="80"/>
      <c r="AB215" s="80"/>
      <c r="AC215" s="81"/>
      <c r="AD215" s="81"/>
      <c r="AE215" s="81"/>
      <c r="AF215" s="81"/>
    </row>
    <row r="216" ht="13.5" customHeight="1">
      <c r="A216" s="45">
        <v>6.0</v>
      </c>
      <c r="B216" s="46" t="s">
        <v>198</v>
      </c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8"/>
      <c r="Z216" s="79"/>
      <c r="AA216" s="80"/>
      <c r="AB216" s="80"/>
      <c r="AC216" s="81"/>
      <c r="AD216" s="81"/>
      <c r="AE216" s="81"/>
      <c r="AF216" s="81"/>
    </row>
    <row r="217" ht="15.75" customHeight="1">
      <c r="A217" s="49"/>
      <c r="B217" s="50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2"/>
      <c r="Z217" s="79"/>
      <c r="AA217" s="80"/>
      <c r="AB217" s="80"/>
      <c r="AC217" s="81"/>
      <c r="AD217" s="81"/>
      <c r="AE217" s="81"/>
      <c r="AF217" s="81"/>
    </row>
    <row r="218" ht="15.75" customHeight="1">
      <c r="A218" s="88"/>
      <c r="B218" s="127" t="s">
        <v>199</v>
      </c>
      <c r="C218" s="55"/>
      <c r="D218" s="56"/>
      <c r="E218" s="57"/>
      <c r="F218" s="56"/>
      <c r="G218" s="57"/>
      <c r="H218" s="56"/>
      <c r="I218" s="58"/>
      <c r="J218" s="56"/>
      <c r="K218" s="57"/>
      <c r="L218" s="86" t="s">
        <v>22</v>
      </c>
      <c r="M218" s="57"/>
      <c r="N218" s="87"/>
      <c r="O218" s="57"/>
      <c r="P218" s="87"/>
      <c r="Q218" s="57"/>
      <c r="R218" s="87"/>
      <c r="S218" s="57"/>
      <c r="T218" s="87"/>
      <c r="U218" s="57"/>
      <c r="V218" s="56"/>
      <c r="W218" s="57"/>
      <c r="X218" s="62"/>
      <c r="Y218" s="63"/>
      <c r="Z218" s="79"/>
      <c r="AA218" s="80"/>
      <c r="AB218" s="80"/>
      <c r="AC218" s="81"/>
      <c r="AD218" s="81"/>
      <c r="AE218" s="81"/>
      <c r="AF218" s="81"/>
    </row>
    <row r="219" ht="15.75" customHeight="1">
      <c r="A219" s="88"/>
      <c r="B219" s="128" t="s">
        <v>200</v>
      </c>
      <c r="C219" s="55"/>
      <c r="D219" s="56"/>
      <c r="E219" s="57"/>
      <c r="F219" s="56"/>
      <c r="G219" s="57"/>
      <c r="H219" s="87"/>
      <c r="I219" s="58"/>
      <c r="J219" s="87"/>
      <c r="K219" s="57"/>
      <c r="L219" s="86" t="s">
        <v>22</v>
      </c>
      <c r="M219" s="57"/>
      <c r="N219" s="87"/>
      <c r="O219" s="57"/>
      <c r="P219" s="87"/>
      <c r="Q219" s="57"/>
      <c r="R219" s="87"/>
      <c r="S219" s="57"/>
      <c r="T219" s="87"/>
      <c r="U219" s="57"/>
      <c r="V219" s="56"/>
      <c r="W219" s="57"/>
      <c r="X219" s="62"/>
      <c r="Y219" s="63"/>
      <c r="Z219" s="79"/>
      <c r="AA219" s="80"/>
      <c r="AB219" s="80"/>
      <c r="AC219" s="81"/>
      <c r="AD219" s="81"/>
      <c r="AE219" s="81"/>
      <c r="AF219" s="81"/>
    </row>
    <row r="220" ht="15.75" customHeight="1">
      <c r="A220" s="88"/>
      <c r="B220" s="128" t="s">
        <v>201</v>
      </c>
      <c r="C220" s="55"/>
      <c r="D220" s="56"/>
      <c r="E220" s="57"/>
      <c r="F220" s="56"/>
      <c r="G220" s="57"/>
      <c r="H220" s="87"/>
      <c r="I220" s="58"/>
      <c r="J220" s="87"/>
      <c r="K220" s="57"/>
      <c r="L220" s="86" t="s">
        <v>22</v>
      </c>
      <c r="M220" s="57"/>
      <c r="N220" s="87"/>
      <c r="O220" s="57"/>
      <c r="P220" s="87"/>
      <c r="Q220" s="57"/>
      <c r="R220" s="87"/>
      <c r="S220" s="57"/>
      <c r="T220" s="87"/>
      <c r="U220" s="57"/>
      <c r="V220" s="56"/>
      <c r="W220" s="57"/>
      <c r="X220" s="62"/>
      <c r="Y220" s="63"/>
      <c r="Z220" s="79"/>
      <c r="AA220" s="80"/>
      <c r="AB220" s="80"/>
      <c r="AC220" s="81"/>
      <c r="AD220" s="81"/>
      <c r="AE220" s="81"/>
      <c r="AF220" s="81"/>
    </row>
    <row r="221" ht="15.75" customHeight="1">
      <c r="A221" s="88"/>
      <c r="B221" s="128" t="s">
        <v>202</v>
      </c>
      <c r="C221" s="55"/>
      <c r="D221" s="56"/>
      <c r="E221" s="57"/>
      <c r="F221" s="56"/>
      <c r="G221" s="57"/>
      <c r="H221" s="87"/>
      <c r="I221" s="58"/>
      <c r="J221" s="87"/>
      <c r="K221" s="57"/>
      <c r="L221" s="86" t="s">
        <v>22</v>
      </c>
      <c r="M221" s="57"/>
      <c r="N221" s="87"/>
      <c r="O221" s="57"/>
      <c r="P221" s="87"/>
      <c r="Q221" s="57"/>
      <c r="R221" s="87"/>
      <c r="S221" s="57"/>
      <c r="T221" s="87"/>
      <c r="U221" s="57"/>
      <c r="V221" s="56"/>
      <c r="W221" s="57"/>
      <c r="X221" s="62"/>
      <c r="Y221" s="63"/>
      <c r="Z221" s="79"/>
      <c r="AA221" s="80"/>
      <c r="AB221" s="80"/>
      <c r="AC221" s="81"/>
      <c r="AD221" s="81"/>
      <c r="AE221" s="81"/>
      <c r="AF221" s="81"/>
    </row>
    <row r="222" ht="15.75" customHeight="1">
      <c r="A222" s="88"/>
      <c r="B222" s="128" t="s">
        <v>203</v>
      </c>
      <c r="C222" s="55"/>
      <c r="D222" s="56"/>
      <c r="E222" s="57"/>
      <c r="F222" s="56"/>
      <c r="G222" s="57"/>
      <c r="H222" s="87"/>
      <c r="I222" s="58"/>
      <c r="J222" s="87"/>
      <c r="K222" s="57"/>
      <c r="L222" s="86" t="s">
        <v>22</v>
      </c>
      <c r="M222" s="57"/>
      <c r="N222" s="87"/>
      <c r="O222" s="57"/>
      <c r="P222" s="87"/>
      <c r="Q222" s="57"/>
      <c r="R222" s="87"/>
      <c r="S222" s="57"/>
      <c r="T222" s="87"/>
      <c r="U222" s="57"/>
      <c r="V222" s="56"/>
      <c r="W222" s="57"/>
      <c r="X222" s="62"/>
      <c r="Y222" s="63"/>
      <c r="Z222" s="79"/>
      <c r="AA222" s="80"/>
      <c r="AB222" s="80"/>
      <c r="AC222" s="81"/>
      <c r="AD222" s="81"/>
      <c r="AE222" s="81"/>
      <c r="AF222" s="81"/>
    </row>
    <row r="223" ht="15.75" customHeight="1">
      <c r="A223" s="88"/>
      <c r="B223" s="128" t="s">
        <v>204</v>
      </c>
      <c r="C223" s="55"/>
      <c r="D223" s="56"/>
      <c r="E223" s="57"/>
      <c r="F223" s="56"/>
      <c r="G223" s="57"/>
      <c r="H223" s="87"/>
      <c r="I223" s="58"/>
      <c r="J223" s="87"/>
      <c r="K223" s="57"/>
      <c r="L223" s="86" t="s">
        <v>22</v>
      </c>
      <c r="M223" s="57"/>
      <c r="N223" s="87"/>
      <c r="O223" s="57"/>
      <c r="P223" s="87"/>
      <c r="Q223" s="57"/>
      <c r="R223" s="87"/>
      <c r="S223" s="57"/>
      <c r="T223" s="87"/>
      <c r="U223" s="57"/>
      <c r="V223" s="56"/>
      <c r="W223" s="57"/>
      <c r="X223" s="62"/>
      <c r="Y223" s="63"/>
      <c r="Z223" s="79"/>
      <c r="AA223" s="80"/>
      <c r="AB223" s="80"/>
      <c r="AC223" s="81"/>
      <c r="AD223" s="81"/>
      <c r="AE223" s="81"/>
      <c r="AF223" s="81"/>
    </row>
    <row r="224" ht="15.75" customHeight="1">
      <c r="A224" s="88"/>
      <c r="B224" s="128" t="s">
        <v>205</v>
      </c>
      <c r="C224" s="55"/>
      <c r="D224" s="56"/>
      <c r="E224" s="57"/>
      <c r="F224" s="56"/>
      <c r="G224" s="57"/>
      <c r="H224" s="87"/>
      <c r="I224" s="58"/>
      <c r="J224" s="87"/>
      <c r="K224" s="57"/>
      <c r="L224" s="86" t="s">
        <v>22</v>
      </c>
      <c r="M224" s="57"/>
      <c r="N224" s="87"/>
      <c r="O224" s="57"/>
      <c r="P224" s="87"/>
      <c r="Q224" s="57"/>
      <c r="R224" s="87"/>
      <c r="S224" s="57"/>
      <c r="T224" s="87"/>
      <c r="U224" s="57"/>
      <c r="V224" s="56"/>
      <c r="W224" s="57"/>
      <c r="X224" s="62"/>
      <c r="Y224" s="63"/>
      <c r="Z224" s="79"/>
      <c r="AA224" s="80"/>
      <c r="AB224" s="80"/>
      <c r="AC224" s="81"/>
      <c r="AD224" s="81"/>
      <c r="AE224" s="81"/>
      <c r="AF224" s="81"/>
    </row>
    <row r="225" ht="15.75" customHeight="1">
      <c r="A225" s="88"/>
      <c r="B225" s="128" t="s">
        <v>206</v>
      </c>
      <c r="C225" s="55"/>
      <c r="D225" s="56"/>
      <c r="E225" s="57"/>
      <c r="F225" s="56"/>
      <c r="G225" s="57"/>
      <c r="H225" s="87"/>
      <c r="I225" s="58"/>
      <c r="J225" s="87"/>
      <c r="K225" s="57"/>
      <c r="L225" s="86" t="s">
        <v>22</v>
      </c>
      <c r="M225" s="57"/>
      <c r="N225" s="87"/>
      <c r="O225" s="57"/>
      <c r="P225" s="87"/>
      <c r="Q225" s="57"/>
      <c r="R225" s="87"/>
      <c r="S225" s="57"/>
      <c r="T225" s="87"/>
      <c r="U225" s="57"/>
      <c r="V225" s="56"/>
      <c r="W225" s="57"/>
      <c r="X225" s="62"/>
      <c r="Y225" s="63"/>
      <c r="Z225" s="79"/>
      <c r="AA225" s="80"/>
      <c r="AB225" s="80"/>
      <c r="AC225" s="81"/>
      <c r="AD225" s="81"/>
      <c r="AE225" s="81"/>
      <c r="AF225" s="81"/>
    </row>
    <row r="226" ht="15.75" customHeight="1">
      <c r="A226" s="88"/>
      <c r="B226" s="128" t="s">
        <v>207</v>
      </c>
      <c r="C226" s="55"/>
      <c r="D226" s="56"/>
      <c r="E226" s="57"/>
      <c r="F226" s="56"/>
      <c r="G226" s="57"/>
      <c r="H226" s="87"/>
      <c r="I226" s="58"/>
      <c r="J226" s="87"/>
      <c r="K226" s="57"/>
      <c r="L226" s="86" t="s">
        <v>22</v>
      </c>
      <c r="M226" s="57"/>
      <c r="N226" s="87"/>
      <c r="O226" s="57"/>
      <c r="P226" s="87"/>
      <c r="Q226" s="57"/>
      <c r="R226" s="87"/>
      <c r="S226" s="57"/>
      <c r="T226" s="87"/>
      <c r="U226" s="57"/>
      <c r="V226" s="56"/>
      <c r="W226" s="57"/>
      <c r="X226" s="62"/>
      <c r="Y226" s="63"/>
      <c r="Z226" s="79"/>
      <c r="AA226" s="80"/>
      <c r="AB226" s="80"/>
      <c r="AC226" s="81"/>
      <c r="AD226" s="81"/>
      <c r="AE226" s="81"/>
      <c r="AF226" s="81"/>
    </row>
    <row r="227" ht="15.75" customHeight="1">
      <c r="A227" s="88"/>
      <c r="B227" s="128" t="s">
        <v>208</v>
      </c>
      <c r="C227" s="55"/>
      <c r="D227" s="56"/>
      <c r="E227" s="57"/>
      <c r="F227" s="56"/>
      <c r="G227" s="57"/>
      <c r="H227" s="87"/>
      <c r="I227" s="58"/>
      <c r="J227" s="87"/>
      <c r="K227" s="57"/>
      <c r="L227" s="86" t="s">
        <v>22</v>
      </c>
      <c r="M227" s="57"/>
      <c r="N227" s="87"/>
      <c r="O227" s="57"/>
      <c r="P227" s="87"/>
      <c r="Q227" s="57"/>
      <c r="R227" s="87"/>
      <c r="S227" s="57"/>
      <c r="T227" s="87"/>
      <c r="U227" s="57"/>
      <c r="V227" s="56"/>
      <c r="W227" s="57"/>
      <c r="X227" s="62"/>
      <c r="Y227" s="63"/>
      <c r="Z227" s="79"/>
      <c r="AA227" s="80"/>
      <c r="AB227" s="80"/>
      <c r="AC227" s="81"/>
      <c r="AD227" s="81"/>
      <c r="AE227" s="81"/>
      <c r="AF227" s="81"/>
    </row>
    <row r="228" ht="15.75" customHeight="1">
      <c r="A228" s="88"/>
      <c r="B228" s="128" t="s">
        <v>209</v>
      </c>
      <c r="C228" s="55"/>
      <c r="D228" s="56"/>
      <c r="E228" s="57"/>
      <c r="F228" s="56"/>
      <c r="G228" s="57"/>
      <c r="H228" s="87"/>
      <c r="I228" s="58"/>
      <c r="J228" s="87"/>
      <c r="K228" s="57"/>
      <c r="L228" s="86" t="s">
        <v>22</v>
      </c>
      <c r="M228" s="57"/>
      <c r="N228" s="87"/>
      <c r="O228" s="57"/>
      <c r="P228" s="87"/>
      <c r="Q228" s="57"/>
      <c r="R228" s="87"/>
      <c r="S228" s="57"/>
      <c r="T228" s="87"/>
      <c r="U228" s="57"/>
      <c r="V228" s="56"/>
      <c r="W228" s="57"/>
      <c r="X228" s="62"/>
      <c r="Y228" s="63"/>
      <c r="Z228" s="79"/>
      <c r="AA228" s="80"/>
      <c r="AB228" s="80"/>
      <c r="AC228" s="81"/>
      <c r="AD228" s="81"/>
      <c r="AE228" s="81"/>
      <c r="AF228" s="81"/>
    </row>
    <row r="229" ht="13.5" customHeight="1">
      <c r="A229" s="88"/>
      <c r="B229" s="128" t="s">
        <v>210</v>
      </c>
      <c r="C229" s="55"/>
      <c r="D229" s="56"/>
      <c r="E229" s="57"/>
      <c r="F229" s="56"/>
      <c r="G229" s="57"/>
      <c r="H229" s="87"/>
      <c r="I229" s="58"/>
      <c r="J229" s="87"/>
      <c r="K229" s="57"/>
      <c r="L229" s="86" t="s">
        <v>22</v>
      </c>
      <c r="M229" s="57"/>
      <c r="N229" s="87"/>
      <c r="O229" s="57"/>
      <c r="P229" s="87"/>
      <c r="Q229" s="57"/>
      <c r="R229" s="87"/>
      <c r="S229" s="57"/>
      <c r="T229" s="87"/>
      <c r="U229" s="57"/>
      <c r="V229" s="56"/>
      <c r="W229" s="57"/>
      <c r="X229" s="62"/>
      <c r="Y229" s="63"/>
      <c r="Z229" s="79"/>
      <c r="AA229" s="80"/>
      <c r="AB229" s="80"/>
      <c r="AC229" s="81"/>
      <c r="AD229" s="81"/>
      <c r="AE229" s="81"/>
      <c r="AF229" s="81"/>
    </row>
    <row r="230" ht="13.5" customHeight="1">
      <c r="A230" s="45">
        <v>7.0</v>
      </c>
      <c r="B230" s="46" t="s">
        <v>211</v>
      </c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8"/>
      <c r="Z230" s="79"/>
      <c r="AA230" s="80"/>
      <c r="AB230" s="80"/>
      <c r="AC230" s="81"/>
      <c r="AD230" s="81"/>
      <c r="AE230" s="81"/>
      <c r="AF230" s="81"/>
    </row>
    <row r="231" ht="15.75" customHeight="1">
      <c r="A231" s="49"/>
      <c r="B231" s="50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2"/>
      <c r="Z231" s="79"/>
      <c r="AA231" s="80"/>
      <c r="AB231" s="80"/>
      <c r="AC231" s="81"/>
      <c r="AD231" s="81"/>
      <c r="AE231" s="81"/>
      <c r="AF231" s="81"/>
    </row>
    <row r="232" ht="15.75" customHeight="1">
      <c r="A232" s="88"/>
      <c r="B232" s="127" t="s">
        <v>212</v>
      </c>
      <c r="C232" s="55"/>
      <c r="D232" s="56"/>
      <c r="E232" s="57"/>
      <c r="F232" s="56"/>
      <c r="G232" s="57"/>
      <c r="H232" s="56"/>
      <c r="I232" s="58"/>
      <c r="J232" s="56"/>
      <c r="K232" s="57"/>
      <c r="L232" s="86" t="s">
        <v>22</v>
      </c>
      <c r="M232" s="57"/>
      <c r="N232" s="87"/>
      <c r="O232" s="57"/>
      <c r="P232" s="87"/>
      <c r="Q232" s="57"/>
      <c r="R232" s="87"/>
      <c r="S232" s="57"/>
      <c r="T232" s="87"/>
      <c r="U232" s="57"/>
      <c r="V232" s="56"/>
      <c r="W232" s="57"/>
      <c r="X232" s="62"/>
      <c r="Y232" s="63"/>
      <c r="Z232" s="79"/>
      <c r="AA232" s="80"/>
      <c r="AB232" s="80"/>
      <c r="AC232" s="81"/>
      <c r="AD232" s="81"/>
      <c r="AE232" s="81"/>
      <c r="AF232" s="81"/>
    </row>
    <row r="233" ht="15.75" customHeight="1">
      <c r="A233" s="88"/>
      <c r="B233" s="128" t="s">
        <v>213</v>
      </c>
      <c r="C233" s="55"/>
      <c r="D233" s="56"/>
      <c r="E233" s="57"/>
      <c r="F233" s="56"/>
      <c r="G233" s="57"/>
      <c r="H233" s="87"/>
      <c r="I233" s="58"/>
      <c r="J233" s="87"/>
      <c r="K233" s="57"/>
      <c r="L233" s="86" t="s">
        <v>22</v>
      </c>
      <c r="M233" s="57"/>
      <c r="N233" s="87"/>
      <c r="O233" s="57"/>
      <c r="P233" s="87"/>
      <c r="Q233" s="57"/>
      <c r="R233" s="87"/>
      <c r="S233" s="57"/>
      <c r="T233" s="87"/>
      <c r="U233" s="57"/>
      <c r="V233" s="56"/>
      <c r="W233" s="57"/>
      <c r="X233" s="62"/>
      <c r="Y233" s="63"/>
      <c r="Z233" s="79"/>
      <c r="AA233" s="80"/>
      <c r="AB233" s="80"/>
      <c r="AC233" s="81"/>
      <c r="AD233" s="81"/>
      <c r="AE233" s="81"/>
      <c r="AF233" s="81"/>
    </row>
    <row r="234" ht="15.75" customHeight="1">
      <c r="A234" s="88"/>
      <c r="B234" s="127" t="s">
        <v>214</v>
      </c>
      <c r="C234" s="55"/>
      <c r="D234" s="56"/>
      <c r="E234" s="57"/>
      <c r="F234" s="56"/>
      <c r="G234" s="57"/>
      <c r="H234" s="56"/>
      <c r="I234" s="58"/>
      <c r="J234" s="56"/>
      <c r="K234" s="57"/>
      <c r="L234" s="86" t="s">
        <v>22</v>
      </c>
      <c r="M234" s="57"/>
      <c r="N234" s="87"/>
      <c r="O234" s="57"/>
      <c r="P234" s="87"/>
      <c r="Q234" s="57"/>
      <c r="R234" s="87"/>
      <c r="S234" s="57"/>
      <c r="T234" s="87"/>
      <c r="U234" s="57"/>
      <c r="V234" s="56"/>
      <c r="W234" s="57"/>
      <c r="X234" s="62"/>
      <c r="Y234" s="63"/>
      <c r="Z234" s="79"/>
      <c r="AA234" s="80"/>
      <c r="AB234" s="80"/>
      <c r="AC234" s="81"/>
      <c r="AD234" s="81"/>
      <c r="AE234" s="81"/>
      <c r="AF234" s="81"/>
    </row>
    <row r="235" ht="15.75" customHeight="1">
      <c r="A235" s="88"/>
      <c r="B235" s="128" t="s">
        <v>215</v>
      </c>
      <c r="C235" s="55"/>
      <c r="D235" s="56"/>
      <c r="E235" s="57"/>
      <c r="F235" s="56"/>
      <c r="G235" s="57"/>
      <c r="H235" s="87"/>
      <c r="I235" s="58"/>
      <c r="J235" s="87"/>
      <c r="K235" s="57"/>
      <c r="L235" s="86" t="s">
        <v>22</v>
      </c>
      <c r="M235" s="57"/>
      <c r="N235" s="87"/>
      <c r="O235" s="57"/>
      <c r="P235" s="87"/>
      <c r="Q235" s="57"/>
      <c r="R235" s="87"/>
      <c r="S235" s="57"/>
      <c r="T235" s="87"/>
      <c r="U235" s="57"/>
      <c r="V235" s="56"/>
      <c r="W235" s="57"/>
      <c r="X235" s="62"/>
      <c r="Y235" s="63"/>
      <c r="Z235" s="79"/>
      <c r="AA235" s="80"/>
      <c r="AB235" s="80"/>
      <c r="AC235" s="81"/>
      <c r="AD235" s="81"/>
      <c r="AE235" s="81"/>
      <c r="AF235" s="81"/>
    </row>
    <row r="236" ht="15.75" customHeight="1">
      <c r="A236" s="88"/>
      <c r="B236" s="128" t="s">
        <v>216</v>
      </c>
      <c r="C236" s="55"/>
      <c r="D236" s="56"/>
      <c r="E236" s="57"/>
      <c r="F236" s="56"/>
      <c r="G236" s="57"/>
      <c r="H236" s="56"/>
      <c r="I236" s="58"/>
      <c r="J236" s="56"/>
      <c r="K236" s="57"/>
      <c r="L236" s="86" t="s">
        <v>22</v>
      </c>
      <c r="M236" s="57"/>
      <c r="N236" s="87"/>
      <c r="O236" s="57"/>
      <c r="P236" s="87"/>
      <c r="Q236" s="57"/>
      <c r="R236" s="87"/>
      <c r="S236" s="57"/>
      <c r="T236" s="87"/>
      <c r="U236" s="57"/>
      <c r="V236" s="56"/>
      <c r="W236" s="57"/>
      <c r="X236" s="62"/>
      <c r="Y236" s="63"/>
      <c r="Z236" s="79"/>
      <c r="AA236" s="80"/>
      <c r="AB236" s="80"/>
      <c r="AC236" s="81"/>
      <c r="AD236" s="81"/>
      <c r="AE236" s="81"/>
      <c r="AF236" s="81"/>
    </row>
    <row r="237" ht="15.75" customHeight="1">
      <c r="A237" s="88"/>
      <c r="B237" s="128" t="s">
        <v>217</v>
      </c>
      <c r="C237" s="55"/>
      <c r="D237" s="56"/>
      <c r="E237" s="57"/>
      <c r="F237" s="56"/>
      <c r="G237" s="57"/>
      <c r="H237" s="56"/>
      <c r="I237" s="58"/>
      <c r="J237" s="56"/>
      <c r="K237" s="57"/>
      <c r="L237" s="86" t="s">
        <v>22</v>
      </c>
      <c r="M237" s="57"/>
      <c r="N237" s="87"/>
      <c r="O237" s="57"/>
      <c r="P237" s="87"/>
      <c r="Q237" s="57"/>
      <c r="R237" s="87"/>
      <c r="S237" s="57"/>
      <c r="T237" s="87"/>
      <c r="U237" s="57"/>
      <c r="V237" s="56"/>
      <c r="W237" s="57"/>
      <c r="X237" s="62"/>
      <c r="Y237" s="63"/>
      <c r="Z237" s="79"/>
      <c r="AA237" s="80"/>
      <c r="AB237" s="80"/>
      <c r="AC237" s="81"/>
      <c r="AD237" s="81"/>
      <c r="AE237" s="81"/>
      <c r="AF237" s="81"/>
    </row>
    <row r="238" ht="28.5" customHeight="1">
      <c r="A238" s="42" t="s">
        <v>64</v>
      </c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4"/>
      <c r="Z238" s="79"/>
      <c r="AA238" s="80"/>
      <c r="AB238" s="80"/>
      <c r="AC238" s="81"/>
      <c r="AD238" s="81"/>
      <c r="AE238" s="81"/>
      <c r="AF238" s="81"/>
    </row>
    <row r="239" ht="13.5" customHeight="1">
      <c r="A239" s="45">
        <v>8.0</v>
      </c>
      <c r="B239" s="46" t="s">
        <v>218</v>
      </c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8"/>
      <c r="Z239" s="79"/>
      <c r="AA239" s="80"/>
      <c r="AB239" s="80"/>
      <c r="AC239" s="81"/>
      <c r="AD239" s="81"/>
      <c r="AE239" s="81"/>
      <c r="AF239" s="81"/>
    </row>
    <row r="240" ht="16.5" customHeight="1">
      <c r="A240" s="49"/>
      <c r="B240" s="50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2"/>
      <c r="Z240" s="79"/>
      <c r="AA240" s="80"/>
      <c r="AB240" s="80"/>
      <c r="AC240" s="81"/>
      <c r="AD240" s="81"/>
      <c r="AE240" s="81"/>
      <c r="AF240" s="81"/>
    </row>
    <row r="241" ht="15.75" customHeight="1">
      <c r="A241" s="88"/>
      <c r="B241" s="127" t="s">
        <v>219</v>
      </c>
      <c r="C241" s="55"/>
      <c r="D241" s="56"/>
      <c r="E241" s="57"/>
      <c r="F241" s="56"/>
      <c r="G241" s="57"/>
      <c r="H241" s="56"/>
      <c r="I241" s="58"/>
      <c r="J241" s="56"/>
      <c r="K241" s="57"/>
      <c r="L241" s="86" t="s">
        <v>22</v>
      </c>
      <c r="M241" s="87"/>
      <c r="N241" s="87"/>
      <c r="O241" s="57"/>
      <c r="P241" s="87"/>
      <c r="Q241" s="57"/>
      <c r="R241" s="87"/>
      <c r="S241" s="57"/>
      <c r="T241" s="87"/>
      <c r="U241" s="57"/>
      <c r="V241" s="56"/>
      <c r="W241" s="57"/>
      <c r="X241" s="146"/>
      <c r="Y241" s="85"/>
      <c r="Z241" s="79"/>
      <c r="AA241" s="80"/>
      <c r="AB241" s="80"/>
      <c r="AC241" s="81"/>
      <c r="AD241" s="81"/>
      <c r="AE241" s="81"/>
      <c r="AF241" s="81"/>
    </row>
    <row r="242" ht="15.75" customHeight="1">
      <c r="A242" s="88"/>
      <c r="B242" s="128" t="s">
        <v>220</v>
      </c>
      <c r="C242" s="55"/>
      <c r="D242" s="56"/>
      <c r="E242" s="57"/>
      <c r="F242" s="56"/>
      <c r="G242" s="57"/>
      <c r="H242" s="56"/>
      <c r="I242" s="58"/>
      <c r="J242" s="56"/>
      <c r="K242" s="57"/>
      <c r="L242" s="86" t="s">
        <v>22</v>
      </c>
      <c r="M242" s="87"/>
      <c r="N242" s="87"/>
      <c r="O242" s="57"/>
      <c r="P242" s="87"/>
      <c r="Q242" s="57"/>
      <c r="R242" s="87"/>
      <c r="S242" s="57"/>
      <c r="T242" s="87"/>
      <c r="U242" s="57"/>
      <c r="V242" s="56"/>
      <c r="W242" s="57"/>
      <c r="X242" s="146"/>
      <c r="Y242" s="85"/>
      <c r="Z242" s="79"/>
      <c r="AA242" s="80"/>
      <c r="AB242" s="80"/>
      <c r="AC242" s="81"/>
      <c r="AD242" s="81"/>
      <c r="AE242" s="81"/>
      <c r="AF242" s="81"/>
    </row>
    <row r="243" ht="15.75" customHeight="1">
      <c r="A243" s="88"/>
      <c r="B243" s="128" t="s">
        <v>221</v>
      </c>
      <c r="C243" s="55"/>
      <c r="D243" s="56"/>
      <c r="E243" s="57"/>
      <c r="F243" s="56"/>
      <c r="G243" s="57"/>
      <c r="H243" s="56"/>
      <c r="I243" s="58"/>
      <c r="J243" s="56"/>
      <c r="K243" s="57"/>
      <c r="L243" s="86" t="s">
        <v>22</v>
      </c>
      <c r="M243" s="87"/>
      <c r="N243" s="87"/>
      <c r="O243" s="57"/>
      <c r="P243" s="87"/>
      <c r="Q243" s="57"/>
      <c r="R243" s="87"/>
      <c r="S243" s="57"/>
      <c r="T243" s="87"/>
      <c r="U243" s="57"/>
      <c r="V243" s="56"/>
      <c r="W243" s="57"/>
      <c r="X243" s="146"/>
      <c r="Y243" s="85"/>
      <c r="Z243" s="79"/>
      <c r="AA243" s="80"/>
      <c r="AB243" s="80"/>
      <c r="AC243" s="81"/>
      <c r="AD243" s="81"/>
      <c r="AE243" s="81"/>
      <c r="AF243" s="81"/>
    </row>
    <row r="244" ht="15.75" customHeight="1">
      <c r="A244" s="88"/>
      <c r="B244" s="128" t="s">
        <v>222</v>
      </c>
      <c r="C244" s="55"/>
      <c r="D244" s="56"/>
      <c r="E244" s="57"/>
      <c r="F244" s="56"/>
      <c r="G244" s="57"/>
      <c r="H244" s="56"/>
      <c r="I244" s="58"/>
      <c r="J244" s="56"/>
      <c r="K244" s="57"/>
      <c r="L244" s="86" t="s">
        <v>22</v>
      </c>
      <c r="M244" s="87"/>
      <c r="N244" s="87"/>
      <c r="O244" s="57"/>
      <c r="P244" s="87"/>
      <c r="Q244" s="57"/>
      <c r="R244" s="87"/>
      <c r="S244" s="57"/>
      <c r="T244" s="87"/>
      <c r="U244" s="57"/>
      <c r="V244" s="56"/>
      <c r="W244" s="57"/>
      <c r="X244" s="146"/>
      <c r="Y244" s="85"/>
      <c r="Z244" s="79"/>
      <c r="AA244" s="80"/>
      <c r="AB244" s="80"/>
      <c r="AC244" s="81"/>
      <c r="AD244" s="81"/>
      <c r="AE244" s="81"/>
      <c r="AF244" s="81"/>
    </row>
    <row r="245" ht="15.75" customHeight="1">
      <c r="A245" s="88"/>
      <c r="B245" s="128" t="s">
        <v>223</v>
      </c>
      <c r="C245" s="55"/>
      <c r="D245" s="56"/>
      <c r="E245" s="57"/>
      <c r="F245" s="56"/>
      <c r="G245" s="57"/>
      <c r="H245" s="56"/>
      <c r="I245" s="58"/>
      <c r="J245" s="56"/>
      <c r="K245" s="57"/>
      <c r="L245" s="86" t="s">
        <v>22</v>
      </c>
      <c r="M245" s="87"/>
      <c r="N245" s="87"/>
      <c r="O245" s="57"/>
      <c r="P245" s="87"/>
      <c r="Q245" s="57"/>
      <c r="R245" s="87"/>
      <c r="S245" s="57"/>
      <c r="T245" s="87"/>
      <c r="U245" s="57"/>
      <c r="V245" s="56"/>
      <c r="W245" s="57"/>
      <c r="X245" s="146"/>
      <c r="Y245" s="85"/>
      <c r="Z245" s="79"/>
      <c r="AA245" s="80"/>
      <c r="AB245" s="80"/>
      <c r="AC245" s="81"/>
      <c r="AD245" s="81"/>
      <c r="AE245" s="81"/>
      <c r="AF245" s="81"/>
    </row>
    <row r="246" ht="18.0" customHeight="1">
      <c r="A246" s="88"/>
      <c r="B246" s="128" t="s">
        <v>224</v>
      </c>
      <c r="C246" s="55"/>
      <c r="D246" s="56"/>
      <c r="E246" s="57"/>
      <c r="F246" s="56"/>
      <c r="G246" s="57"/>
      <c r="H246" s="56"/>
      <c r="I246" s="58"/>
      <c r="J246" s="56"/>
      <c r="K246" s="57"/>
      <c r="L246" s="86" t="s">
        <v>22</v>
      </c>
      <c r="M246" s="87"/>
      <c r="N246" s="87"/>
      <c r="O246" s="57"/>
      <c r="P246" s="87"/>
      <c r="Q246" s="57"/>
      <c r="R246" s="87"/>
      <c r="S246" s="57"/>
      <c r="T246" s="87"/>
      <c r="U246" s="57"/>
      <c r="V246" s="56"/>
      <c r="W246" s="57"/>
      <c r="X246" s="146"/>
      <c r="Y246" s="85"/>
      <c r="Z246" s="79"/>
      <c r="AA246" s="80"/>
      <c r="AB246" s="80"/>
      <c r="AC246" s="81"/>
      <c r="AD246" s="81"/>
      <c r="AE246" s="81"/>
      <c r="AF246" s="81"/>
    </row>
    <row r="247" ht="13.5" customHeight="1">
      <c r="A247" s="45">
        <v>9.0</v>
      </c>
      <c r="B247" s="46" t="s">
        <v>225</v>
      </c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8"/>
      <c r="Z247" s="79"/>
      <c r="AA247" s="80"/>
      <c r="AB247" s="80"/>
      <c r="AC247" s="81"/>
      <c r="AD247" s="81"/>
      <c r="AE247" s="81"/>
      <c r="AF247" s="81"/>
    </row>
    <row r="248" ht="15.75" customHeight="1">
      <c r="A248" s="49"/>
      <c r="B248" s="50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2"/>
      <c r="Z248" s="79"/>
      <c r="AA248" s="80"/>
      <c r="AB248" s="80"/>
      <c r="AC248" s="81"/>
      <c r="AD248" s="81"/>
      <c r="AE248" s="81"/>
      <c r="AF248" s="81"/>
    </row>
    <row r="249" ht="15.75" customHeight="1">
      <c r="A249" s="88"/>
      <c r="B249" s="127" t="s">
        <v>226</v>
      </c>
      <c r="C249" s="55"/>
      <c r="D249" s="56"/>
      <c r="E249" s="57"/>
      <c r="F249" s="56"/>
      <c r="G249" s="57"/>
      <c r="H249" s="56"/>
      <c r="I249" s="58"/>
      <c r="J249" s="56"/>
      <c r="K249" s="57"/>
      <c r="L249" s="86" t="s">
        <v>22</v>
      </c>
      <c r="M249" s="57"/>
      <c r="N249" s="87"/>
      <c r="O249" s="57"/>
      <c r="P249" s="87"/>
      <c r="Q249" s="57"/>
      <c r="R249" s="87"/>
      <c r="S249" s="57"/>
      <c r="T249" s="87"/>
      <c r="U249" s="57"/>
      <c r="V249" s="56"/>
      <c r="W249" s="57"/>
      <c r="X249" s="146"/>
      <c r="Y249" s="85"/>
      <c r="Z249" s="79"/>
      <c r="AA249" s="80"/>
      <c r="AB249" s="80"/>
      <c r="AC249" s="81"/>
      <c r="AD249" s="81"/>
      <c r="AE249" s="81"/>
      <c r="AF249" s="81"/>
    </row>
    <row r="250" ht="15.75" customHeight="1">
      <c r="A250" s="88"/>
      <c r="B250" s="128" t="s">
        <v>227</v>
      </c>
      <c r="C250" s="55"/>
      <c r="D250" s="56"/>
      <c r="E250" s="57"/>
      <c r="F250" s="56"/>
      <c r="G250" s="57"/>
      <c r="H250" s="56"/>
      <c r="I250" s="58"/>
      <c r="J250" s="56"/>
      <c r="K250" s="57"/>
      <c r="L250" s="86" t="s">
        <v>22</v>
      </c>
      <c r="M250" s="57"/>
      <c r="N250" s="87"/>
      <c r="O250" s="57"/>
      <c r="P250" s="87"/>
      <c r="Q250" s="57"/>
      <c r="R250" s="87"/>
      <c r="S250" s="57"/>
      <c r="T250" s="87"/>
      <c r="U250" s="57"/>
      <c r="V250" s="56"/>
      <c r="W250" s="57"/>
      <c r="X250" s="146"/>
      <c r="Y250" s="85"/>
      <c r="Z250" s="79"/>
      <c r="AA250" s="80"/>
      <c r="AB250" s="80"/>
      <c r="AC250" s="81"/>
      <c r="AD250" s="81"/>
      <c r="AE250" s="81"/>
      <c r="AF250" s="81"/>
    </row>
    <row r="251" ht="15.75" customHeight="1">
      <c r="A251" s="88"/>
      <c r="B251" s="128" t="s">
        <v>228</v>
      </c>
      <c r="C251" s="55"/>
      <c r="D251" s="56"/>
      <c r="E251" s="57"/>
      <c r="F251" s="56"/>
      <c r="G251" s="57"/>
      <c r="H251" s="56"/>
      <c r="I251" s="58"/>
      <c r="J251" s="56"/>
      <c r="K251" s="57"/>
      <c r="L251" s="86" t="s">
        <v>22</v>
      </c>
      <c r="M251" s="57"/>
      <c r="N251" s="87"/>
      <c r="O251" s="57"/>
      <c r="P251" s="87"/>
      <c r="Q251" s="57"/>
      <c r="R251" s="87"/>
      <c r="S251" s="57"/>
      <c r="T251" s="87"/>
      <c r="U251" s="57"/>
      <c r="V251" s="56"/>
      <c r="W251" s="57"/>
      <c r="X251" s="146"/>
      <c r="Y251" s="85"/>
      <c r="Z251" s="79"/>
      <c r="AA251" s="80"/>
      <c r="AB251" s="80"/>
      <c r="AC251" s="81"/>
      <c r="AD251" s="81"/>
      <c r="AE251" s="81"/>
      <c r="AF251" s="81"/>
    </row>
    <row r="252" ht="15.75" customHeight="1">
      <c r="A252" s="88"/>
      <c r="B252" s="128" t="s">
        <v>229</v>
      </c>
      <c r="C252" s="55"/>
      <c r="D252" s="56"/>
      <c r="E252" s="57"/>
      <c r="F252" s="56"/>
      <c r="G252" s="57"/>
      <c r="H252" s="56"/>
      <c r="I252" s="58"/>
      <c r="J252" s="56"/>
      <c r="K252" s="57"/>
      <c r="L252" s="86" t="s">
        <v>22</v>
      </c>
      <c r="M252" s="57"/>
      <c r="N252" s="87"/>
      <c r="O252" s="57"/>
      <c r="P252" s="87"/>
      <c r="Q252" s="57"/>
      <c r="R252" s="87"/>
      <c r="S252" s="57"/>
      <c r="T252" s="87"/>
      <c r="U252" s="57"/>
      <c r="V252" s="56"/>
      <c r="W252" s="57"/>
      <c r="X252" s="146"/>
      <c r="Y252" s="85"/>
      <c r="Z252" s="79"/>
      <c r="AA252" s="80"/>
      <c r="AB252" s="80"/>
      <c r="AC252" s="81"/>
      <c r="AD252" s="81"/>
      <c r="AE252" s="81"/>
      <c r="AF252" s="81"/>
    </row>
    <row r="253" ht="15.75" customHeight="1">
      <c r="A253" s="88"/>
      <c r="B253" s="128" t="s">
        <v>230</v>
      </c>
      <c r="C253" s="55"/>
      <c r="D253" s="56"/>
      <c r="E253" s="57"/>
      <c r="F253" s="56"/>
      <c r="G253" s="57"/>
      <c r="H253" s="56"/>
      <c r="I253" s="58"/>
      <c r="J253" s="56"/>
      <c r="K253" s="57"/>
      <c r="L253" s="86" t="s">
        <v>22</v>
      </c>
      <c r="M253" s="57"/>
      <c r="N253" s="87"/>
      <c r="O253" s="57"/>
      <c r="P253" s="87"/>
      <c r="Q253" s="57"/>
      <c r="R253" s="87"/>
      <c r="S253" s="57"/>
      <c r="T253" s="87"/>
      <c r="U253" s="57"/>
      <c r="V253" s="56"/>
      <c r="W253" s="57"/>
      <c r="X253" s="146"/>
      <c r="Y253" s="85"/>
      <c r="Z253" s="79"/>
      <c r="AA253" s="80"/>
      <c r="AB253" s="80"/>
      <c r="AC253" s="81"/>
      <c r="AD253" s="81"/>
      <c r="AE253" s="81"/>
      <c r="AF253" s="81"/>
    </row>
    <row r="254" ht="13.5" customHeight="1">
      <c r="A254" s="88"/>
      <c r="B254" s="128" t="s">
        <v>231</v>
      </c>
      <c r="C254" s="55"/>
      <c r="D254" s="56"/>
      <c r="E254" s="57"/>
      <c r="F254" s="56"/>
      <c r="G254" s="57"/>
      <c r="H254" s="56"/>
      <c r="I254" s="58"/>
      <c r="J254" s="56"/>
      <c r="K254" s="57"/>
      <c r="L254" s="86" t="s">
        <v>22</v>
      </c>
      <c r="M254" s="57"/>
      <c r="N254" s="87"/>
      <c r="O254" s="57"/>
      <c r="P254" s="87"/>
      <c r="Q254" s="57"/>
      <c r="R254" s="87"/>
      <c r="S254" s="57"/>
      <c r="T254" s="87"/>
      <c r="U254" s="57"/>
      <c r="V254" s="56"/>
      <c r="W254" s="57"/>
      <c r="X254" s="146"/>
      <c r="Y254" s="85"/>
      <c r="Z254" s="79"/>
      <c r="AA254" s="80"/>
      <c r="AB254" s="80"/>
      <c r="AC254" s="81"/>
      <c r="AD254" s="81"/>
      <c r="AE254" s="81"/>
      <c r="AF254" s="81"/>
    </row>
    <row r="255" ht="13.5" customHeight="1">
      <c r="A255" s="45">
        <v>10.0</v>
      </c>
      <c r="B255" s="46" t="s">
        <v>232</v>
      </c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8"/>
      <c r="Z255" s="79"/>
      <c r="AA255" s="80"/>
      <c r="AB255" s="80"/>
      <c r="AC255" s="81"/>
      <c r="AD255" s="81"/>
      <c r="AE255" s="81"/>
      <c r="AF255" s="81"/>
    </row>
    <row r="256" ht="15.0" customHeight="1">
      <c r="A256" s="49"/>
      <c r="B256" s="50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2"/>
      <c r="Z256" s="79"/>
      <c r="AA256" s="80"/>
      <c r="AB256" s="80"/>
      <c r="AC256" s="81"/>
      <c r="AD256" s="81"/>
      <c r="AE256" s="81"/>
      <c r="AF256" s="81"/>
    </row>
    <row r="257" ht="15.75" customHeight="1">
      <c r="A257" s="88"/>
      <c r="B257" s="127" t="s">
        <v>233</v>
      </c>
      <c r="C257" s="55"/>
      <c r="D257" s="56"/>
      <c r="E257" s="57"/>
      <c r="F257" s="56"/>
      <c r="G257" s="57"/>
      <c r="H257" s="56"/>
      <c r="I257" s="58"/>
      <c r="J257" s="56"/>
      <c r="K257" s="57"/>
      <c r="L257" s="86" t="s">
        <v>22</v>
      </c>
      <c r="M257" s="57"/>
      <c r="N257" s="87"/>
      <c r="O257" s="57"/>
      <c r="P257" s="87"/>
      <c r="Q257" s="57"/>
      <c r="R257" s="87"/>
      <c r="S257" s="57"/>
      <c r="T257" s="87"/>
      <c r="U257" s="57"/>
      <c r="V257" s="56"/>
      <c r="W257" s="57"/>
      <c r="X257" s="146"/>
      <c r="Y257" s="85"/>
      <c r="Z257" s="79"/>
      <c r="AA257" s="80"/>
      <c r="AB257" s="80"/>
      <c r="AC257" s="81"/>
      <c r="AD257" s="81"/>
      <c r="AE257" s="81"/>
      <c r="AF257" s="81"/>
    </row>
    <row r="258" ht="15.75" customHeight="1">
      <c r="A258" s="88"/>
      <c r="B258" s="128" t="s">
        <v>234</v>
      </c>
      <c r="C258" s="55"/>
      <c r="D258" s="56"/>
      <c r="E258" s="57"/>
      <c r="F258" s="56"/>
      <c r="G258" s="57"/>
      <c r="H258" s="56"/>
      <c r="I258" s="58"/>
      <c r="J258" s="56"/>
      <c r="K258" s="57"/>
      <c r="L258" s="86" t="s">
        <v>22</v>
      </c>
      <c r="M258" s="57"/>
      <c r="N258" s="87"/>
      <c r="O258" s="57"/>
      <c r="P258" s="87"/>
      <c r="Q258" s="57"/>
      <c r="R258" s="87"/>
      <c r="S258" s="57"/>
      <c r="T258" s="87"/>
      <c r="U258" s="57"/>
      <c r="V258" s="56"/>
      <c r="W258" s="57"/>
      <c r="X258" s="146"/>
      <c r="Y258" s="85"/>
      <c r="Z258" s="79"/>
      <c r="AA258" s="80"/>
      <c r="AB258" s="80"/>
      <c r="AC258" s="81"/>
      <c r="AD258" s="81"/>
      <c r="AE258" s="81"/>
      <c r="AF258" s="81"/>
    </row>
    <row r="259" ht="15.75" customHeight="1">
      <c r="A259" s="88"/>
      <c r="B259" s="128" t="s">
        <v>235</v>
      </c>
      <c r="C259" s="55"/>
      <c r="D259" s="56"/>
      <c r="E259" s="57"/>
      <c r="F259" s="56"/>
      <c r="G259" s="57"/>
      <c r="H259" s="56"/>
      <c r="I259" s="58"/>
      <c r="J259" s="56"/>
      <c r="K259" s="57"/>
      <c r="L259" s="86" t="s">
        <v>22</v>
      </c>
      <c r="M259" s="57"/>
      <c r="N259" s="87"/>
      <c r="O259" s="57"/>
      <c r="P259" s="87"/>
      <c r="Q259" s="57"/>
      <c r="R259" s="87"/>
      <c r="S259" s="57"/>
      <c r="T259" s="87"/>
      <c r="U259" s="57"/>
      <c r="V259" s="56"/>
      <c r="W259" s="57"/>
      <c r="X259" s="146"/>
      <c r="Y259" s="85"/>
      <c r="Z259" s="79"/>
      <c r="AA259" s="80"/>
      <c r="AB259" s="80"/>
      <c r="AC259" s="81"/>
      <c r="AD259" s="81"/>
      <c r="AE259" s="81"/>
      <c r="AF259" s="81"/>
    </row>
    <row r="260" ht="15.75" customHeight="1">
      <c r="A260" s="88"/>
      <c r="B260" s="128" t="s">
        <v>236</v>
      </c>
      <c r="C260" s="55"/>
      <c r="D260" s="56"/>
      <c r="E260" s="57"/>
      <c r="F260" s="56"/>
      <c r="G260" s="57"/>
      <c r="H260" s="56"/>
      <c r="I260" s="58"/>
      <c r="J260" s="56"/>
      <c r="K260" s="57"/>
      <c r="L260" s="86" t="s">
        <v>22</v>
      </c>
      <c r="M260" s="57"/>
      <c r="N260" s="87"/>
      <c r="O260" s="57"/>
      <c r="P260" s="87"/>
      <c r="Q260" s="57"/>
      <c r="R260" s="87"/>
      <c r="S260" s="57"/>
      <c r="T260" s="87"/>
      <c r="U260" s="57"/>
      <c r="V260" s="56"/>
      <c r="W260" s="57"/>
      <c r="X260" s="146"/>
      <c r="Y260" s="85"/>
      <c r="Z260" s="79"/>
      <c r="AA260" s="80"/>
      <c r="AB260" s="80"/>
      <c r="AC260" s="81"/>
      <c r="AD260" s="81"/>
      <c r="AE260" s="81"/>
      <c r="AF260" s="81"/>
    </row>
    <row r="261" ht="15.75" customHeight="1">
      <c r="A261" s="88"/>
      <c r="B261" s="128" t="s">
        <v>237</v>
      </c>
      <c r="C261" s="55"/>
      <c r="D261" s="56"/>
      <c r="E261" s="57"/>
      <c r="F261" s="56"/>
      <c r="G261" s="57"/>
      <c r="H261" s="56"/>
      <c r="I261" s="58"/>
      <c r="J261" s="56"/>
      <c r="K261" s="57"/>
      <c r="L261" s="86" t="s">
        <v>22</v>
      </c>
      <c r="M261" s="57"/>
      <c r="N261" s="87"/>
      <c r="O261" s="57"/>
      <c r="P261" s="87"/>
      <c r="Q261" s="57"/>
      <c r="R261" s="87"/>
      <c r="S261" s="57"/>
      <c r="T261" s="87"/>
      <c r="U261" s="57"/>
      <c r="V261" s="56"/>
      <c r="W261" s="57"/>
      <c r="X261" s="146"/>
      <c r="Y261" s="85"/>
      <c r="Z261" s="79"/>
      <c r="AA261" s="80"/>
      <c r="AB261" s="80"/>
      <c r="AC261" s="81"/>
      <c r="AD261" s="81"/>
      <c r="AE261" s="81"/>
      <c r="AF261" s="81"/>
    </row>
    <row r="262" ht="16.5" customHeight="1">
      <c r="A262" s="88"/>
      <c r="B262" s="128" t="s">
        <v>238</v>
      </c>
      <c r="C262" s="55"/>
      <c r="D262" s="56"/>
      <c r="E262" s="57"/>
      <c r="F262" s="56"/>
      <c r="G262" s="57"/>
      <c r="H262" s="56"/>
      <c r="I262" s="58"/>
      <c r="J262" s="56"/>
      <c r="K262" s="57"/>
      <c r="L262" s="86" t="s">
        <v>22</v>
      </c>
      <c r="M262" s="57"/>
      <c r="N262" s="87"/>
      <c r="O262" s="57"/>
      <c r="P262" s="87"/>
      <c r="Q262" s="57"/>
      <c r="R262" s="87"/>
      <c r="S262" s="57"/>
      <c r="T262" s="87"/>
      <c r="U262" s="57"/>
      <c r="V262" s="56"/>
      <c r="W262" s="57"/>
      <c r="X262" s="146"/>
      <c r="Y262" s="85"/>
      <c r="Z262" s="79"/>
      <c r="AA262" s="80"/>
      <c r="AB262" s="80"/>
      <c r="AC262" s="81"/>
      <c r="AD262" s="81"/>
      <c r="AE262" s="81"/>
      <c r="AF262" s="81"/>
    </row>
    <row r="263" ht="13.5" customHeight="1">
      <c r="A263" s="45">
        <v>11.0</v>
      </c>
      <c r="B263" s="46" t="s">
        <v>239</v>
      </c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8"/>
      <c r="Z263" s="79"/>
      <c r="AA263" s="80"/>
      <c r="AB263" s="80"/>
      <c r="AC263" s="81"/>
      <c r="AD263" s="81"/>
      <c r="AE263" s="81"/>
      <c r="AF263" s="81"/>
    </row>
    <row r="264" ht="15.75" customHeight="1">
      <c r="A264" s="49"/>
      <c r="B264" s="50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2"/>
      <c r="Z264" s="79"/>
      <c r="AA264" s="80"/>
      <c r="AB264" s="80"/>
      <c r="AC264" s="81"/>
      <c r="AD264" s="81"/>
      <c r="AE264" s="81"/>
      <c r="AF264" s="81"/>
    </row>
    <row r="265" ht="15.75" customHeight="1">
      <c r="A265" s="88"/>
      <c r="B265" s="127" t="s">
        <v>240</v>
      </c>
      <c r="C265" s="55"/>
      <c r="D265" s="56"/>
      <c r="E265" s="57"/>
      <c r="F265" s="56"/>
      <c r="G265" s="57"/>
      <c r="H265" s="56"/>
      <c r="I265" s="58"/>
      <c r="J265" s="56"/>
      <c r="K265" s="57"/>
      <c r="L265" s="86" t="s">
        <v>22</v>
      </c>
      <c r="M265" s="57"/>
      <c r="N265" s="87"/>
      <c r="O265" s="57"/>
      <c r="P265" s="87"/>
      <c r="Q265" s="57"/>
      <c r="R265" s="87"/>
      <c r="S265" s="57"/>
      <c r="T265" s="87"/>
      <c r="U265" s="57"/>
      <c r="V265" s="56"/>
      <c r="W265" s="57"/>
      <c r="X265" s="62"/>
      <c r="Y265" s="63"/>
      <c r="Z265" s="79"/>
      <c r="AA265" s="80"/>
      <c r="AB265" s="80"/>
      <c r="AC265" s="81"/>
      <c r="AD265" s="81"/>
      <c r="AE265" s="81"/>
      <c r="AF265" s="81"/>
    </row>
    <row r="266" ht="15.75" customHeight="1">
      <c r="A266" s="88"/>
      <c r="B266" s="128" t="s">
        <v>241</v>
      </c>
      <c r="C266" s="55"/>
      <c r="D266" s="56"/>
      <c r="E266" s="57"/>
      <c r="F266" s="56"/>
      <c r="G266" s="57"/>
      <c r="H266" s="56"/>
      <c r="I266" s="58"/>
      <c r="J266" s="56"/>
      <c r="K266" s="57"/>
      <c r="L266" s="86" t="s">
        <v>22</v>
      </c>
      <c r="M266" s="57"/>
      <c r="N266" s="87"/>
      <c r="O266" s="57"/>
      <c r="P266" s="87"/>
      <c r="Q266" s="57"/>
      <c r="R266" s="87"/>
      <c r="S266" s="57"/>
      <c r="T266" s="87"/>
      <c r="U266" s="57"/>
      <c r="V266" s="56"/>
      <c r="W266" s="57"/>
      <c r="X266" s="146"/>
      <c r="Y266" s="85"/>
      <c r="Z266" s="79"/>
      <c r="AA266" s="80"/>
      <c r="AB266" s="80"/>
      <c r="AC266" s="81"/>
      <c r="AD266" s="81"/>
      <c r="AE266" s="81"/>
      <c r="AF266" s="81"/>
    </row>
    <row r="267" ht="15.75" customHeight="1">
      <c r="A267" s="88"/>
      <c r="B267" s="128" t="s">
        <v>242</v>
      </c>
      <c r="C267" s="55"/>
      <c r="D267" s="56"/>
      <c r="E267" s="57"/>
      <c r="F267" s="56"/>
      <c r="G267" s="57"/>
      <c r="H267" s="56"/>
      <c r="I267" s="58"/>
      <c r="J267" s="56"/>
      <c r="K267" s="57"/>
      <c r="L267" s="86" t="s">
        <v>22</v>
      </c>
      <c r="M267" s="57"/>
      <c r="N267" s="87"/>
      <c r="O267" s="57"/>
      <c r="P267" s="87"/>
      <c r="Q267" s="57"/>
      <c r="R267" s="87"/>
      <c r="S267" s="57"/>
      <c r="T267" s="87"/>
      <c r="U267" s="57"/>
      <c r="V267" s="56"/>
      <c r="W267" s="57"/>
      <c r="X267" s="146"/>
      <c r="Y267" s="85"/>
      <c r="Z267" s="79"/>
      <c r="AA267" s="80"/>
      <c r="AB267" s="80"/>
      <c r="AC267" s="81"/>
      <c r="AD267" s="81"/>
      <c r="AE267" s="81"/>
      <c r="AF267" s="81"/>
    </row>
    <row r="268" ht="15.75" customHeight="1">
      <c r="A268" s="88"/>
      <c r="B268" s="128" t="s">
        <v>243</v>
      </c>
      <c r="C268" s="55"/>
      <c r="D268" s="56"/>
      <c r="E268" s="57"/>
      <c r="F268" s="56"/>
      <c r="G268" s="57"/>
      <c r="H268" s="56"/>
      <c r="I268" s="58"/>
      <c r="J268" s="56"/>
      <c r="K268" s="57"/>
      <c r="L268" s="86" t="s">
        <v>22</v>
      </c>
      <c r="M268" s="57"/>
      <c r="N268" s="87"/>
      <c r="O268" s="57"/>
      <c r="P268" s="87"/>
      <c r="Q268" s="57"/>
      <c r="R268" s="87"/>
      <c r="S268" s="57"/>
      <c r="T268" s="87"/>
      <c r="U268" s="57"/>
      <c r="V268" s="56"/>
      <c r="W268" s="57"/>
      <c r="X268" s="146"/>
      <c r="Y268" s="85"/>
      <c r="Z268" s="79"/>
      <c r="AA268" s="80"/>
      <c r="AB268" s="80"/>
      <c r="AC268" s="81"/>
      <c r="AD268" s="81"/>
      <c r="AE268" s="81"/>
      <c r="AF268" s="81"/>
    </row>
    <row r="269" ht="15.75" customHeight="1">
      <c r="A269" s="88"/>
      <c r="B269" s="127" t="s">
        <v>244</v>
      </c>
      <c r="C269" s="55"/>
      <c r="D269" s="56"/>
      <c r="E269" s="57"/>
      <c r="F269" s="56"/>
      <c r="G269" s="57"/>
      <c r="H269" s="56"/>
      <c r="I269" s="58"/>
      <c r="J269" s="56"/>
      <c r="K269" s="57"/>
      <c r="L269" s="86" t="s">
        <v>22</v>
      </c>
      <c r="M269" s="57"/>
      <c r="N269" s="87"/>
      <c r="O269" s="57"/>
      <c r="P269" s="87"/>
      <c r="Q269" s="57"/>
      <c r="R269" s="87"/>
      <c r="S269" s="57"/>
      <c r="T269" s="87"/>
      <c r="U269" s="57"/>
      <c r="V269" s="56"/>
      <c r="W269" s="57"/>
      <c r="X269" s="146"/>
      <c r="Y269" s="85"/>
      <c r="Z269" s="79"/>
      <c r="AA269" s="80"/>
      <c r="AB269" s="80"/>
      <c r="AC269" s="81"/>
      <c r="AD269" s="81"/>
      <c r="AE269" s="81"/>
      <c r="AF269" s="81"/>
    </row>
    <row r="270" ht="13.5" customHeight="1">
      <c r="A270" s="88"/>
      <c r="B270" s="128" t="s">
        <v>245</v>
      </c>
      <c r="C270" s="55"/>
      <c r="D270" s="56"/>
      <c r="E270" s="57"/>
      <c r="F270" s="56"/>
      <c r="G270" s="57"/>
      <c r="H270" s="56"/>
      <c r="I270" s="58"/>
      <c r="J270" s="56"/>
      <c r="K270" s="57"/>
      <c r="L270" s="86" t="s">
        <v>22</v>
      </c>
      <c r="M270" s="57"/>
      <c r="N270" s="87"/>
      <c r="O270" s="57"/>
      <c r="P270" s="87"/>
      <c r="Q270" s="57"/>
      <c r="R270" s="87"/>
      <c r="S270" s="57"/>
      <c r="T270" s="87"/>
      <c r="U270" s="57"/>
      <c r="V270" s="56"/>
      <c r="W270" s="57"/>
      <c r="X270" s="146"/>
      <c r="Y270" s="85"/>
      <c r="Z270" s="79"/>
      <c r="AA270" s="80"/>
      <c r="AB270" s="80"/>
      <c r="AC270" s="81"/>
      <c r="AD270" s="81"/>
      <c r="AE270" s="81"/>
      <c r="AF270" s="81"/>
    </row>
    <row r="271" ht="13.5" customHeight="1">
      <c r="A271" s="45">
        <v>12.0</v>
      </c>
      <c r="B271" s="46" t="s">
        <v>246</v>
      </c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8"/>
      <c r="Z271" s="79"/>
      <c r="AA271" s="80"/>
      <c r="AB271" s="80"/>
      <c r="AC271" s="81"/>
      <c r="AD271" s="81"/>
      <c r="AE271" s="81"/>
      <c r="AF271" s="81"/>
    </row>
    <row r="272" ht="15.75" customHeight="1">
      <c r="A272" s="49"/>
      <c r="B272" s="50"/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2"/>
      <c r="Z272" s="79"/>
      <c r="AA272" s="80"/>
      <c r="AB272" s="80"/>
      <c r="AC272" s="81"/>
      <c r="AD272" s="81"/>
      <c r="AE272" s="81"/>
      <c r="AF272" s="81"/>
    </row>
    <row r="273" ht="15.75" customHeight="1">
      <c r="A273" s="88"/>
      <c r="B273" s="127" t="s">
        <v>247</v>
      </c>
      <c r="C273" s="55"/>
      <c r="D273" s="56"/>
      <c r="E273" s="57"/>
      <c r="F273" s="56"/>
      <c r="G273" s="57"/>
      <c r="H273" s="56"/>
      <c r="I273" s="58"/>
      <c r="J273" s="56"/>
      <c r="K273" s="57"/>
      <c r="L273" s="86" t="s">
        <v>22</v>
      </c>
      <c r="M273" s="57"/>
      <c r="N273" s="87"/>
      <c r="O273" s="57"/>
      <c r="P273" s="87"/>
      <c r="Q273" s="57"/>
      <c r="R273" s="87"/>
      <c r="S273" s="57"/>
      <c r="T273" s="87"/>
      <c r="U273" s="57"/>
      <c r="V273" s="56"/>
      <c r="W273" s="57"/>
      <c r="X273" s="62"/>
      <c r="Y273" s="63"/>
      <c r="Z273" s="79"/>
      <c r="AA273" s="80"/>
      <c r="AB273" s="80"/>
      <c r="AC273" s="81"/>
      <c r="AD273" s="81"/>
      <c r="AE273" s="81"/>
      <c r="AF273" s="81"/>
    </row>
    <row r="274" ht="15.75" customHeight="1">
      <c r="A274" s="88"/>
      <c r="B274" s="128" t="s">
        <v>248</v>
      </c>
      <c r="C274" s="55"/>
      <c r="D274" s="56"/>
      <c r="E274" s="57"/>
      <c r="F274" s="56"/>
      <c r="G274" s="57"/>
      <c r="H274" s="87"/>
      <c r="I274" s="58"/>
      <c r="J274" s="87"/>
      <c r="K274" s="57"/>
      <c r="L274" s="86" t="s">
        <v>22</v>
      </c>
      <c r="M274" s="57"/>
      <c r="N274" s="87"/>
      <c r="O274" s="57"/>
      <c r="P274" s="87"/>
      <c r="Q274" s="57"/>
      <c r="R274" s="87"/>
      <c r="S274" s="57"/>
      <c r="T274" s="87"/>
      <c r="U274" s="57"/>
      <c r="V274" s="56"/>
      <c r="W274" s="57"/>
      <c r="X274" s="62"/>
      <c r="Y274" s="63"/>
      <c r="Z274" s="79"/>
      <c r="AA274" s="80"/>
      <c r="AB274" s="80"/>
      <c r="AC274" s="81"/>
      <c r="AD274" s="81"/>
      <c r="AE274" s="81"/>
      <c r="AF274" s="81"/>
    </row>
    <row r="275" ht="15.75" customHeight="1">
      <c r="A275" s="88"/>
      <c r="B275" s="128" t="s">
        <v>249</v>
      </c>
      <c r="C275" s="55"/>
      <c r="D275" s="56"/>
      <c r="E275" s="57"/>
      <c r="F275" s="56"/>
      <c r="G275" s="57"/>
      <c r="H275" s="56"/>
      <c r="I275" s="58"/>
      <c r="J275" s="56"/>
      <c r="K275" s="57"/>
      <c r="L275" s="86" t="s">
        <v>22</v>
      </c>
      <c r="M275" s="57"/>
      <c r="N275" s="87"/>
      <c r="O275" s="57"/>
      <c r="P275" s="87"/>
      <c r="Q275" s="57"/>
      <c r="R275" s="87"/>
      <c r="S275" s="57"/>
      <c r="T275" s="87"/>
      <c r="U275" s="57"/>
      <c r="V275" s="56"/>
      <c r="W275" s="57"/>
      <c r="X275" s="62"/>
      <c r="Y275" s="63"/>
      <c r="Z275" s="79"/>
      <c r="AA275" s="80"/>
      <c r="AB275" s="80"/>
      <c r="AC275" s="81"/>
      <c r="AD275" s="81"/>
      <c r="AE275" s="81"/>
      <c r="AF275" s="81"/>
    </row>
    <row r="276" ht="15.75" customHeight="1">
      <c r="A276" s="88"/>
      <c r="B276" s="128" t="s">
        <v>250</v>
      </c>
      <c r="C276" s="55"/>
      <c r="D276" s="56"/>
      <c r="E276" s="57"/>
      <c r="F276" s="56"/>
      <c r="G276" s="57"/>
      <c r="H276" s="56"/>
      <c r="I276" s="58"/>
      <c r="J276" s="56"/>
      <c r="K276" s="57"/>
      <c r="L276" s="86" t="s">
        <v>22</v>
      </c>
      <c r="M276" s="57"/>
      <c r="N276" s="87"/>
      <c r="O276" s="57"/>
      <c r="P276" s="87"/>
      <c r="Q276" s="57"/>
      <c r="R276" s="87"/>
      <c r="S276" s="57"/>
      <c r="T276" s="87"/>
      <c r="U276" s="57"/>
      <c r="V276" s="56"/>
      <c r="W276" s="57"/>
      <c r="X276" s="62"/>
      <c r="Y276" s="63"/>
      <c r="Z276" s="79"/>
      <c r="AA276" s="80"/>
      <c r="AB276" s="80"/>
      <c r="AC276" s="81"/>
      <c r="AD276" s="81"/>
      <c r="AE276" s="81"/>
      <c r="AF276" s="81"/>
    </row>
    <row r="277" ht="15.75" customHeight="1">
      <c r="A277" s="88"/>
      <c r="B277" s="128" t="s">
        <v>251</v>
      </c>
      <c r="C277" s="55"/>
      <c r="D277" s="56"/>
      <c r="E277" s="57"/>
      <c r="F277" s="56"/>
      <c r="G277" s="57"/>
      <c r="H277" s="56"/>
      <c r="I277" s="58"/>
      <c r="J277" s="56"/>
      <c r="K277" s="57"/>
      <c r="L277" s="86" t="s">
        <v>22</v>
      </c>
      <c r="M277" s="57"/>
      <c r="N277" s="87"/>
      <c r="O277" s="57"/>
      <c r="P277" s="87"/>
      <c r="Q277" s="57"/>
      <c r="R277" s="87"/>
      <c r="S277" s="57"/>
      <c r="T277" s="87"/>
      <c r="U277" s="57"/>
      <c r="V277" s="56"/>
      <c r="W277" s="57"/>
      <c r="X277" s="62"/>
      <c r="Y277" s="63"/>
      <c r="Z277" s="79"/>
      <c r="AA277" s="80"/>
      <c r="AB277" s="80"/>
      <c r="AC277" s="81"/>
      <c r="AD277" s="81"/>
      <c r="AE277" s="81"/>
      <c r="AF277" s="81"/>
    </row>
    <row r="278" ht="13.5" customHeight="1">
      <c r="A278" s="88"/>
      <c r="B278" s="128" t="s">
        <v>252</v>
      </c>
      <c r="C278" s="55"/>
      <c r="D278" s="56"/>
      <c r="E278" s="57"/>
      <c r="F278" s="56"/>
      <c r="G278" s="57"/>
      <c r="H278" s="87"/>
      <c r="I278" s="58"/>
      <c r="J278" s="87"/>
      <c r="K278" s="57"/>
      <c r="L278" s="86" t="s">
        <v>22</v>
      </c>
      <c r="M278" s="57"/>
      <c r="N278" s="87"/>
      <c r="O278" s="57"/>
      <c r="P278" s="87"/>
      <c r="Q278" s="57"/>
      <c r="R278" s="87"/>
      <c r="S278" s="57"/>
      <c r="T278" s="87"/>
      <c r="U278" s="57"/>
      <c r="V278" s="56"/>
      <c r="W278" s="57"/>
      <c r="X278" s="62"/>
      <c r="Y278" s="63"/>
      <c r="Z278" s="79"/>
      <c r="AA278" s="80"/>
      <c r="AB278" s="80"/>
      <c r="AC278" s="81"/>
      <c r="AD278" s="81"/>
      <c r="AE278" s="81"/>
      <c r="AF278" s="81"/>
    </row>
    <row r="279" ht="13.5" customHeight="1">
      <c r="A279" s="45">
        <v>13.0</v>
      </c>
      <c r="B279" s="46" t="s">
        <v>253</v>
      </c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8"/>
      <c r="Z279" s="79"/>
      <c r="AA279" s="80"/>
      <c r="AB279" s="80"/>
      <c r="AC279" s="81"/>
      <c r="AD279" s="81"/>
      <c r="AE279" s="81"/>
      <c r="AF279" s="81"/>
    </row>
    <row r="280" ht="16.5" customHeight="1">
      <c r="A280" s="49"/>
      <c r="B280" s="50"/>
      <c r="C280" s="51"/>
      <c r="D280" s="51"/>
      <c r="E280" s="51"/>
      <c r="F280" s="51"/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2"/>
      <c r="Z280" s="79"/>
      <c r="AA280" s="80"/>
      <c r="AB280" s="80"/>
      <c r="AC280" s="81"/>
      <c r="AD280" s="81"/>
      <c r="AE280" s="81"/>
      <c r="AF280" s="81"/>
    </row>
    <row r="281" ht="15.75" customHeight="1">
      <c r="A281" s="88"/>
      <c r="B281" s="127" t="s">
        <v>254</v>
      </c>
      <c r="C281" s="55"/>
      <c r="D281" s="56"/>
      <c r="E281" s="57"/>
      <c r="F281" s="56"/>
      <c r="G281" s="57"/>
      <c r="H281" s="56"/>
      <c r="I281" s="58"/>
      <c r="J281" s="56"/>
      <c r="K281" s="57"/>
      <c r="L281" s="86" t="s">
        <v>22</v>
      </c>
      <c r="M281" s="57"/>
      <c r="N281" s="87"/>
      <c r="O281" s="57"/>
      <c r="P281" s="87"/>
      <c r="Q281" s="57"/>
      <c r="R281" s="87"/>
      <c r="S281" s="57"/>
      <c r="T281" s="87"/>
      <c r="U281" s="57"/>
      <c r="V281" s="56"/>
      <c r="W281" s="57"/>
      <c r="X281" s="62"/>
      <c r="Y281" s="63"/>
      <c r="Z281" s="79"/>
      <c r="AA281" s="80"/>
      <c r="AB281" s="80"/>
      <c r="AC281" s="81"/>
      <c r="AD281" s="81"/>
      <c r="AE281" s="81"/>
      <c r="AF281" s="81"/>
    </row>
    <row r="282" ht="18.75" customHeight="1">
      <c r="A282" s="88"/>
      <c r="B282" s="128" t="s">
        <v>255</v>
      </c>
      <c r="C282" s="55"/>
      <c r="D282" s="56"/>
      <c r="E282" s="57"/>
      <c r="F282" s="56"/>
      <c r="G282" s="57"/>
      <c r="H282" s="56"/>
      <c r="I282" s="58"/>
      <c r="J282" s="56"/>
      <c r="K282" s="57"/>
      <c r="L282" s="86" t="s">
        <v>22</v>
      </c>
      <c r="M282" s="57"/>
      <c r="N282" s="87"/>
      <c r="O282" s="57"/>
      <c r="P282" s="87"/>
      <c r="Q282" s="57"/>
      <c r="R282" s="87"/>
      <c r="S282" s="57"/>
      <c r="T282" s="87"/>
      <c r="U282" s="57"/>
      <c r="V282" s="56"/>
      <c r="W282" s="57"/>
      <c r="X282" s="146"/>
      <c r="Y282" s="85"/>
      <c r="Z282" s="79"/>
      <c r="AA282" s="80"/>
      <c r="AB282" s="80"/>
      <c r="AC282" s="81"/>
      <c r="AD282" s="81"/>
      <c r="AE282" s="81"/>
      <c r="AF282" s="81"/>
    </row>
    <row r="283" ht="13.5" customHeight="1">
      <c r="A283" s="45">
        <v>14.0</v>
      </c>
      <c r="B283" s="46" t="s">
        <v>256</v>
      </c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8"/>
      <c r="Z283" s="79"/>
      <c r="AA283" s="80"/>
      <c r="AB283" s="80"/>
      <c r="AC283" s="81"/>
      <c r="AD283" s="81"/>
      <c r="AE283" s="81"/>
      <c r="AF283" s="81"/>
    </row>
    <row r="284" ht="16.5" customHeight="1">
      <c r="A284" s="49"/>
      <c r="B284" s="50"/>
      <c r="C284" s="51"/>
      <c r="D284" s="51"/>
      <c r="E284" s="51"/>
      <c r="F284" s="51"/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2"/>
      <c r="Z284" s="79"/>
      <c r="AA284" s="80"/>
      <c r="AB284" s="80"/>
      <c r="AC284" s="81"/>
      <c r="AD284" s="81"/>
      <c r="AE284" s="81"/>
      <c r="AF284" s="81"/>
    </row>
    <row r="285" ht="15.75" customHeight="1">
      <c r="A285" s="88"/>
      <c r="B285" s="127" t="s">
        <v>257</v>
      </c>
      <c r="C285" s="55"/>
      <c r="D285" s="56"/>
      <c r="E285" s="57"/>
      <c r="F285" s="56"/>
      <c r="G285" s="57"/>
      <c r="H285" s="56"/>
      <c r="I285" s="58"/>
      <c r="J285" s="56"/>
      <c r="K285" s="57"/>
      <c r="L285" s="86" t="s">
        <v>22</v>
      </c>
      <c r="M285" s="57"/>
      <c r="N285" s="87"/>
      <c r="O285" s="57"/>
      <c r="P285" s="87"/>
      <c r="Q285" s="57"/>
      <c r="R285" s="87"/>
      <c r="S285" s="57"/>
      <c r="T285" s="87"/>
      <c r="U285" s="57"/>
      <c r="V285" s="56"/>
      <c r="W285" s="57"/>
      <c r="X285" s="62"/>
      <c r="Y285" s="63"/>
      <c r="Z285" s="79"/>
      <c r="AA285" s="80"/>
      <c r="AB285" s="80"/>
      <c r="AC285" s="81"/>
      <c r="AD285" s="81"/>
      <c r="AE285" s="81"/>
      <c r="AF285" s="81"/>
    </row>
    <row r="286" ht="15.75" customHeight="1">
      <c r="A286" s="88"/>
      <c r="B286" s="128" t="s">
        <v>258</v>
      </c>
      <c r="C286" s="55"/>
      <c r="D286" s="56"/>
      <c r="E286" s="57"/>
      <c r="F286" s="56"/>
      <c r="G286" s="57"/>
      <c r="H286" s="56"/>
      <c r="I286" s="58"/>
      <c r="J286" s="56"/>
      <c r="K286" s="57"/>
      <c r="L286" s="86" t="s">
        <v>22</v>
      </c>
      <c r="M286" s="57"/>
      <c r="N286" s="87"/>
      <c r="O286" s="57"/>
      <c r="P286" s="87"/>
      <c r="Q286" s="57"/>
      <c r="R286" s="87"/>
      <c r="S286" s="57"/>
      <c r="T286" s="87"/>
      <c r="U286" s="57"/>
      <c r="V286" s="56"/>
      <c r="W286" s="57"/>
      <c r="X286" s="146"/>
      <c r="Y286" s="85"/>
      <c r="Z286" s="79"/>
      <c r="AA286" s="80"/>
      <c r="AB286" s="80"/>
      <c r="AC286" s="81"/>
      <c r="AD286" s="81"/>
      <c r="AE286" s="81"/>
      <c r="AF286" s="81"/>
    </row>
    <row r="287" ht="13.5" customHeight="1">
      <c r="A287" s="88"/>
      <c r="B287" s="128" t="s">
        <v>259</v>
      </c>
      <c r="C287" s="55"/>
      <c r="D287" s="56"/>
      <c r="E287" s="57"/>
      <c r="F287" s="56"/>
      <c r="G287" s="57"/>
      <c r="H287" s="56"/>
      <c r="I287" s="58"/>
      <c r="J287" s="56"/>
      <c r="K287" s="57"/>
      <c r="L287" s="86" t="s">
        <v>22</v>
      </c>
      <c r="M287" s="57"/>
      <c r="N287" s="87"/>
      <c r="O287" s="57"/>
      <c r="P287" s="87"/>
      <c r="Q287" s="57"/>
      <c r="R287" s="87"/>
      <c r="S287" s="57"/>
      <c r="T287" s="87"/>
      <c r="U287" s="57"/>
      <c r="V287" s="56"/>
      <c r="W287" s="57"/>
      <c r="X287" s="146"/>
      <c r="Y287" s="85"/>
      <c r="Z287" s="79"/>
      <c r="AA287" s="80"/>
      <c r="AB287" s="80"/>
      <c r="AC287" s="81"/>
      <c r="AD287" s="81"/>
      <c r="AE287" s="81"/>
      <c r="AF287" s="81"/>
    </row>
    <row r="288" ht="13.5" customHeight="1">
      <c r="A288" s="45">
        <v>15.0</v>
      </c>
      <c r="B288" s="46" t="s">
        <v>260</v>
      </c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8"/>
      <c r="Z288" s="79"/>
      <c r="AA288" s="80"/>
      <c r="AB288" s="80"/>
      <c r="AC288" s="81"/>
      <c r="AD288" s="81"/>
      <c r="AE288" s="81"/>
      <c r="AF288" s="81"/>
    </row>
    <row r="289" ht="13.5" customHeight="1">
      <c r="A289" s="49"/>
      <c r="B289" s="50"/>
      <c r="C289" s="51"/>
      <c r="D289" s="51"/>
      <c r="E289" s="51"/>
      <c r="F289" s="51"/>
      <c r="G289" s="51"/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2"/>
      <c r="Z289" s="79"/>
      <c r="AA289" s="80"/>
      <c r="AB289" s="80"/>
      <c r="AC289" s="81"/>
      <c r="AD289" s="81"/>
      <c r="AE289" s="81"/>
      <c r="AF289" s="81"/>
    </row>
    <row r="290" ht="15.75" customHeight="1">
      <c r="A290" s="88"/>
      <c r="B290" s="127" t="s">
        <v>261</v>
      </c>
      <c r="C290" s="55"/>
      <c r="D290" s="56"/>
      <c r="E290" s="57"/>
      <c r="F290" s="56"/>
      <c r="G290" s="57"/>
      <c r="H290" s="56"/>
      <c r="I290" s="58"/>
      <c r="J290" s="56"/>
      <c r="K290" s="57"/>
      <c r="L290" s="86" t="s">
        <v>22</v>
      </c>
      <c r="M290" s="57"/>
      <c r="N290" s="87"/>
      <c r="O290" s="57"/>
      <c r="P290" s="87"/>
      <c r="Q290" s="57"/>
      <c r="R290" s="87"/>
      <c r="S290" s="57"/>
      <c r="T290" s="87"/>
      <c r="U290" s="57"/>
      <c r="V290" s="56"/>
      <c r="W290" s="57"/>
      <c r="X290" s="62"/>
      <c r="Y290" s="63"/>
      <c r="Z290" s="79"/>
      <c r="AA290" s="80"/>
      <c r="AB290" s="80"/>
      <c r="AC290" s="81"/>
      <c r="AD290" s="81"/>
      <c r="AE290" s="81"/>
      <c r="AF290" s="81"/>
    </row>
    <row r="291" ht="15.75" customHeight="1">
      <c r="A291" s="88"/>
      <c r="B291" s="128" t="s">
        <v>262</v>
      </c>
      <c r="C291" s="55"/>
      <c r="D291" s="56"/>
      <c r="E291" s="57"/>
      <c r="F291" s="56"/>
      <c r="G291" s="57"/>
      <c r="H291" s="56"/>
      <c r="I291" s="58"/>
      <c r="J291" s="56"/>
      <c r="K291" s="57"/>
      <c r="L291" s="86" t="s">
        <v>22</v>
      </c>
      <c r="M291" s="57"/>
      <c r="N291" s="87"/>
      <c r="O291" s="57"/>
      <c r="P291" s="87"/>
      <c r="Q291" s="57"/>
      <c r="R291" s="87"/>
      <c r="S291" s="57"/>
      <c r="T291" s="87"/>
      <c r="U291" s="57"/>
      <c r="V291" s="56"/>
      <c r="W291" s="57"/>
      <c r="X291" s="62"/>
      <c r="Y291" s="63"/>
      <c r="Z291" s="79"/>
      <c r="AA291" s="80"/>
      <c r="AB291" s="80"/>
      <c r="AC291" s="81"/>
      <c r="AD291" s="81"/>
      <c r="AE291" s="81"/>
      <c r="AF291" s="81"/>
    </row>
    <row r="292" ht="15.75" customHeight="1">
      <c r="A292" s="88"/>
      <c r="B292" s="128" t="s">
        <v>263</v>
      </c>
      <c r="C292" s="55"/>
      <c r="D292" s="56"/>
      <c r="E292" s="57"/>
      <c r="F292" s="56"/>
      <c r="G292" s="57"/>
      <c r="H292" s="56"/>
      <c r="I292" s="58"/>
      <c r="J292" s="56"/>
      <c r="K292" s="57"/>
      <c r="L292" s="86" t="s">
        <v>22</v>
      </c>
      <c r="M292" s="57"/>
      <c r="N292" s="87"/>
      <c r="O292" s="57"/>
      <c r="P292" s="87"/>
      <c r="Q292" s="57"/>
      <c r="R292" s="87"/>
      <c r="S292" s="57"/>
      <c r="T292" s="87"/>
      <c r="U292" s="57"/>
      <c r="V292" s="56"/>
      <c r="W292" s="57"/>
      <c r="X292" s="146"/>
      <c r="Y292" s="85"/>
      <c r="Z292" s="79"/>
      <c r="AA292" s="80"/>
      <c r="AB292" s="80"/>
      <c r="AC292" s="81"/>
      <c r="AD292" s="81"/>
      <c r="AE292" s="81"/>
      <c r="AF292" s="81"/>
    </row>
    <row r="293" ht="15.0" customHeight="1">
      <c r="A293" s="88"/>
      <c r="B293" s="128" t="s">
        <v>264</v>
      </c>
      <c r="C293" s="55"/>
      <c r="D293" s="56"/>
      <c r="E293" s="57"/>
      <c r="F293" s="56"/>
      <c r="G293" s="57"/>
      <c r="H293" s="56"/>
      <c r="I293" s="58"/>
      <c r="J293" s="56"/>
      <c r="K293" s="57"/>
      <c r="L293" s="86" t="s">
        <v>22</v>
      </c>
      <c r="M293" s="57"/>
      <c r="N293" s="87"/>
      <c r="O293" s="57"/>
      <c r="P293" s="87"/>
      <c r="Q293" s="57"/>
      <c r="R293" s="87"/>
      <c r="S293" s="57"/>
      <c r="T293" s="87"/>
      <c r="U293" s="57"/>
      <c r="V293" s="56"/>
      <c r="W293" s="57"/>
      <c r="X293" s="146"/>
      <c r="Y293" s="85"/>
      <c r="Z293" s="79"/>
      <c r="AA293" s="80"/>
      <c r="AB293" s="80"/>
      <c r="AC293" s="81"/>
      <c r="AD293" s="81"/>
      <c r="AE293" s="81"/>
      <c r="AF293" s="81"/>
    </row>
    <row r="294" ht="13.5" customHeight="1">
      <c r="A294" s="45">
        <v>16.0</v>
      </c>
      <c r="B294" s="46" t="s">
        <v>265</v>
      </c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8"/>
      <c r="Z294" s="79"/>
      <c r="AA294" s="80"/>
      <c r="AB294" s="80"/>
      <c r="AC294" s="81"/>
      <c r="AD294" s="81"/>
      <c r="AE294" s="81"/>
      <c r="AF294" s="81"/>
    </row>
    <row r="295" ht="13.5" customHeight="1">
      <c r="A295" s="49"/>
      <c r="B295" s="50"/>
      <c r="C295" s="51"/>
      <c r="D295" s="51"/>
      <c r="E295" s="51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2"/>
      <c r="Z295" s="79"/>
      <c r="AA295" s="80"/>
      <c r="AB295" s="80"/>
      <c r="AC295" s="81"/>
      <c r="AD295" s="81"/>
      <c r="AE295" s="81"/>
      <c r="AF295" s="81"/>
    </row>
    <row r="296" ht="15.75" customHeight="1">
      <c r="A296" s="88"/>
      <c r="B296" s="127" t="s">
        <v>266</v>
      </c>
      <c r="C296" s="55"/>
      <c r="D296" s="56"/>
      <c r="E296" s="57"/>
      <c r="F296" s="56"/>
      <c r="G296" s="57"/>
      <c r="H296" s="56"/>
      <c r="I296" s="58"/>
      <c r="J296" s="56"/>
      <c r="K296" s="57"/>
      <c r="L296" s="86" t="s">
        <v>22</v>
      </c>
      <c r="M296" s="57"/>
      <c r="N296" s="87"/>
      <c r="O296" s="57"/>
      <c r="P296" s="87"/>
      <c r="Q296" s="57"/>
      <c r="R296" s="87"/>
      <c r="S296" s="57"/>
      <c r="T296" s="87"/>
      <c r="U296" s="57"/>
      <c r="V296" s="56"/>
      <c r="W296" s="57"/>
      <c r="X296" s="62"/>
      <c r="Y296" s="63"/>
      <c r="Z296" s="79"/>
      <c r="AA296" s="80"/>
      <c r="AB296" s="80"/>
      <c r="AC296" s="81"/>
      <c r="AD296" s="81"/>
      <c r="AE296" s="81"/>
      <c r="AF296" s="81"/>
    </row>
    <row r="297" ht="15.75" customHeight="1">
      <c r="A297" s="88"/>
      <c r="B297" s="128" t="s">
        <v>267</v>
      </c>
      <c r="C297" s="55"/>
      <c r="D297" s="56"/>
      <c r="E297" s="57"/>
      <c r="F297" s="56"/>
      <c r="G297" s="57"/>
      <c r="H297" s="87"/>
      <c r="I297" s="58"/>
      <c r="J297" s="87"/>
      <c r="K297" s="57"/>
      <c r="L297" s="86" t="s">
        <v>22</v>
      </c>
      <c r="M297" s="57"/>
      <c r="N297" s="87"/>
      <c r="O297" s="57"/>
      <c r="P297" s="87"/>
      <c r="Q297" s="57"/>
      <c r="R297" s="87"/>
      <c r="S297" s="57"/>
      <c r="T297" s="87"/>
      <c r="U297" s="57"/>
      <c r="V297" s="56"/>
      <c r="W297" s="57"/>
      <c r="X297" s="62"/>
      <c r="Y297" s="63"/>
      <c r="Z297" s="79"/>
      <c r="AA297" s="80"/>
      <c r="AB297" s="80"/>
      <c r="AC297" s="81"/>
      <c r="AD297" s="81"/>
      <c r="AE297" s="81"/>
      <c r="AF297" s="81"/>
    </row>
    <row r="298" ht="15.75" customHeight="1">
      <c r="A298" s="88"/>
      <c r="B298" s="128" t="s">
        <v>268</v>
      </c>
      <c r="C298" s="55"/>
      <c r="D298" s="56"/>
      <c r="E298" s="57"/>
      <c r="F298" s="56"/>
      <c r="G298" s="57"/>
      <c r="H298" s="87"/>
      <c r="I298" s="58"/>
      <c r="J298" s="87"/>
      <c r="K298" s="57"/>
      <c r="L298" s="86" t="s">
        <v>22</v>
      </c>
      <c r="M298" s="57"/>
      <c r="N298" s="87"/>
      <c r="O298" s="57"/>
      <c r="P298" s="87"/>
      <c r="Q298" s="57"/>
      <c r="R298" s="87"/>
      <c r="S298" s="57"/>
      <c r="T298" s="87"/>
      <c r="U298" s="57"/>
      <c r="V298" s="56"/>
      <c r="W298" s="57"/>
      <c r="X298" s="62"/>
      <c r="Y298" s="63"/>
      <c r="Z298" s="79"/>
      <c r="AA298" s="80"/>
      <c r="AB298" s="80"/>
      <c r="AC298" s="81"/>
      <c r="AD298" s="81"/>
      <c r="AE298" s="81"/>
      <c r="AF298" s="81"/>
    </row>
    <row r="299" ht="15.75" customHeight="1">
      <c r="A299" s="88"/>
      <c r="B299" s="128" t="s">
        <v>269</v>
      </c>
      <c r="C299" s="55"/>
      <c r="D299" s="56"/>
      <c r="E299" s="57"/>
      <c r="F299" s="56"/>
      <c r="G299" s="57"/>
      <c r="H299" s="87"/>
      <c r="I299" s="58"/>
      <c r="J299" s="87"/>
      <c r="K299" s="57"/>
      <c r="L299" s="86" t="s">
        <v>22</v>
      </c>
      <c r="M299" s="57"/>
      <c r="N299" s="87"/>
      <c r="O299" s="57"/>
      <c r="P299" s="87"/>
      <c r="Q299" s="57"/>
      <c r="R299" s="87"/>
      <c r="S299" s="57"/>
      <c r="T299" s="87"/>
      <c r="U299" s="57"/>
      <c r="V299" s="56"/>
      <c r="W299" s="57"/>
      <c r="X299" s="62"/>
      <c r="Y299" s="63"/>
      <c r="Z299" s="79"/>
      <c r="AA299" s="80"/>
      <c r="AB299" s="80"/>
      <c r="AC299" s="81"/>
      <c r="AD299" s="81"/>
      <c r="AE299" s="81"/>
      <c r="AF299" s="81"/>
    </row>
    <row r="300" ht="13.5" customHeight="1">
      <c r="A300" s="45">
        <v>17.0</v>
      </c>
      <c r="B300" s="46" t="s">
        <v>270</v>
      </c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8"/>
      <c r="Z300" s="79"/>
      <c r="AA300" s="80"/>
      <c r="AB300" s="80"/>
      <c r="AC300" s="81"/>
      <c r="AD300" s="81"/>
      <c r="AE300" s="81"/>
      <c r="AF300" s="81"/>
    </row>
    <row r="301" ht="17.25" customHeight="1">
      <c r="A301" s="49"/>
      <c r="B301" s="50"/>
      <c r="C301" s="51"/>
      <c r="D301" s="51"/>
      <c r="E301" s="51"/>
      <c r="F301" s="51"/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2"/>
      <c r="Z301" s="79"/>
      <c r="AA301" s="80"/>
      <c r="AB301" s="80"/>
      <c r="AC301" s="81"/>
      <c r="AD301" s="81"/>
      <c r="AE301" s="81"/>
      <c r="AF301" s="81"/>
    </row>
    <row r="302" ht="15.75" customHeight="1">
      <c r="A302" s="88"/>
      <c r="B302" s="127" t="s">
        <v>271</v>
      </c>
      <c r="C302" s="55"/>
      <c r="D302" s="56"/>
      <c r="E302" s="57"/>
      <c r="F302" s="56"/>
      <c r="G302" s="57"/>
      <c r="H302" s="56"/>
      <c r="I302" s="58"/>
      <c r="J302" s="56"/>
      <c r="K302" s="57"/>
      <c r="L302" s="86" t="s">
        <v>22</v>
      </c>
      <c r="M302" s="57"/>
      <c r="N302" s="87"/>
      <c r="O302" s="57"/>
      <c r="P302" s="87"/>
      <c r="Q302" s="57"/>
      <c r="R302" s="87"/>
      <c r="S302" s="57"/>
      <c r="T302" s="87"/>
      <c r="U302" s="57"/>
      <c r="V302" s="56"/>
      <c r="W302" s="57"/>
      <c r="X302" s="62"/>
      <c r="Y302" s="63"/>
      <c r="Z302" s="79"/>
      <c r="AA302" s="80"/>
      <c r="AB302" s="80"/>
      <c r="AC302" s="81"/>
      <c r="AD302" s="81"/>
      <c r="AE302" s="81"/>
      <c r="AF302" s="81"/>
    </row>
    <row r="303" ht="15.75" customHeight="1">
      <c r="A303" s="88"/>
      <c r="B303" s="128" t="s">
        <v>272</v>
      </c>
      <c r="C303" s="55"/>
      <c r="D303" s="56"/>
      <c r="E303" s="57"/>
      <c r="F303" s="56"/>
      <c r="G303" s="57"/>
      <c r="H303" s="56"/>
      <c r="I303" s="58"/>
      <c r="J303" s="56"/>
      <c r="K303" s="57"/>
      <c r="L303" s="86" t="s">
        <v>22</v>
      </c>
      <c r="M303" s="57"/>
      <c r="N303" s="87"/>
      <c r="O303" s="57"/>
      <c r="P303" s="87"/>
      <c r="Q303" s="57"/>
      <c r="R303" s="87"/>
      <c r="S303" s="57"/>
      <c r="T303" s="87"/>
      <c r="U303" s="57"/>
      <c r="V303" s="56"/>
      <c r="W303" s="57"/>
      <c r="X303" s="62"/>
      <c r="Y303" s="63"/>
      <c r="Z303" s="79"/>
      <c r="AA303" s="80"/>
      <c r="AB303" s="80"/>
      <c r="AC303" s="81"/>
      <c r="AD303" s="81"/>
      <c r="AE303" s="81"/>
      <c r="AF303" s="81"/>
    </row>
    <row r="304" ht="15.75" customHeight="1">
      <c r="A304" s="88"/>
      <c r="B304" s="128" t="s">
        <v>273</v>
      </c>
      <c r="C304" s="55"/>
      <c r="D304" s="56"/>
      <c r="E304" s="57"/>
      <c r="F304" s="56"/>
      <c r="G304" s="57"/>
      <c r="H304" s="56"/>
      <c r="I304" s="58"/>
      <c r="J304" s="56"/>
      <c r="K304" s="57"/>
      <c r="L304" s="86" t="s">
        <v>22</v>
      </c>
      <c r="M304" s="57"/>
      <c r="N304" s="87"/>
      <c r="O304" s="57"/>
      <c r="P304" s="87"/>
      <c r="Q304" s="57"/>
      <c r="R304" s="87"/>
      <c r="S304" s="57"/>
      <c r="T304" s="87"/>
      <c r="U304" s="57"/>
      <c r="V304" s="56"/>
      <c r="W304" s="57"/>
      <c r="X304" s="62"/>
      <c r="Y304" s="63"/>
      <c r="Z304" s="79"/>
      <c r="AA304" s="80"/>
      <c r="AB304" s="80"/>
      <c r="AC304" s="81"/>
      <c r="AD304" s="81"/>
      <c r="AE304" s="81"/>
      <c r="AF304" s="81"/>
    </row>
    <row r="305" ht="15.75" customHeight="1">
      <c r="A305" s="88"/>
      <c r="B305" s="127" t="s">
        <v>274</v>
      </c>
      <c r="C305" s="55"/>
      <c r="D305" s="56"/>
      <c r="E305" s="57"/>
      <c r="F305" s="56"/>
      <c r="G305" s="57"/>
      <c r="H305" s="56"/>
      <c r="I305" s="57"/>
      <c r="J305" s="56"/>
      <c r="K305" s="57"/>
      <c r="L305" s="86" t="s">
        <v>22</v>
      </c>
      <c r="M305" s="57"/>
      <c r="N305" s="87"/>
      <c r="O305" s="57"/>
      <c r="P305" s="87"/>
      <c r="Q305" s="57"/>
      <c r="R305" s="87"/>
      <c r="S305" s="57"/>
      <c r="T305" s="87"/>
      <c r="U305" s="57"/>
      <c r="V305" s="56"/>
      <c r="W305" s="57"/>
      <c r="X305" s="62"/>
      <c r="Y305" s="63"/>
      <c r="Z305" s="79"/>
      <c r="AA305" s="80"/>
      <c r="AB305" s="80"/>
      <c r="AC305" s="81"/>
      <c r="AD305" s="81"/>
      <c r="AE305" s="81"/>
      <c r="AF305" s="81"/>
    </row>
    <row r="306" ht="15.75" customHeight="1">
      <c r="A306" s="88"/>
      <c r="B306" s="128" t="s">
        <v>275</v>
      </c>
      <c r="C306" s="55"/>
      <c r="D306" s="56"/>
      <c r="E306" s="57"/>
      <c r="F306" s="56"/>
      <c r="G306" s="57"/>
      <c r="H306" s="56"/>
      <c r="I306" s="58"/>
      <c r="J306" s="56"/>
      <c r="K306" s="57"/>
      <c r="L306" s="86" t="s">
        <v>22</v>
      </c>
      <c r="M306" s="57"/>
      <c r="N306" s="87"/>
      <c r="O306" s="57"/>
      <c r="P306" s="87"/>
      <c r="Q306" s="57"/>
      <c r="R306" s="87"/>
      <c r="S306" s="57"/>
      <c r="T306" s="87"/>
      <c r="U306" s="57"/>
      <c r="V306" s="56"/>
      <c r="W306" s="57"/>
      <c r="X306" s="62"/>
      <c r="Y306" s="63"/>
      <c r="Z306" s="79"/>
      <c r="AA306" s="80"/>
      <c r="AB306" s="80"/>
      <c r="AC306" s="81"/>
      <c r="AD306" s="81"/>
      <c r="AE306" s="81"/>
      <c r="AF306" s="81"/>
    </row>
    <row r="307" ht="24.0" customHeight="1">
      <c r="A307" s="88"/>
      <c r="B307" s="128" t="s">
        <v>276</v>
      </c>
      <c r="C307" s="55"/>
      <c r="D307" s="56"/>
      <c r="E307" s="57"/>
      <c r="F307" s="56"/>
      <c r="G307" s="57"/>
      <c r="H307" s="56"/>
      <c r="I307" s="57"/>
      <c r="J307" s="56"/>
      <c r="K307" s="57"/>
      <c r="L307" s="86" t="s">
        <v>22</v>
      </c>
      <c r="M307" s="57"/>
      <c r="N307" s="87"/>
      <c r="O307" s="57"/>
      <c r="P307" s="87"/>
      <c r="Q307" s="57"/>
      <c r="R307" s="87"/>
      <c r="S307" s="57"/>
      <c r="T307" s="87"/>
      <c r="U307" s="57"/>
      <c r="V307" s="56"/>
      <c r="W307" s="57"/>
      <c r="X307" s="62"/>
      <c r="Y307" s="63"/>
      <c r="Z307" s="79"/>
      <c r="AA307" s="80"/>
      <c r="AB307" s="80"/>
      <c r="AC307" s="81"/>
      <c r="AD307" s="81"/>
      <c r="AE307" s="81"/>
      <c r="AF307" s="81"/>
    </row>
    <row r="308" ht="36.75" customHeight="1">
      <c r="A308" s="108" t="s">
        <v>277</v>
      </c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4"/>
      <c r="Z308" s="79"/>
      <c r="AA308" s="80"/>
      <c r="AB308" s="80"/>
      <c r="AC308" s="81"/>
      <c r="AD308" s="81"/>
      <c r="AE308" s="81"/>
      <c r="AF308" s="81"/>
    </row>
    <row r="309" ht="16.5" customHeight="1">
      <c r="A309" s="42" t="s">
        <v>278</v>
      </c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4"/>
      <c r="Z309" s="79"/>
      <c r="AA309" s="80"/>
      <c r="AB309" s="80"/>
      <c r="AC309" s="81"/>
      <c r="AD309" s="81"/>
      <c r="AE309" s="81"/>
      <c r="AF309" s="81"/>
    </row>
    <row r="310" ht="20.25" customHeight="1">
      <c r="A310" s="147">
        <v>1.0</v>
      </c>
      <c r="B310" s="148" t="s">
        <v>279</v>
      </c>
      <c r="C310" s="88"/>
      <c r="D310" s="149" t="s">
        <v>280</v>
      </c>
      <c r="E310" s="150"/>
      <c r="F310" s="149" t="s">
        <v>281</v>
      </c>
      <c r="G310" s="150"/>
      <c r="H310" s="149" t="s">
        <v>282</v>
      </c>
      <c r="I310" s="150"/>
      <c r="J310" s="151" t="s">
        <v>283</v>
      </c>
      <c r="K310" s="44"/>
      <c r="L310" s="151" t="s">
        <v>284</v>
      </c>
      <c r="M310" s="44"/>
      <c r="N310" s="151" t="s">
        <v>285</v>
      </c>
      <c r="O310" s="44"/>
      <c r="P310" s="151" t="s">
        <v>286</v>
      </c>
      <c r="Q310" s="44"/>
      <c r="R310" s="151" t="s">
        <v>287</v>
      </c>
      <c r="S310" s="44"/>
      <c r="T310" s="151" t="s">
        <v>288</v>
      </c>
      <c r="U310" s="44"/>
      <c r="V310" s="151" t="s">
        <v>289</v>
      </c>
      <c r="W310" s="44"/>
      <c r="X310" s="152"/>
      <c r="Y310" s="153"/>
      <c r="Z310" s="79"/>
      <c r="AA310" s="80"/>
      <c r="AB310" s="80"/>
      <c r="AC310" s="81"/>
      <c r="AD310" s="81"/>
      <c r="AE310" s="81"/>
      <c r="AF310" s="81"/>
    </row>
    <row r="311" ht="19.5" customHeight="1">
      <c r="A311" s="154"/>
      <c r="B311" s="155" t="s">
        <v>290</v>
      </c>
      <c r="C311" s="115"/>
      <c r="D311" s="156"/>
      <c r="E311" s="78"/>
      <c r="F311" s="157"/>
      <c r="G311" s="78"/>
      <c r="H311" s="157"/>
      <c r="I311" s="78"/>
      <c r="J311" s="157"/>
      <c r="K311" s="157"/>
      <c r="L311" s="157"/>
      <c r="M311" s="157"/>
      <c r="N311" s="157"/>
      <c r="O311" s="157"/>
      <c r="P311" s="157"/>
      <c r="Q311" s="157"/>
      <c r="R311" s="157"/>
      <c r="S311" s="157"/>
      <c r="T311" s="157"/>
      <c r="U311" s="157"/>
      <c r="V311" s="157"/>
      <c r="W311" s="157"/>
      <c r="X311" s="146"/>
      <c r="Y311" s="158"/>
      <c r="Z311" s="79"/>
      <c r="AA311" s="80"/>
      <c r="AB311" s="80"/>
      <c r="AC311" s="81"/>
      <c r="AD311" s="81"/>
      <c r="AE311" s="81"/>
      <c r="AF311" s="81"/>
    </row>
    <row r="312" ht="16.5" customHeight="1">
      <c r="A312" s="159"/>
      <c r="B312" s="159"/>
      <c r="C312" s="159"/>
      <c r="D312" s="160" t="s">
        <v>291</v>
      </c>
      <c r="E312" s="44"/>
      <c r="F312" s="160" t="s">
        <v>292</v>
      </c>
      <c r="G312" s="44"/>
      <c r="H312" s="160" t="s">
        <v>293</v>
      </c>
      <c r="I312" s="44"/>
      <c r="J312" s="160" t="s">
        <v>294</v>
      </c>
      <c r="K312" s="44"/>
      <c r="L312" s="160"/>
      <c r="M312" s="44"/>
      <c r="N312" s="160"/>
      <c r="O312" s="44"/>
      <c r="P312" s="160"/>
      <c r="Q312" s="44"/>
      <c r="R312" s="161"/>
      <c r="S312" s="48"/>
      <c r="T312" s="161"/>
      <c r="U312" s="48"/>
      <c r="V312" s="161"/>
      <c r="W312" s="48"/>
      <c r="X312" s="162"/>
      <c r="Y312" s="158"/>
      <c r="Z312" s="79"/>
      <c r="AA312" s="80"/>
      <c r="AB312" s="80"/>
      <c r="AC312" s="81"/>
      <c r="AD312" s="81"/>
      <c r="AE312" s="81"/>
      <c r="AF312" s="81"/>
    </row>
    <row r="313" ht="20.25" customHeight="1">
      <c r="A313" s="49"/>
      <c r="B313" s="49"/>
      <c r="C313" s="49"/>
      <c r="D313" s="157"/>
      <c r="E313" s="157"/>
      <c r="F313" s="157"/>
      <c r="G313" s="157"/>
      <c r="H313" s="157"/>
      <c r="I313" s="157"/>
      <c r="J313" s="157"/>
      <c r="K313" s="157"/>
      <c r="L313" s="87"/>
      <c r="M313" s="57"/>
      <c r="N313" s="87"/>
      <c r="O313" s="57"/>
      <c r="P313" s="87"/>
      <c r="Q313" s="57"/>
      <c r="R313" s="50"/>
      <c r="S313" s="52"/>
      <c r="T313" s="50"/>
      <c r="U313" s="52"/>
      <c r="V313" s="50"/>
      <c r="W313" s="52"/>
      <c r="X313" s="163"/>
      <c r="Y313" s="164"/>
      <c r="Z313" s="79"/>
      <c r="AA313" s="80"/>
      <c r="AB313" s="80"/>
      <c r="AC313" s="81"/>
      <c r="AD313" s="81"/>
      <c r="AE313" s="81"/>
      <c r="AF313" s="81"/>
    </row>
    <row r="314" ht="15.75" customHeight="1">
      <c r="A314" s="165">
        <v>2.0</v>
      </c>
      <c r="B314" s="148" t="s">
        <v>295</v>
      </c>
      <c r="C314" s="88"/>
      <c r="D314" s="149" t="s">
        <v>296</v>
      </c>
      <c r="E314" s="150"/>
      <c r="F314" s="149" t="s">
        <v>297</v>
      </c>
      <c r="G314" s="150"/>
      <c r="H314" s="149" t="s">
        <v>282</v>
      </c>
      <c r="I314" s="150"/>
      <c r="J314" s="151" t="s">
        <v>298</v>
      </c>
      <c r="K314" s="44"/>
      <c r="L314" s="151" t="s">
        <v>299</v>
      </c>
      <c r="M314" s="44"/>
      <c r="N314" s="151" t="s">
        <v>300</v>
      </c>
      <c r="O314" s="44"/>
      <c r="P314" s="151" t="s">
        <v>301</v>
      </c>
      <c r="Q314" s="44"/>
      <c r="R314" s="151" t="s">
        <v>302</v>
      </c>
      <c r="S314" s="44"/>
      <c r="T314" s="151" t="s">
        <v>303</v>
      </c>
      <c r="U314" s="44"/>
      <c r="V314" s="151" t="s">
        <v>304</v>
      </c>
      <c r="W314" s="44"/>
      <c r="X314" s="152"/>
      <c r="Y314" s="158"/>
      <c r="Z314" s="79"/>
      <c r="AA314" s="80"/>
      <c r="AB314" s="80"/>
      <c r="AC314" s="81"/>
      <c r="AD314" s="81"/>
      <c r="AE314" s="81"/>
      <c r="AF314" s="81"/>
    </row>
    <row r="315" ht="20.25" customHeight="1">
      <c r="A315" s="154"/>
      <c r="B315" s="45" t="s">
        <v>290</v>
      </c>
      <c r="C315" s="115"/>
      <c r="D315" s="156"/>
      <c r="E315" s="78"/>
      <c r="F315" s="157"/>
      <c r="G315" s="78"/>
      <c r="H315" s="157"/>
      <c r="I315" s="78"/>
      <c r="J315" s="157"/>
      <c r="K315" s="157"/>
      <c r="L315" s="157"/>
      <c r="M315" s="157"/>
      <c r="N315" s="157"/>
      <c r="O315" s="157"/>
      <c r="P315" s="157"/>
      <c r="Q315" s="157"/>
      <c r="R315" s="157"/>
      <c r="S315" s="157"/>
      <c r="T315" s="157"/>
      <c r="U315" s="157"/>
      <c r="V315" s="157"/>
      <c r="W315" s="157"/>
      <c r="X315" s="166"/>
      <c r="Y315" s="164"/>
      <c r="Z315" s="79"/>
      <c r="AA315" s="80"/>
      <c r="AB315" s="80"/>
      <c r="AC315" s="81"/>
      <c r="AD315" s="81"/>
      <c r="AE315" s="81"/>
      <c r="AF315" s="81"/>
    </row>
    <row r="316" ht="20.25" customHeight="1">
      <c r="A316" s="159"/>
      <c r="B316" s="159"/>
      <c r="C316" s="159"/>
      <c r="D316" s="160" t="s">
        <v>291</v>
      </c>
      <c r="E316" s="44"/>
      <c r="F316" s="160" t="s">
        <v>292</v>
      </c>
      <c r="G316" s="44"/>
      <c r="H316" s="160" t="s">
        <v>293</v>
      </c>
      <c r="I316" s="44"/>
      <c r="J316" s="160" t="s">
        <v>294</v>
      </c>
      <c r="K316" s="44"/>
      <c r="L316" s="160"/>
      <c r="M316" s="44"/>
      <c r="N316" s="160"/>
      <c r="O316" s="44"/>
      <c r="P316" s="160"/>
      <c r="Q316" s="44"/>
      <c r="R316" s="161"/>
      <c r="S316" s="48"/>
      <c r="T316" s="161"/>
      <c r="U316" s="48"/>
      <c r="V316" s="161"/>
      <c r="W316" s="48"/>
      <c r="X316" s="162"/>
      <c r="Y316" s="158"/>
      <c r="Z316" s="79"/>
      <c r="AA316" s="80"/>
      <c r="AB316" s="80"/>
      <c r="AC316" s="81"/>
      <c r="AD316" s="81"/>
      <c r="AE316" s="81"/>
      <c r="AF316" s="81"/>
    </row>
    <row r="317" ht="20.25" customHeight="1">
      <c r="A317" s="49"/>
      <c r="B317" s="49"/>
      <c r="C317" s="49"/>
      <c r="D317" s="157"/>
      <c r="E317" s="157"/>
      <c r="F317" s="157"/>
      <c r="G317" s="157"/>
      <c r="H317" s="157"/>
      <c r="I317" s="157"/>
      <c r="J317" s="157"/>
      <c r="K317" s="157"/>
      <c r="L317" s="87"/>
      <c r="M317" s="57"/>
      <c r="N317" s="87"/>
      <c r="O317" s="57"/>
      <c r="P317" s="87"/>
      <c r="Q317" s="57"/>
      <c r="R317" s="50"/>
      <c r="S317" s="52"/>
      <c r="T317" s="50"/>
      <c r="U317" s="52"/>
      <c r="V317" s="50"/>
      <c r="W317" s="52"/>
      <c r="X317" s="163"/>
      <c r="Y317" s="164"/>
      <c r="Z317" s="79"/>
      <c r="AA317" s="80"/>
      <c r="AB317" s="80"/>
      <c r="AC317" s="81"/>
      <c r="AD317" s="81"/>
      <c r="AE317" s="81"/>
      <c r="AF317" s="81"/>
    </row>
    <row r="318" ht="18.75" customHeight="1">
      <c r="A318" s="165">
        <v>3.0</v>
      </c>
      <c r="B318" s="148" t="s">
        <v>305</v>
      </c>
      <c r="C318" s="88"/>
      <c r="D318" s="149" t="s">
        <v>306</v>
      </c>
      <c r="E318" s="150"/>
      <c r="F318" s="149" t="s">
        <v>307</v>
      </c>
      <c r="G318" s="150"/>
      <c r="H318" s="149" t="s">
        <v>282</v>
      </c>
      <c r="I318" s="150"/>
      <c r="J318" s="151" t="s">
        <v>308</v>
      </c>
      <c r="K318" s="44"/>
      <c r="L318" s="151" t="s">
        <v>309</v>
      </c>
      <c r="M318" s="44"/>
      <c r="N318" s="151" t="s">
        <v>310</v>
      </c>
      <c r="O318" s="44"/>
      <c r="P318" s="151" t="s">
        <v>311</v>
      </c>
      <c r="Q318" s="44"/>
      <c r="R318" s="151" t="s">
        <v>312</v>
      </c>
      <c r="S318" s="44"/>
      <c r="T318" s="151" t="s">
        <v>313</v>
      </c>
      <c r="U318" s="44"/>
      <c r="V318" s="151" t="s">
        <v>314</v>
      </c>
      <c r="W318" s="44"/>
      <c r="X318" s="152"/>
      <c r="Y318" s="167"/>
      <c r="Z318" s="79"/>
      <c r="AA318" s="80"/>
      <c r="AB318" s="80"/>
      <c r="AC318" s="81"/>
      <c r="AD318" s="81"/>
      <c r="AE318" s="81"/>
      <c r="AF318" s="81"/>
    </row>
    <row r="319" ht="20.25" customHeight="1">
      <c r="A319" s="154"/>
      <c r="B319" s="45" t="s">
        <v>290</v>
      </c>
      <c r="C319" s="115"/>
      <c r="D319" s="156"/>
      <c r="E319" s="78"/>
      <c r="F319" s="157"/>
      <c r="G319" s="78"/>
      <c r="H319" s="157"/>
      <c r="I319" s="78"/>
      <c r="J319" s="157"/>
      <c r="K319" s="157"/>
      <c r="L319" s="157"/>
      <c r="M319" s="157"/>
      <c r="N319" s="157"/>
      <c r="O319" s="157"/>
      <c r="P319" s="157"/>
      <c r="Q319" s="157"/>
      <c r="R319" s="157"/>
      <c r="S319" s="157"/>
      <c r="T319" s="157"/>
      <c r="U319" s="157"/>
      <c r="V319" s="157"/>
      <c r="W319" s="157"/>
      <c r="X319" s="168"/>
      <c r="Y319" s="164"/>
      <c r="Z319" s="79"/>
      <c r="AA319" s="80"/>
      <c r="AB319" s="80"/>
      <c r="AC319" s="81"/>
      <c r="AD319" s="81"/>
      <c r="AE319" s="81"/>
      <c r="AF319" s="81"/>
    </row>
    <row r="320" ht="18.0" customHeight="1">
      <c r="A320" s="159"/>
      <c r="B320" s="159"/>
      <c r="C320" s="159"/>
      <c r="D320" s="160" t="s">
        <v>291</v>
      </c>
      <c r="E320" s="44"/>
      <c r="F320" s="160" t="s">
        <v>292</v>
      </c>
      <c r="G320" s="44"/>
      <c r="H320" s="160" t="s">
        <v>293</v>
      </c>
      <c r="I320" s="44"/>
      <c r="J320" s="160" t="s">
        <v>294</v>
      </c>
      <c r="K320" s="44"/>
      <c r="L320" s="160"/>
      <c r="M320" s="44"/>
      <c r="N320" s="160"/>
      <c r="O320" s="44"/>
      <c r="P320" s="160"/>
      <c r="Q320" s="44"/>
      <c r="R320" s="161"/>
      <c r="S320" s="48"/>
      <c r="T320" s="161"/>
      <c r="U320" s="48"/>
      <c r="V320" s="161"/>
      <c r="W320" s="48"/>
      <c r="X320" s="162"/>
      <c r="Y320" s="158"/>
      <c r="Z320" s="79"/>
      <c r="AA320" s="80"/>
      <c r="AB320" s="80"/>
      <c r="AC320" s="81"/>
      <c r="AD320" s="81"/>
      <c r="AE320" s="81"/>
      <c r="AF320" s="81"/>
    </row>
    <row r="321" ht="18.0" customHeight="1">
      <c r="A321" s="49"/>
      <c r="B321" s="49"/>
      <c r="C321" s="49"/>
      <c r="D321" s="157"/>
      <c r="E321" s="157"/>
      <c r="F321" s="157"/>
      <c r="G321" s="157"/>
      <c r="H321" s="157"/>
      <c r="I321" s="157"/>
      <c r="J321" s="157"/>
      <c r="K321" s="157"/>
      <c r="L321" s="87"/>
      <c r="M321" s="57"/>
      <c r="N321" s="87"/>
      <c r="O321" s="57"/>
      <c r="P321" s="87"/>
      <c r="Q321" s="57"/>
      <c r="R321" s="50"/>
      <c r="S321" s="52"/>
      <c r="T321" s="50"/>
      <c r="U321" s="52"/>
      <c r="V321" s="50"/>
      <c r="W321" s="52"/>
      <c r="X321" s="163"/>
      <c r="Y321" s="164"/>
      <c r="Z321" s="79"/>
      <c r="AA321" s="80"/>
      <c r="AB321" s="80"/>
      <c r="AC321" s="81"/>
      <c r="AD321" s="81"/>
      <c r="AE321" s="81"/>
      <c r="AF321" s="81"/>
    </row>
    <row r="322" ht="30.75" customHeight="1">
      <c r="A322" s="108" t="s">
        <v>315</v>
      </c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4"/>
      <c r="Z322" s="79"/>
      <c r="AA322" s="80"/>
      <c r="AB322" s="80"/>
      <c r="AC322" s="81"/>
      <c r="AD322" s="81"/>
      <c r="AE322" s="81"/>
      <c r="AF322" s="81"/>
    </row>
    <row r="323" ht="15.75" customHeight="1">
      <c r="A323" s="42" t="s">
        <v>18</v>
      </c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4"/>
      <c r="Z323" s="79"/>
      <c r="AA323" s="80"/>
      <c r="AB323" s="80"/>
      <c r="AC323" s="81"/>
      <c r="AD323" s="81"/>
      <c r="AE323" s="81"/>
      <c r="AF323" s="81"/>
    </row>
    <row r="324" ht="21.75" customHeight="1">
      <c r="A324" s="147">
        <v>1.0</v>
      </c>
      <c r="B324" s="148" t="s">
        <v>316</v>
      </c>
      <c r="C324" s="88"/>
      <c r="D324" s="169" t="s">
        <v>317</v>
      </c>
      <c r="E324" s="150"/>
      <c r="F324" s="169" t="s">
        <v>318</v>
      </c>
      <c r="G324" s="150"/>
      <c r="H324" s="169" t="s">
        <v>319</v>
      </c>
      <c r="I324" s="150"/>
      <c r="J324" s="169" t="s">
        <v>320</v>
      </c>
      <c r="K324" s="150"/>
      <c r="L324" s="169" t="s">
        <v>321</v>
      </c>
      <c r="M324" s="150"/>
      <c r="N324" s="169" t="s">
        <v>322</v>
      </c>
      <c r="O324" s="150"/>
      <c r="P324" s="169" t="s">
        <v>323</v>
      </c>
      <c r="Q324" s="150"/>
      <c r="R324" s="169" t="s">
        <v>324</v>
      </c>
      <c r="S324" s="150"/>
      <c r="T324" s="169" t="s">
        <v>325</v>
      </c>
      <c r="U324" s="150"/>
      <c r="V324" s="169" t="s">
        <v>326</v>
      </c>
      <c r="W324" s="150"/>
      <c r="X324" s="170"/>
      <c r="Y324" s="171"/>
      <c r="Z324" s="81"/>
      <c r="AA324" s="80"/>
      <c r="AB324" s="80"/>
      <c r="AC324" s="81"/>
      <c r="AD324" s="81"/>
      <c r="AE324" s="81"/>
      <c r="AF324" s="81"/>
    </row>
    <row r="325" ht="16.5" customHeight="1">
      <c r="A325" s="154"/>
      <c r="B325" s="45" t="s">
        <v>327</v>
      </c>
      <c r="C325" s="115"/>
      <c r="D325" s="172"/>
      <c r="E325" s="119"/>
      <c r="F325" s="124"/>
      <c r="G325" s="119"/>
      <c r="H325" s="124"/>
      <c r="I325" s="119"/>
      <c r="J325" s="124"/>
      <c r="K325" s="119"/>
      <c r="L325" s="124"/>
      <c r="M325" s="119"/>
      <c r="N325" s="124"/>
      <c r="O325" s="119"/>
      <c r="P325" s="124"/>
      <c r="Q325" s="119"/>
      <c r="R325" s="124"/>
      <c r="S325" s="119"/>
      <c r="T325" s="124"/>
      <c r="U325" s="119"/>
      <c r="V325" s="124"/>
      <c r="W325" s="119"/>
      <c r="X325" s="173"/>
      <c r="Y325" s="164" t="s">
        <v>328</v>
      </c>
      <c r="Z325" s="81"/>
      <c r="AA325" s="80"/>
      <c r="AB325" s="80"/>
      <c r="AC325" s="81"/>
      <c r="AD325" s="81"/>
      <c r="AE325" s="81"/>
      <c r="AF325" s="81"/>
    </row>
    <row r="326" ht="20.25" customHeight="1">
      <c r="A326" s="159"/>
      <c r="B326" s="159"/>
      <c r="C326" s="159"/>
      <c r="D326" s="169" t="s">
        <v>329</v>
      </c>
      <c r="E326" s="150"/>
      <c r="F326" s="169" t="s">
        <v>330</v>
      </c>
      <c r="G326" s="150"/>
      <c r="H326" s="169" t="s">
        <v>331</v>
      </c>
      <c r="I326" s="150"/>
      <c r="J326" s="169" t="s">
        <v>332</v>
      </c>
      <c r="K326" s="150"/>
      <c r="L326" s="169" t="s">
        <v>333</v>
      </c>
      <c r="M326" s="150"/>
      <c r="N326" s="169" t="s">
        <v>334</v>
      </c>
      <c r="O326" s="150"/>
      <c r="P326" s="169" t="s">
        <v>335</v>
      </c>
      <c r="Q326" s="150"/>
      <c r="R326" s="169" t="s">
        <v>336</v>
      </c>
      <c r="S326" s="150"/>
      <c r="T326" s="169" t="s">
        <v>337</v>
      </c>
      <c r="U326" s="150"/>
      <c r="V326" s="169" t="s">
        <v>338</v>
      </c>
      <c r="W326" s="150"/>
      <c r="X326" s="170"/>
      <c r="Y326" s="158"/>
      <c r="Z326" s="81"/>
      <c r="AA326" s="80"/>
      <c r="AB326" s="80"/>
      <c r="AC326" s="81"/>
      <c r="AD326" s="81"/>
      <c r="AE326" s="81"/>
      <c r="AF326" s="81"/>
    </row>
    <row r="327" ht="16.5" customHeight="1">
      <c r="A327" s="159"/>
      <c r="B327" s="159"/>
      <c r="C327" s="159"/>
      <c r="D327" s="172"/>
      <c r="E327" s="119"/>
      <c r="F327" s="174"/>
      <c r="G327" s="119"/>
      <c r="H327" s="124"/>
      <c r="I327" s="119"/>
      <c r="J327" s="124"/>
      <c r="K327" s="119"/>
      <c r="L327" s="124"/>
      <c r="M327" s="119"/>
      <c r="N327" s="124"/>
      <c r="O327" s="119"/>
      <c r="P327" s="124"/>
      <c r="Q327" s="119"/>
      <c r="R327" s="124"/>
      <c r="S327" s="119"/>
      <c r="T327" s="124"/>
      <c r="U327" s="119"/>
      <c r="V327" s="124"/>
      <c r="W327" s="119"/>
      <c r="X327" s="173"/>
      <c r="Y327" s="164"/>
      <c r="Z327" s="81"/>
      <c r="AA327" s="80"/>
      <c r="AB327" s="80"/>
      <c r="AC327" s="81"/>
      <c r="AD327" s="81"/>
      <c r="AE327" s="81"/>
      <c r="AF327" s="81"/>
    </row>
    <row r="328" ht="16.5" customHeight="1">
      <c r="A328" s="159"/>
      <c r="B328" s="159"/>
      <c r="C328" s="159"/>
      <c r="D328" s="169" t="s">
        <v>339</v>
      </c>
      <c r="E328" s="150"/>
      <c r="F328" s="169" t="s">
        <v>340</v>
      </c>
      <c r="G328" s="150"/>
      <c r="H328" s="169" t="s">
        <v>341</v>
      </c>
      <c r="I328" s="150"/>
      <c r="J328" s="169" t="s">
        <v>342</v>
      </c>
      <c r="K328" s="150"/>
      <c r="L328" s="169" t="s">
        <v>343</v>
      </c>
      <c r="M328" s="150"/>
      <c r="N328" s="169" t="s">
        <v>344</v>
      </c>
      <c r="O328" s="150"/>
      <c r="P328" s="169" t="s">
        <v>345</v>
      </c>
      <c r="Q328" s="150"/>
      <c r="R328" s="169" t="s">
        <v>346</v>
      </c>
      <c r="S328" s="150"/>
      <c r="T328" s="169" t="s">
        <v>347</v>
      </c>
      <c r="U328" s="150"/>
      <c r="V328" s="169" t="s">
        <v>348</v>
      </c>
      <c r="W328" s="150"/>
      <c r="X328" s="170"/>
      <c r="Y328" s="164"/>
      <c r="Z328" s="81"/>
      <c r="AA328" s="80"/>
      <c r="AB328" s="80"/>
      <c r="AC328" s="81"/>
      <c r="AD328" s="81"/>
      <c r="AE328" s="81"/>
      <c r="AF328" s="81"/>
    </row>
    <row r="329" ht="16.5" customHeight="1">
      <c r="A329" s="159"/>
      <c r="B329" s="159"/>
      <c r="C329" s="159"/>
      <c r="D329" s="172"/>
      <c r="E329" s="119"/>
      <c r="F329" s="174"/>
      <c r="G329" s="119"/>
      <c r="H329" s="124"/>
      <c r="I329" s="119"/>
      <c r="J329" s="124"/>
      <c r="K329" s="119"/>
      <c r="L329" s="172"/>
      <c r="M329" s="119"/>
      <c r="N329" s="172"/>
      <c r="O329" s="119"/>
      <c r="P329" s="172"/>
      <c r="Q329" s="119"/>
      <c r="R329" s="172"/>
      <c r="S329" s="119"/>
      <c r="T329" s="172"/>
      <c r="U329" s="119"/>
      <c r="V329" s="172"/>
      <c r="W329" s="119"/>
      <c r="X329" s="173"/>
      <c r="Y329" s="164"/>
      <c r="Z329" s="81"/>
      <c r="AA329" s="80"/>
      <c r="AB329" s="80"/>
      <c r="AC329" s="81"/>
      <c r="AD329" s="81"/>
      <c r="AE329" s="81"/>
      <c r="AF329" s="81"/>
    </row>
    <row r="330" ht="18.75" customHeight="1">
      <c r="A330" s="159"/>
      <c r="B330" s="159"/>
      <c r="C330" s="159"/>
      <c r="D330" s="169" t="s">
        <v>349</v>
      </c>
      <c r="E330" s="150"/>
      <c r="F330" s="169" t="s">
        <v>350</v>
      </c>
      <c r="G330" s="150"/>
      <c r="H330" s="169" t="s">
        <v>351</v>
      </c>
      <c r="I330" s="150"/>
      <c r="J330" s="169" t="s">
        <v>352</v>
      </c>
      <c r="K330" s="150"/>
      <c r="L330" s="169" t="s">
        <v>353</v>
      </c>
      <c r="M330" s="150"/>
      <c r="N330" s="169" t="s">
        <v>354</v>
      </c>
      <c r="O330" s="150"/>
      <c r="P330" s="169" t="s">
        <v>355</v>
      </c>
      <c r="Q330" s="150"/>
      <c r="R330" s="169" t="s">
        <v>356</v>
      </c>
      <c r="S330" s="150"/>
      <c r="T330" s="169" t="s">
        <v>357</v>
      </c>
      <c r="U330" s="150"/>
      <c r="V330" s="169" t="s">
        <v>358</v>
      </c>
      <c r="W330" s="150"/>
      <c r="X330" s="170"/>
      <c r="Y330" s="158"/>
      <c r="Z330" s="81"/>
      <c r="AA330" s="80"/>
      <c r="AB330" s="80"/>
      <c r="AC330" s="81"/>
      <c r="AD330" s="81"/>
      <c r="AE330" s="81"/>
      <c r="AF330" s="81"/>
    </row>
    <row r="331" ht="16.5" customHeight="1">
      <c r="A331" s="159"/>
      <c r="B331" s="159"/>
      <c r="C331" s="159"/>
      <c r="D331" s="172"/>
      <c r="E331" s="119"/>
      <c r="F331" s="172"/>
      <c r="G331" s="119"/>
      <c r="H331" s="172"/>
      <c r="I331" s="119"/>
      <c r="J331" s="172"/>
      <c r="K331" s="119"/>
      <c r="L331" s="172"/>
      <c r="M331" s="119"/>
      <c r="N331" s="172"/>
      <c r="O331" s="119"/>
      <c r="P331" s="172"/>
      <c r="Q331" s="119"/>
      <c r="R331" s="172"/>
      <c r="S331" s="119"/>
      <c r="T331" s="172"/>
      <c r="U331" s="119"/>
      <c r="V331" s="172"/>
      <c r="W331" s="119"/>
      <c r="X331" s="175"/>
      <c r="Y331" s="158"/>
      <c r="Z331" s="81"/>
      <c r="AA331" s="80"/>
      <c r="AB331" s="80"/>
      <c r="AC331" s="81"/>
      <c r="AD331" s="81"/>
      <c r="AE331" s="81"/>
      <c r="AF331" s="81"/>
    </row>
    <row r="332" ht="18.75" customHeight="1">
      <c r="A332" s="159"/>
      <c r="B332" s="159"/>
      <c r="C332" s="159"/>
      <c r="D332" s="169" t="s">
        <v>359</v>
      </c>
      <c r="E332" s="150"/>
      <c r="F332" s="169"/>
      <c r="G332" s="150"/>
      <c r="H332" s="176"/>
      <c r="I332" s="166"/>
      <c r="J332" s="176"/>
      <c r="K332" s="166"/>
      <c r="L332" s="176"/>
      <c r="M332" s="166"/>
      <c r="N332" s="176"/>
      <c r="O332" s="166"/>
      <c r="P332" s="176"/>
      <c r="Q332" s="166"/>
      <c r="R332" s="176"/>
      <c r="S332" s="166"/>
      <c r="T332" s="176"/>
      <c r="U332" s="166"/>
      <c r="V332" s="176"/>
      <c r="W332" s="166"/>
      <c r="X332" s="62"/>
      <c r="Y332" s="158"/>
      <c r="Z332" s="81"/>
      <c r="AA332" s="80"/>
      <c r="AB332" s="80"/>
      <c r="AC332" s="81"/>
      <c r="AD332" s="81"/>
      <c r="AE332" s="81"/>
      <c r="AF332" s="81"/>
    </row>
    <row r="333" ht="15.75" customHeight="1">
      <c r="A333" s="49"/>
      <c r="B333" s="49"/>
      <c r="C333" s="49"/>
      <c r="D333" s="172"/>
      <c r="E333" s="119"/>
      <c r="F333" s="172"/>
      <c r="G333" s="119"/>
      <c r="H333" s="177"/>
      <c r="I333" s="178"/>
      <c r="J333" s="177"/>
      <c r="K333" s="178"/>
      <c r="L333" s="177"/>
      <c r="M333" s="178"/>
      <c r="N333" s="177"/>
      <c r="O333" s="178"/>
      <c r="P333" s="177"/>
      <c r="Q333" s="178"/>
      <c r="R333" s="177"/>
      <c r="S333" s="178"/>
      <c r="T333" s="177"/>
      <c r="U333" s="178"/>
      <c r="V333" s="177"/>
      <c r="W333" s="178"/>
      <c r="X333" s="179"/>
      <c r="Y333" s="158"/>
      <c r="Z333" s="81"/>
      <c r="AA333" s="80"/>
      <c r="AB333" s="80"/>
      <c r="AC333" s="81"/>
      <c r="AD333" s="81"/>
      <c r="AE333" s="81"/>
      <c r="AF333" s="81"/>
    </row>
    <row r="334" ht="15.75" customHeight="1">
      <c r="A334" s="81"/>
      <c r="B334" s="180"/>
      <c r="C334" s="181"/>
      <c r="D334" s="182"/>
      <c r="E334" s="183"/>
      <c r="F334" s="184"/>
      <c r="G334" s="185"/>
      <c r="H334" s="184"/>
      <c r="I334" s="185"/>
      <c r="J334" s="186"/>
      <c r="K334" s="186"/>
      <c r="L334" s="186"/>
      <c r="M334" s="186"/>
      <c r="N334" s="186"/>
      <c r="O334" s="186"/>
      <c r="P334" s="186"/>
      <c r="Q334" s="186"/>
      <c r="R334" s="186"/>
      <c r="S334" s="186"/>
      <c r="T334" s="186"/>
      <c r="U334" s="186"/>
      <c r="V334" s="186"/>
      <c r="W334" s="186"/>
      <c r="X334" s="81"/>
      <c r="Y334" s="81"/>
      <c r="Z334" s="81"/>
      <c r="AA334" s="80"/>
      <c r="AB334" s="80"/>
      <c r="AC334" s="81"/>
      <c r="AD334" s="81"/>
      <c r="AE334" s="81"/>
      <c r="AF334" s="81"/>
    </row>
    <row r="335" ht="15.75" customHeight="1">
      <c r="A335" s="81"/>
      <c r="B335" s="180"/>
      <c r="C335" s="181"/>
      <c r="D335" s="184"/>
      <c r="E335" s="185"/>
      <c r="F335" s="186"/>
      <c r="G335" s="186"/>
      <c r="H335" s="186"/>
      <c r="I335" s="186"/>
      <c r="J335" s="186"/>
      <c r="K335" s="186"/>
      <c r="L335" s="186"/>
      <c r="M335" s="186"/>
      <c r="N335" s="186"/>
      <c r="O335" s="186"/>
      <c r="P335" s="186"/>
      <c r="Q335" s="186"/>
      <c r="R335" s="186"/>
      <c r="S335" s="186"/>
      <c r="T335" s="186"/>
      <c r="U335" s="186"/>
      <c r="V335" s="186"/>
      <c r="W335" s="186"/>
      <c r="X335" s="81"/>
      <c r="Y335" s="81"/>
      <c r="Z335" s="81"/>
      <c r="AA335" s="80"/>
      <c r="AB335" s="80"/>
      <c r="AC335" s="81"/>
      <c r="AD335" s="81"/>
      <c r="AE335" s="81"/>
      <c r="AF335" s="81"/>
    </row>
    <row r="336" ht="15.75" customHeight="1">
      <c r="A336" s="187"/>
      <c r="B336" s="188"/>
      <c r="C336" s="189"/>
      <c r="D336" s="190" t="s">
        <v>360</v>
      </c>
      <c r="E336" s="189"/>
      <c r="F336" s="191" t="s">
        <v>98</v>
      </c>
      <c r="G336" s="189"/>
      <c r="H336" s="191" t="s">
        <v>158</v>
      </c>
      <c r="I336" s="192"/>
      <c r="J336" s="192"/>
      <c r="K336" s="192"/>
      <c r="L336" s="192"/>
      <c r="M336" s="192"/>
      <c r="N336" s="192"/>
      <c r="O336" s="189"/>
      <c r="P336" s="191" t="s">
        <v>277</v>
      </c>
      <c r="Q336" s="189"/>
      <c r="R336" s="191" t="s">
        <v>361</v>
      </c>
      <c r="S336" s="192"/>
      <c r="T336" s="193"/>
      <c r="U336" s="193"/>
      <c r="V336" s="193"/>
      <c r="W336" s="193"/>
      <c r="X336" s="193"/>
      <c r="Y336" s="180" t="s">
        <v>362</v>
      </c>
      <c r="Z336" s="81"/>
      <c r="AA336" s="80"/>
      <c r="AB336" s="80"/>
      <c r="AC336" s="81"/>
      <c r="AD336" s="81"/>
      <c r="AE336" s="81"/>
      <c r="AF336" s="81"/>
    </row>
    <row r="337" ht="15.75" customHeight="1">
      <c r="A337" s="194">
        <v>1.0</v>
      </c>
      <c r="B337" s="195" t="s">
        <v>363</v>
      </c>
      <c r="C337" s="196"/>
      <c r="D337" s="197" t="str">
        <f t="shared" ref="D337:D343" si="1">REPT("|",T337)</f>
        <v/>
      </c>
      <c r="E337" s="198"/>
      <c r="F337" s="199" t="str">
        <f t="shared" ref="F337:F343" si="2">REPT("|",U337)</f>
        <v/>
      </c>
      <c r="G337" s="200"/>
      <c r="H337" s="197" t="str">
        <f t="shared" ref="H337:H343" si="3">REPT("|",V337)</f>
        <v/>
      </c>
      <c r="I337" s="201"/>
      <c r="J337" s="201"/>
      <c r="K337" s="201"/>
      <c r="L337" s="201"/>
      <c r="M337" s="202"/>
      <c r="N337" s="203"/>
      <c r="O337" s="198"/>
      <c r="P337" s="197" t="str">
        <f t="shared" ref="P337:P343" si="4">REPT("|",W337)</f>
        <v/>
      </c>
      <c r="Q337" s="204"/>
      <c r="R337" s="197" t="str">
        <f t="shared" ref="R337:R343" si="5">REPT("|",X337)</f>
        <v/>
      </c>
      <c r="S337" s="205"/>
      <c r="T337" s="206">
        <f>COUNTIF('Таблиця'!$D$10:$Y$102,1)</f>
        <v>0</v>
      </c>
      <c r="U337" s="206">
        <f>COUNTIF('Таблиця'!$D$107:$Y$168,1)</f>
        <v>0</v>
      </c>
      <c r="V337" s="206">
        <f>COUNTIF('Таблиця'!$D$173:$Y$307,1)</f>
        <v>0</v>
      </c>
      <c r="W337" s="206">
        <f>COUNTIF('Таблиця'!$D$311:$Y$321,1)</f>
        <v>0</v>
      </c>
      <c r="X337" s="206">
        <f>COUNTIF('Таблиця'!$D$325:$Y$333,1)</f>
        <v>0</v>
      </c>
      <c r="Y337" s="207">
        <f t="shared" ref="Y337:Y343" si="6">SUM(T337:X337)</f>
        <v>0</v>
      </c>
      <c r="Z337" s="81"/>
      <c r="AA337" s="80"/>
      <c r="AB337" s="80"/>
      <c r="AC337" s="81"/>
      <c r="AD337" s="81"/>
      <c r="AE337" s="81"/>
      <c r="AF337" s="81"/>
    </row>
    <row r="338" ht="15.75" customHeight="1">
      <c r="A338" s="208">
        <v>2.0</v>
      </c>
      <c r="B338" s="209" t="s">
        <v>364</v>
      </c>
      <c r="C338" s="210"/>
      <c r="D338" s="211" t="str">
        <f t="shared" si="1"/>
        <v/>
      </c>
      <c r="E338" s="212"/>
      <c r="F338" s="211" t="str">
        <f t="shared" si="2"/>
        <v/>
      </c>
      <c r="G338" s="212"/>
      <c r="H338" s="211" t="str">
        <f t="shared" si="3"/>
        <v/>
      </c>
      <c r="I338" s="213"/>
      <c r="J338" s="213"/>
      <c r="K338" s="214"/>
      <c r="L338" s="213"/>
      <c r="M338" s="213"/>
      <c r="N338" s="213"/>
      <c r="O338" s="212"/>
      <c r="P338" s="211" t="str">
        <f t="shared" si="4"/>
        <v/>
      </c>
      <c r="Q338" s="215"/>
      <c r="R338" s="211" t="str">
        <f t="shared" si="5"/>
        <v/>
      </c>
      <c r="S338" s="216"/>
      <c r="T338" s="206">
        <f>COUNTIF('Таблиця'!$D$10:$Y$102,2)</f>
        <v>0</v>
      </c>
      <c r="U338" s="206">
        <f>COUNTIF('Таблиця'!$D$107:$Y$168,2)</f>
        <v>0</v>
      </c>
      <c r="V338" s="206">
        <f>COUNTIF('Таблиця'!$D$173:$Y$307,2)</f>
        <v>0</v>
      </c>
      <c r="W338" s="206">
        <f>COUNTIF('Таблиця'!$D$311:$Y$321,2)</f>
        <v>0</v>
      </c>
      <c r="X338" s="206">
        <f>COUNTIF('Таблиця'!$D$325:$Y$333,2)</f>
        <v>0</v>
      </c>
      <c r="Y338" s="207">
        <f t="shared" si="6"/>
        <v>0</v>
      </c>
      <c r="Z338" s="81"/>
      <c r="AA338" s="80"/>
      <c r="AB338" s="80"/>
      <c r="AC338" s="81"/>
      <c r="AD338" s="81"/>
      <c r="AE338" s="81"/>
      <c r="AF338" s="81"/>
    </row>
    <row r="339" ht="15.75" customHeight="1">
      <c r="A339" s="208">
        <v>3.0</v>
      </c>
      <c r="B339" s="209" t="s">
        <v>365</v>
      </c>
      <c r="C339" s="217"/>
      <c r="D339" s="218" t="str">
        <f t="shared" si="1"/>
        <v/>
      </c>
      <c r="E339" s="210"/>
      <c r="F339" s="218" t="str">
        <f t="shared" si="2"/>
        <v/>
      </c>
      <c r="G339" s="210"/>
      <c r="H339" s="218" t="str">
        <f t="shared" si="3"/>
        <v/>
      </c>
      <c r="I339" s="219"/>
      <c r="J339" s="214"/>
      <c r="K339" s="214"/>
      <c r="L339" s="219"/>
      <c r="M339" s="213"/>
      <c r="N339" s="213"/>
      <c r="O339" s="212"/>
      <c r="P339" s="211" t="str">
        <f t="shared" si="4"/>
        <v/>
      </c>
      <c r="Q339" s="215"/>
      <c r="R339" s="211" t="str">
        <f t="shared" si="5"/>
        <v/>
      </c>
      <c r="S339" s="216"/>
      <c r="T339" s="206">
        <f>COUNTIF('Таблиця'!$D$10:$Y$102,3)</f>
        <v>0</v>
      </c>
      <c r="U339" s="206">
        <f>COUNTIF('Таблиця'!$D$107:$Y$168,3)</f>
        <v>0</v>
      </c>
      <c r="V339" s="206">
        <f>COUNTIF('Таблиця'!$D$173:$Y$307,3)</f>
        <v>0</v>
      </c>
      <c r="W339" s="206">
        <f>COUNTIF('Таблиця'!$D$311:$Y$321,3)</f>
        <v>0</v>
      </c>
      <c r="X339" s="206">
        <f>COUNTIF('Таблиця'!$D$325:$Y$333,3)</f>
        <v>0</v>
      </c>
      <c r="Y339" s="207">
        <f t="shared" si="6"/>
        <v>0</v>
      </c>
      <c r="Z339" s="81"/>
      <c r="AA339" s="80"/>
      <c r="AB339" s="80"/>
      <c r="AC339" s="81"/>
      <c r="AD339" s="81"/>
      <c r="AE339" s="81"/>
      <c r="AF339" s="81"/>
    </row>
    <row r="340" ht="15.75" customHeight="1">
      <c r="A340" s="208">
        <v>4.0</v>
      </c>
      <c r="B340" s="220" t="s">
        <v>366</v>
      </c>
      <c r="C340" s="212"/>
      <c r="D340" s="211" t="str">
        <f t="shared" si="1"/>
        <v/>
      </c>
      <c r="E340" s="212"/>
      <c r="F340" s="211" t="str">
        <f t="shared" si="2"/>
        <v/>
      </c>
      <c r="G340" s="212"/>
      <c r="H340" s="211" t="str">
        <f t="shared" si="3"/>
        <v/>
      </c>
      <c r="I340" s="214"/>
      <c r="J340" s="219"/>
      <c r="K340" s="213"/>
      <c r="L340" s="213"/>
      <c r="M340" s="213"/>
      <c r="N340" s="213"/>
      <c r="O340" s="212"/>
      <c r="P340" s="218" t="str">
        <f t="shared" si="4"/>
        <v/>
      </c>
      <c r="Q340" s="221"/>
      <c r="R340" s="211" t="str">
        <f t="shared" si="5"/>
        <v/>
      </c>
      <c r="S340" s="216"/>
      <c r="T340" s="206">
        <f>COUNTIF('Таблиця'!$D$10:$Y$102,4)</f>
        <v>0</v>
      </c>
      <c r="U340" s="206">
        <f>COUNTIF('Таблиця'!$D$107:$Y$168,4)</f>
        <v>0</v>
      </c>
      <c r="V340" s="206">
        <f>COUNTIF('Таблиця'!$D$173:$Y$307,4)</f>
        <v>0</v>
      </c>
      <c r="W340" s="206">
        <f>COUNTIF('Таблиця'!$D$311:$Y$321,4)</f>
        <v>0</v>
      </c>
      <c r="X340" s="206">
        <f>COUNTIF('Таблиця'!$D$325:$Y$333,4)</f>
        <v>0</v>
      </c>
      <c r="Y340" s="207">
        <f t="shared" si="6"/>
        <v>0</v>
      </c>
      <c r="Z340" s="81"/>
      <c r="AA340" s="222"/>
      <c r="AB340" s="222"/>
      <c r="AC340" s="222"/>
      <c r="AD340" s="222"/>
      <c r="AE340" s="81"/>
      <c r="AF340" s="81"/>
    </row>
    <row r="341" ht="15.75" customHeight="1">
      <c r="A341" s="208">
        <v>5.0</v>
      </c>
      <c r="B341" s="220" t="s">
        <v>367</v>
      </c>
      <c r="C341" s="212"/>
      <c r="D341" s="211" t="str">
        <f t="shared" si="1"/>
        <v/>
      </c>
      <c r="E341" s="212"/>
      <c r="F341" s="211" t="str">
        <f t="shared" si="2"/>
        <v/>
      </c>
      <c r="G341" s="212"/>
      <c r="H341" s="211" t="str">
        <f t="shared" si="3"/>
        <v/>
      </c>
      <c r="I341" s="213"/>
      <c r="J341" s="213"/>
      <c r="K341" s="213"/>
      <c r="L341" s="213"/>
      <c r="M341" s="213"/>
      <c r="N341" s="213"/>
      <c r="O341" s="212"/>
      <c r="P341" s="218" t="str">
        <f t="shared" si="4"/>
        <v/>
      </c>
      <c r="Q341" s="221"/>
      <c r="R341" s="211" t="str">
        <f t="shared" si="5"/>
        <v/>
      </c>
      <c r="S341" s="216"/>
      <c r="T341" s="206">
        <f>COUNTIF('Таблиця'!$D$10:$Y$102,5)</f>
        <v>0</v>
      </c>
      <c r="U341" s="206">
        <f>COUNTIF('Таблиця'!$D$107:$Y$168,5)</f>
        <v>0</v>
      </c>
      <c r="V341" s="206">
        <f>COUNTIF('Таблиця'!$D$173:$Y$307,5)</f>
        <v>0</v>
      </c>
      <c r="W341" s="206">
        <f>COUNTIF('Таблиця'!$D$311:$Y$321,5)</f>
        <v>0</v>
      </c>
      <c r="X341" s="206">
        <f>COUNTIF('Таблиця'!$D$325:$Y$333,5)</f>
        <v>0</v>
      </c>
      <c r="Y341" s="207">
        <f t="shared" si="6"/>
        <v>0</v>
      </c>
      <c r="Z341" s="81"/>
      <c r="AA341" s="222"/>
      <c r="AB341" s="222"/>
      <c r="AC341" s="222"/>
      <c r="AD341" s="222"/>
      <c r="AE341" s="81"/>
      <c r="AF341" s="81"/>
    </row>
    <row r="342" ht="15.75" customHeight="1">
      <c r="A342" s="208">
        <v>6.0</v>
      </c>
      <c r="B342" s="220" t="s">
        <v>368</v>
      </c>
      <c r="C342" s="212"/>
      <c r="D342" s="218" t="str">
        <f t="shared" si="1"/>
        <v/>
      </c>
      <c r="E342" s="210"/>
      <c r="F342" s="211" t="str">
        <f t="shared" si="2"/>
        <v/>
      </c>
      <c r="G342" s="212"/>
      <c r="H342" s="218" t="str">
        <f t="shared" si="3"/>
        <v/>
      </c>
      <c r="I342" s="214"/>
      <c r="J342" s="214"/>
      <c r="K342" s="214"/>
      <c r="L342" s="214"/>
      <c r="M342" s="213"/>
      <c r="N342" s="213"/>
      <c r="O342" s="212"/>
      <c r="P342" s="218" t="str">
        <f t="shared" si="4"/>
        <v/>
      </c>
      <c r="Q342" s="221"/>
      <c r="R342" s="211" t="str">
        <f t="shared" si="5"/>
        <v/>
      </c>
      <c r="S342" s="216"/>
      <c r="T342" s="206">
        <f>COUNTIF('Таблиця'!$D$10:$Y$102,6)</f>
        <v>0</v>
      </c>
      <c r="U342" s="206">
        <f>COUNTIF('Таблиця'!$D$107:$Y$168,6)</f>
        <v>0</v>
      </c>
      <c r="V342" s="206">
        <f>COUNTIF('Таблиця'!$D$173:$Y$307,6)</f>
        <v>0</v>
      </c>
      <c r="W342" s="206">
        <f>COUNTIF('Таблиця'!$D$311:$Y$321,6)</f>
        <v>0</v>
      </c>
      <c r="X342" s="206">
        <f>COUNTIF('Таблиця'!$D$325:$Y$333,6)</f>
        <v>0</v>
      </c>
      <c r="Y342" s="207">
        <f t="shared" si="6"/>
        <v>0</v>
      </c>
      <c r="Z342" s="81"/>
      <c r="AA342" s="222"/>
      <c r="AB342" s="222"/>
      <c r="AC342" s="222"/>
      <c r="AD342" s="222"/>
      <c r="AE342" s="81"/>
      <c r="AF342" s="81"/>
    </row>
    <row r="343" ht="15.75" customHeight="1">
      <c r="A343" s="208">
        <v>7.0</v>
      </c>
      <c r="B343" s="220" t="s">
        <v>369</v>
      </c>
      <c r="C343" s="212"/>
      <c r="D343" s="211" t="str">
        <f t="shared" si="1"/>
        <v/>
      </c>
      <c r="E343" s="212"/>
      <c r="F343" s="211" t="str">
        <f t="shared" si="2"/>
        <v/>
      </c>
      <c r="G343" s="212"/>
      <c r="H343" s="211" t="str">
        <f t="shared" si="3"/>
        <v/>
      </c>
      <c r="I343" s="213"/>
      <c r="J343" s="213"/>
      <c r="K343" s="213"/>
      <c r="L343" s="213"/>
      <c r="M343" s="213"/>
      <c r="N343" s="214"/>
      <c r="O343" s="210"/>
      <c r="P343" s="211" t="str">
        <f t="shared" si="4"/>
        <v/>
      </c>
      <c r="Q343" s="215"/>
      <c r="R343" s="211" t="str">
        <f t="shared" si="5"/>
        <v/>
      </c>
      <c r="S343" s="216"/>
      <c r="T343" s="206">
        <f>COUNTIF('Таблиця'!$D$10:$Y$102,7)</f>
        <v>0</v>
      </c>
      <c r="U343" s="206">
        <f>COUNTIF('Таблиця'!$D$107:$Y$168,7)</f>
        <v>0</v>
      </c>
      <c r="V343" s="206">
        <f>COUNTIF('Таблиця'!$D$173:$Y$307,7)</f>
        <v>0</v>
      </c>
      <c r="W343" s="206">
        <f>COUNTIF('Таблиця'!$D$311:$Y$321,7)</f>
        <v>0</v>
      </c>
      <c r="X343" s="206">
        <f>COUNTIF('Таблиця'!$D$325:$Y$333,7)</f>
        <v>0</v>
      </c>
      <c r="Y343" s="207">
        <f t="shared" si="6"/>
        <v>0</v>
      </c>
      <c r="Z343" s="81"/>
      <c r="AA343" s="222"/>
      <c r="AB343" s="222"/>
      <c r="AC343" s="222"/>
      <c r="AD343" s="222"/>
      <c r="AE343" s="81"/>
      <c r="AF343" s="81"/>
    </row>
    <row r="344" ht="15.75" customHeight="1">
      <c r="C344" s="223"/>
      <c r="H344" s="81"/>
      <c r="I344" s="81"/>
      <c r="J344" s="81"/>
      <c r="K344" s="81"/>
      <c r="L344" s="81"/>
      <c r="S344" s="81"/>
      <c r="Y344" s="81"/>
      <c r="Z344" s="81"/>
      <c r="AA344" s="222"/>
      <c r="AB344" s="222"/>
      <c r="AC344" s="222"/>
      <c r="AD344" s="222"/>
      <c r="AE344" s="81"/>
      <c r="AF344" s="81"/>
    </row>
    <row r="345" ht="15.75" customHeight="1">
      <c r="A345" s="224"/>
      <c r="B345" s="225"/>
      <c r="C345" s="226"/>
      <c r="D345" s="224"/>
      <c r="E345" s="224"/>
      <c r="F345" s="224"/>
      <c r="G345" s="224"/>
      <c r="H345" s="227"/>
      <c r="I345" s="227"/>
      <c r="J345" s="227"/>
      <c r="K345" s="227"/>
      <c r="L345" s="227"/>
      <c r="M345" s="227"/>
      <c r="N345" s="227"/>
      <c r="O345" s="227"/>
      <c r="P345" s="227"/>
      <c r="Q345" s="227"/>
      <c r="R345" s="227"/>
      <c r="T345" s="228"/>
      <c r="W345" s="229"/>
      <c r="X345" s="229"/>
      <c r="AA345" s="230">
        <v>45769.0</v>
      </c>
      <c r="AB345" s="231">
        <f t="shared" ref="AB345:AB373" si="7">COUNTIF($D$10:$Y$333,AA345)</f>
        <v>0</v>
      </c>
      <c r="AC345" s="222"/>
      <c r="AD345" s="222"/>
      <c r="AE345" s="81"/>
      <c r="AF345" s="81"/>
    </row>
    <row r="346" ht="15.75" customHeight="1">
      <c r="A346" s="224"/>
      <c r="B346" s="225"/>
      <c r="C346" s="232"/>
      <c r="D346" s="232"/>
      <c r="E346" s="232"/>
      <c r="F346" s="232"/>
      <c r="G346" s="232"/>
      <c r="H346" s="229"/>
      <c r="I346" s="229"/>
      <c r="J346" s="229"/>
      <c r="K346" s="229"/>
      <c r="L346" s="229"/>
      <c r="M346" s="227"/>
      <c r="N346" s="227"/>
      <c r="O346" s="227"/>
      <c r="P346" s="227"/>
      <c r="Q346" s="227"/>
      <c r="R346" s="227"/>
      <c r="T346" s="228"/>
      <c r="W346" s="229"/>
      <c r="X346" s="229"/>
      <c r="AA346" s="230">
        <v>45770.0</v>
      </c>
      <c r="AB346" s="231">
        <f t="shared" si="7"/>
        <v>0</v>
      </c>
      <c r="AC346" s="222"/>
      <c r="AD346" s="222"/>
      <c r="AE346" s="81"/>
      <c r="AF346" s="81"/>
    </row>
    <row r="347" ht="15.75" customHeight="1">
      <c r="A347" s="224"/>
      <c r="B347" s="225"/>
      <c r="C347" s="232"/>
      <c r="D347" s="232"/>
      <c r="E347" s="232"/>
      <c r="F347" s="232"/>
      <c r="G347" s="232"/>
      <c r="H347" s="229"/>
      <c r="I347" s="229"/>
      <c r="J347" s="229"/>
      <c r="K347" s="229"/>
      <c r="L347" s="229"/>
      <c r="M347" s="227"/>
      <c r="N347" s="227"/>
      <c r="O347" s="227"/>
      <c r="P347" s="227"/>
      <c r="Q347" s="227"/>
      <c r="R347" s="227"/>
      <c r="T347" s="228"/>
      <c r="W347" s="229"/>
      <c r="X347" s="229"/>
      <c r="AA347" s="230">
        <v>45771.0</v>
      </c>
      <c r="AB347" s="231">
        <f t="shared" si="7"/>
        <v>0</v>
      </c>
      <c r="AC347" s="222"/>
      <c r="AD347" s="222"/>
      <c r="AE347" s="81"/>
      <c r="AF347" s="81"/>
    </row>
    <row r="348" ht="15.75" customHeight="1">
      <c r="A348" s="224"/>
      <c r="B348" s="225"/>
      <c r="C348" s="232"/>
      <c r="D348" s="232"/>
      <c r="E348" s="232"/>
      <c r="F348" s="232"/>
      <c r="G348" s="232"/>
      <c r="H348" s="229"/>
      <c r="I348" s="229"/>
      <c r="J348" s="229"/>
      <c r="K348" s="229"/>
      <c r="L348" s="229"/>
      <c r="M348" s="227"/>
      <c r="N348" s="227"/>
      <c r="O348" s="227"/>
      <c r="P348" s="227"/>
      <c r="Q348" s="227"/>
      <c r="R348" s="227"/>
      <c r="T348" s="228"/>
      <c r="W348" s="229"/>
      <c r="X348" s="229"/>
      <c r="AA348" s="230">
        <v>45772.0</v>
      </c>
      <c r="AB348" s="231">
        <f t="shared" si="7"/>
        <v>0</v>
      </c>
      <c r="AC348" s="222"/>
      <c r="AD348" s="222"/>
      <c r="AE348" s="81"/>
      <c r="AF348" s="81"/>
    </row>
    <row r="349" ht="15.75" customHeight="1">
      <c r="A349" s="224"/>
      <c r="B349" s="225"/>
      <c r="C349" s="232"/>
      <c r="D349" s="232"/>
      <c r="E349" s="232"/>
      <c r="F349" s="232"/>
      <c r="G349" s="232"/>
      <c r="H349" s="229"/>
      <c r="I349" s="229"/>
      <c r="J349" s="229"/>
      <c r="K349" s="229"/>
      <c r="L349" s="229"/>
      <c r="M349" s="227"/>
      <c r="N349" s="227"/>
      <c r="O349" s="227"/>
      <c r="P349" s="227"/>
      <c r="Q349" s="227"/>
      <c r="R349" s="227"/>
      <c r="T349" s="228"/>
      <c r="W349" s="229"/>
      <c r="X349" s="229"/>
      <c r="AA349" s="230">
        <v>45773.0</v>
      </c>
      <c r="AB349" s="231">
        <f t="shared" si="7"/>
        <v>0</v>
      </c>
      <c r="AC349" s="222"/>
      <c r="AD349" s="222"/>
      <c r="AE349" s="81"/>
      <c r="AF349" s="81"/>
    </row>
    <row r="350" ht="15.75" customHeight="1">
      <c r="A350" s="224"/>
      <c r="B350" s="225"/>
      <c r="C350" s="232"/>
      <c r="D350" s="232"/>
      <c r="E350" s="232"/>
      <c r="F350" s="232"/>
      <c r="G350" s="232"/>
      <c r="H350" s="229"/>
      <c r="I350" s="229"/>
      <c r="J350" s="229"/>
      <c r="K350" s="229"/>
      <c r="L350" s="229"/>
      <c r="M350" s="227"/>
      <c r="N350" s="227"/>
      <c r="O350" s="227"/>
      <c r="P350" s="227"/>
      <c r="Q350" s="227"/>
      <c r="R350" s="227"/>
      <c r="T350" s="228"/>
      <c r="W350" s="229"/>
      <c r="X350" s="229"/>
      <c r="AA350" s="230">
        <v>45774.0</v>
      </c>
      <c r="AB350" s="231">
        <f t="shared" si="7"/>
        <v>0</v>
      </c>
      <c r="AC350" s="222"/>
      <c r="AD350" s="222"/>
      <c r="AE350" s="81"/>
      <c r="AF350" s="81"/>
    </row>
    <row r="351" ht="15.75" customHeight="1">
      <c r="A351" s="224"/>
      <c r="B351" s="225"/>
      <c r="C351" s="232"/>
      <c r="D351" s="232"/>
      <c r="E351" s="232"/>
      <c r="F351" s="232"/>
      <c r="G351" s="232"/>
      <c r="H351" s="229"/>
      <c r="I351" s="229"/>
      <c r="J351" s="229"/>
      <c r="K351" s="229"/>
      <c r="L351" s="229"/>
      <c r="M351" s="227"/>
      <c r="N351" s="227"/>
      <c r="O351" s="227"/>
      <c r="P351" s="227"/>
      <c r="Q351" s="227"/>
      <c r="R351" s="227"/>
      <c r="T351" s="228"/>
      <c r="W351" s="229"/>
      <c r="X351" s="229"/>
      <c r="AA351" s="230">
        <v>45775.0</v>
      </c>
      <c r="AB351" s="231">
        <f t="shared" si="7"/>
        <v>0</v>
      </c>
      <c r="AC351" s="222"/>
      <c r="AD351" s="222"/>
      <c r="AE351" s="81"/>
      <c r="AF351" s="81"/>
    </row>
    <row r="352" ht="15.75" customHeight="1">
      <c r="A352" s="224"/>
      <c r="B352" s="225"/>
      <c r="C352" s="232"/>
      <c r="D352" s="232"/>
      <c r="E352" s="232"/>
      <c r="F352" s="232"/>
      <c r="G352" s="232"/>
      <c r="H352" s="229"/>
      <c r="I352" s="229"/>
      <c r="J352" s="229"/>
      <c r="K352" s="229"/>
      <c r="L352" s="229"/>
      <c r="M352" s="227"/>
      <c r="N352" s="227"/>
      <c r="O352" s="227"/>
      <c r="P352" s="227"/>
      <c r="Q352" s="227"/>
      <c r="R352" s="227"/>
      <c r="T352" s="228"/>
      <c r="W352" s="229"/>
      <c r="X352" s="229"/>
      <c r="AA352" s="230">
        <v>45776.0</v>
      </c>
      <c r="AB352" s="231">
        <f t="shared" si="7"/>
        <v>0</v>
      </c>
      <c r="AC352" s="222"/>
      <c r="AD352" s="222"/>
      <c r="AE352" s="81"/>
      <c r="AF352" s="81"/>
    </row>
    <row r="353" ht="15.75" customHeight="1">
      <c r="A353" s="227"/>
      <c r="B353" s="227"/>
      <c r="C353" s="227"/>
      <c r="D353" s="227"/>
      <c r="E353" s="227"/>
      <c r="F353" s="227"/>
      <c r="G353" s="227"/>
      <c r="H353" s="227"/>
      <c r="I353" s="227"/>
      <c r="J353" s="227"/>
      <c r="K353" s="227"/>
      <c r="L353" s="227"/>
      <c r="M353" s="227"/>
      <c r="N353" s="227"/>
      <c r="O353" s="227"/>
      <c r="P353" s="227"/>
      <c r="Q353" s="227"/>
      <c r="R353" s="227"/>
      <c r="T353" s="228"/>
      <c r="W353" s="229"/>
      <c r="X353" s="229"/>
      <c r="AA353" s="230">
        <v>45777.0</v>
      </c>
      <c r="AB353" s="231">
        <f t="shared" si="7"/>
        <v>0</v>
      </c>
      <c r="AC353" s="222"/>
      <c r="AD353" s="222"/>
      <c r="AE353" s="81"/>
      <c r="AF353" s="81"/>
    </row>
    <row r="354" ht="15.75" customHeight="1">
      <c r="T354" s="228"/>
      <c r="W354" s="229"/>
      <c r="X354" s="229"/>
      <c r="AA354" s="230">
        <v>45778.0</v>
      </c>
      <c r="AB354" s="231">
        <f t="shared" si="7"/>
        <v>0</v>
      </c>
      <c r="AC354" s="222"/>
      <c r="AD354" s="222"/>
      <c r="AE354" s="81"/>
      <c r="AF354" s="81"/>
    </row>
    <row r="355" ht="15.75" customHeight="1">
      <c r="T355" s="228"/>
      <c r="W355" s="229"/>
      <c r="X355" s="229"/>
      <c r="AA355" s="230">
        <v>45779.0</v>
      </c>
      <c r="AB355" s="231">
        <f t="shared" si="7"/>
        <v>0</v>
      </c>
      <c r="AC355" s="222"/>
      <c r="AD355" s="222"/>
      <c r="AE355" s="81"/>
      <c r="AF355" s="81"/>
    </row>
    <row r="356" ht="15.75" customHeight="1">
      <c r="T356" s="228"/>
      <c r="W356" s="229"/>
      <c r="X356" s="229"/>
      <c r="AA356" s="230">
        <v>45780.0</v>
      </c>
      <c r="AB356" s="231">
        <f t="shared" si="7"/>
        <v>0</v>
      </c>
      <c r="AC356" s="222"/>
      <c r="AD356" s="222"/>
      <c r="AE356" s="81"/>
      <c r="AF356" s="81"/>
    </row>
    <row r="357" ht="15.75" customHeight="1">
      <c r="T357" s="228"/>
      <c r="W357" s="229"/>
      <c r="X357" s="229"/>
      <c r="AA357" s="230">
        <v>45781.0</v>
      </c>
      <c r="AB357" s="231">
        <f t="shared" si="7"/>
        <v>0</v>
      </c>
      <c r="AC357" s="222"/>
      <c r="AD357" s="222"/>
      <c r="AE357" s="81"/>
      <c r="AF357" s="81"/>
    </row>
    <row r="358" ht="15.75" customHeight="1">
      <c r="T358" s="228"/>
      <c r="W358" s="229"/>
      <c r="X358" s="229"/>
      <c r="AA358" s="230">
        <v>45782.0</v>
      </c>
      <c r="AB358" s="231">
        <f t="shared" si="7"/>
        <v>0</v>
      </c>
      <c r="AC358" s="222"/>
      <c r="AD358" s="222"/>
      <c r="AE358" s="81"/>
      <c r="AF358" s="81"/>
    </row>
    <row r="359" ht="15.75" customHeight="1">
      <c r="T359" s="228"/>
      <c r="W359" s="229"/>
      <c r="X359" s="229"/>
      <c r="AA359" s="230">
        <v>45783.0</v>
      </c>
      <c r="AB359" s="231">
        <f t="shared" si="7"/>
        <v>0</v>
      </c>
      <c r="AC359" s="222"/>
      <c r="AD359" s="222"/>
      <c r="AE359" s="81"/>
      <c r="AF359" s="81"/>
    </row>
    <row r="360" ht="15.75" customHeight="1">
      <c r="T360" s="228"/>
      <c r="W360" s="229"/>
      <c r="X360" s="229"/>
      <c r="AA360" s="230">
        <v>45784.0</v>
      </c>
      <c r="AB360" s="231">
        <f t="shared" si="7"/>
        <v>0</v>
      </c>
      <c r="AC360" s="222"/>
      <c r="AD360" s="222"/>
      <c r="AE360" s="81"/>
      <c r="AF360" s="81"/>
    </row>
    <row r="361" ht="15.75" customHeight="1">
      <c r="T361" s="228"/>
      <c r="W361" s="229"/>
      <c r="X361" s="229"/>
      <c r="AA361" s="230">
        <v>45785.0</v>
      </c>
      <c r="AB361" s="231">
        <f t="shared" si="7"/>
        <v>0</v>
      </c>
      <c r="AC361" s="222"/>
      <c r="AD361" s="222"/>
      <c r="AE361" s="81"/>
      <c r="AF361" s="81"/>
    </row>
    <row r="362" ht="15.75" customHeight="1">
      <c r="T362" s="228"/>
      <c r="W362" s="229"/>
      <c r="X362" s="229"/>
      <c r="AA362" s="230">
        <v>45786.0</v>
      </c>
      <c r="AB362" s="231">
        <f t="shared" si="7"/>
        <v>0</v>
      </c>
      <c r="AC362" s="222"/>
      <c r="AD362" s="222"/>
      <c r="AE362" s="81"/>
      <c r="AF362" s="81"/>
    </row>
    <row r="363" ht="15.75" customHeight="1">
      <c r="T363" s="228"/>
      <c r="W363" s="229"/>
      <c r="X363" s="229"/>
      <c r="AA363" s="230">
        <v>45787.0</v>
      </c>
      <c r="AB363" s="231">
        <f t="shared" si="7"/>
        <v>0</v>
      </c>
      <c r="AC363" s="222"/>
      <c r="AD363" s="222"/>
      <c r="AE363" s="81"/>
      <c r="AF363" s="81"/>
    </row>
    <row r="364" ht="15.75" customHeight="1">
      <c r="T364" s="228"/>
      <c r="W364" s="229"/>
      <c r="X364" s="229"/>
      <c r="AA364" s="230">
        <v>45788.0</v>
      </c>
      <c r="AB364" s="231">
        <f t="shared" si="7"/>
        <v>0</v>
      </c>
      <c r="AC364" s="222"/>
      <c r="AD364" s="222"/>
      <c r="AE364" s="81"/>
      <c r="AF364" s="81"/>
    </row>
    <row r="365" ht="15.75" customHeight="1">
      <c r="T365" s="228"/>
      <c r="W365" s="229"/>
      <c r="X365" s="229"/>
      <c r="AA365" s="230">
        <v>45789.0</v>
      </c>
      <c r="AB365" s="231">
        <f t="shared" si="7"/>
        <v>0</v>
      </c>
      <c r="AC365" s="222"/>
      <c r="AD365" s="222"/>
      <c r="AE365" s="81"/>
      <c r="AF365" s="81"/>
    </row>
    <row r="366" ht="15.75" customHeight="1">
      <c r="T366" s="228"/>
      <c r="W366" s="229"/>
      <c r="X366" s="229"/>
      <c r="AA366" s="230">
        <v>45790.0</v>
      </c>
      <c r="AB366" s="231">
        <f t="shared" si="7"/>
        <v>0</v>
      </c>
      <c r="AC366" s="222"/>
      <c r="AD366" s="222"/>
      <c r="AE366" s="81"/>
      <c r="AF366" s="81"/>
    </row>
    <row r="367" ht="15.75" customHeight="1">
      <c r="T367" s="228"/>
      <c r="W367" s="229"/>
      <c r="X367" s="229"/>
      <c r="AA367" s="230">
        <v>45791.0</v>
      </c>
      <c r="AB367" s="231">
        <f t="shared" si="7"/>
        <v>0</v>
      </c>
      <c r="AC367" s="222"/>
      <c r="AD367" s="222"/>
      <c r="AE367" s="81"/>
      <c r="AF367" s="81"/>
    </row>
    <row r="368" ht="15.75" customHeight="1">
      <c r="T368" s="228"/>
      <c r="W368" s="229"/>
      <c r="X368" s="229"/>
      <c r="AA368" s="230">
        <v>45792.0</v>
      </c>
      <c r="AB368" s="231">
        <f t="shared" si="7"/>
        <v>0</v>
      </c>
      <c r="AC368" s="222"/>
      <c r="AD368" s="222"/>
      <c r="AE368" s="81"/>
      <c r="AF368" s="81"/>
    </row>
    <row r="369" ht="15.75" customHeight="1">
      <c r="T369" s="228"/>
      <c r="W369" s="229"/>
      <c r="X369" s="229"/>
      <c r="AA369" s="230">
        <v>45793.0</v>
      </c>
      <c r="AB369" s="231">
        <f t="shared" si="7"/>
        <v>0</v>
      </c>
      <c r="AC369" s="222"/>
      <c r="AD369" s="222"/>
      <c r="AE369" s="81"/>
      <c r="AF369" s="81"/>
    </row>
    <row r="370" ht="15.75" customHeight="1">
      <c r="T370" s="228"/>
      <c r="W370" s="229"/>
      <c r="X370" s="229"/>
      <c r="AA370" s="230">
        <v>45794.0</v>
      </c>
      <c r="AB370" s="231">
        <f t="shared" si="7"/>
        <v>0</v>
      </c>
      <c r="AC370" s="222"/>
      <c r="AD370" s="222"/>
      <c r="AE370" s="81"/>
      <c r="AF370" s="81"/>
    </row>
    <row r="371" ht="15.75" customHeight="1">
      <c r="T371" s="228"/>
      <c r="W371" s="229"/>
      <c r="X371" s="229"/>
      <c r="AA371" s="230">
        <v>45795.0</v>
      </c>
      <c r="AB371" s="231">
        <f t="shared" si="7"/>
        <v>0</v>
      </c>
      <c r="AC371" s="222"/>
      <c r="AD371" s="222"/>
      <c r="AE371" s="81"/>
      <c r="AF371" s="81"/>
    </row>
    <row r="372" ht="15.75" customHeight="1">
      <c r="T372" s="228"/>
      <c r="W372" s="229"/>
      <c r="X372" s="229"/>
      <c r="AA372" s="230">
        <v>45796.0</v>
      </c>
      <c r="AB372" s="231">
        <f t="shared" si="7"/>
        <v>0</v>
      </c>
      <c r="AC372" s="222"/>
      <c r="AD372" s="222"/>
      <c r="AE372" s="81"/>
      <c r="AF372" s="81"/>
    </row>
    <row r="373" ht="15.75" customHeight="1">
      <c r="T373" s="228"/>
      <c r="W373" s="229"/>
      <c r="X373" s="229"/>
      <c r="AA373" s="230">
        <v>45797.0</v>
      </c>
      <c r="AB373" s="231">
        <f t="shared" si="7"/>
        <v>0</v>
      </c>
      <c r="AC373" s="222"/>
      <c r="AD373" s="222"/>
      <c r="AE373" s="81"/>
      <c r="AF373" s="81"/>
    </row>
    <row r="374" ht="15.75" customHeight="1">
      <c r="T374" s="228"/>
      <c r="W374" s="229"/>
      <c r="X374" s="229"/>
      <c r="AA374" s="230">
        <v>45798.0</v>
      </c>
      <c r="AB374" s="231">
        <f>COUNTIF($D$10:X$333,AA374)</f>
        <v>0</v>
      </c>
      <c r="AC374" s="222"/>
      <c r="AD374" s="222"/>
      <c r="AE374" s="81"/>
      <c r="AF374" s="81"/>
    </row>
    <row r="375" ht="15.75" customHeight="1">
      <c r="T375" s="228"/>
      <c r="W375" s="229"/>
      <c r="X375" s="229"/>
      <c r="AA375" s="230">
        <v>45799.0</v>
      </c>
      <c r="AB375" s="231">
        <f t="shared" ref="AB375:AB389" si="8">COUNTIF($D$10:$Y$333,AA375)</f>
        <v>0</v>
      </c>
      <c r="AC375" s="222"/>
      <c r="AD375" s="222"/>
      <c r="AE375" s="81"/>
      <c r="AF375" s="81"/>
    </row>
    <row r="376" ht="15.75" customHeight="1">
      <c r="T376" s="228"/>
      <c r="W376" s="229"/>
      <c r="X376" s="229"/>
      <c r="AA376" s="230">
        <v>45800.0</v>
      </c>
      <c r="AB376" s="231">
        <f t="shared" si="8"/>
        <v>0</v>
      </c>
      <c r="AC376" s="222"/>
      <c r="AD376" s="222"/>
      <c r="AE376" s="81"/>
      <c r="AF376" s="81"/>
    </row>
    <row r="377" ht="15.75" customHeight="1">
      <c r="T377" s="228"/>
      <c r="W377" s="229"/>
      <c r="X377" s="229"/>
      <c r="AA377" s="230">
        <v>45801.0</v>
      </c>
      <c r="AB377" s="231">
        <f t="shared" si="8"/>
        <v>0</v>
      </c>
      <c r="AC377" s="222"/>
      <c r="AD377" s="222"/>
      <c r="AE377" s="81"/>
      <c r="AF377" s="81"/>
    </row>
    <row r="378" ht="15.75" customHeight="1">
      <c r="T378" s="228"/>
      <c r="W378" s="229"/>
      <c r="X378" s="229"/>
      <c r="AA378" s="230">
        <v>45802.0</v>
      </c>
      <c r="AB378" s="231">
        <f t="shared" si="8"/>
        <v>0</v>
      </c>
      <c r="AC378" s="222"/>
      <c r="AD378" s="222"/>
      <c r="AE378" s="81"/>
      <c r="AF378" s="81"/>
    </row>
    <row r="379" ht="15.75" customHeight="1">
      <c r="T379" s="228"/>
      <c r="W379" s="229"/>
      <c r="X379" s="229"/>
      <c r="AA379" s="230">
        <v>45803.0</v>
      </c>
      <c r="AB379" s="231">
        <f t="shared" si="8"/>
        <v>0</v>
      </c>
      <c r="AC379" s="222"/>
      <c r="AD379" s="222"/>
      <c r="AE379" s="81"/>
      <c r="AF379" s="81"/>
    </row>
    <row r="380" ht="15.75" customHeight="1">
      <c r="T380" s="228"/>
      <c r="W380" s="229"/>
      <c r="X380" s="229"/>
      <c r="AA380" s="230">
        <v>45804.0</v>
      </c>
      <c r="AB380" s="231">
        <f t="shared" si="8"/>
        <v>0</v>
      </c>
      <c r="AC380" s="222"/>
      <c r="AD380" s="222"/>
      <c r="AE380" s="81"/>
      <c r="AF380" s="81"/>
    </row>
    <row r="381" ht="15.75" customHeight="1">
      <c r="T381" s="228"/>
      <c r="W381" s="229"/>
      <c r="X381" s="229"/>
      <c r="AA381" s="230">
        <v>45805.0</v>
      </c>
      <c r="AB381" s="231">
        <f t="shared" si="8"/>
        <v>0</v>
      </c>
      <c r="AC381" s="222"/>
      <c r="AD381" s="222"/>
      <c r="AE381" s="81"/>
      <c r="AF381" s="81"/>
    </row>
    <row r="382" ht="15.75" customHeight="1">
      <c r="T382" s="228"/>
      <c r="W382" s="229"/>
      <c r="X382" s="229"/>
      <c r="AA382" s="230">
        <v>45806.0</v>
      </c>
      <c r="AB382" s="231">
        <f t="shared" si="8"/>
        <v>0</v>
      </c>
      <c r="AC382" s="222"/>
      <c r="AD382" s="222"/>
      <c r="AE382" s="81"/>
      <c r="AF382" s="81"/>
    </row>
    <row r="383" ht="15.75" customHeight="1">
      <c r="T383" s="228"/>
      <c r="W383" s="229"/>
      <c r="X383" s="229"/>
      <c r="AA383" s="230">
        <v>45807.0</v>
      </c>
      <c r="AB383" s="231">
        <f t="shared" si="8"/>
        <v>0</v>
      </c>
      <c r="AC383" s="222"/>
      <c r="AD383" s="222"/>
      <c r="AE383" s="81"/>
      <c r="AF383" s="81"/>
    </row>
    <row r="384" ht="15.75" customHeight="1">
      <c r="T384" s="228"/>
      <c r="W384" s="229"/>
      <c r="X384" s="229"/>
      <c r="AA384" s="230">
        <v>45808.0</v>
      </c>
      <c r="AB384" s="231">
        <f t="shared" si="8"/>
        <v>0</v>
      </c>
      <c r="AC384" s="222"/>
      <c r="AD384" s="222"/>
      <c r="AE384" s="81"/>
      <c r="AF384" s="81"/>
    </row>
    <row r="385" ht="15.75" customHeight="1">
      <c r="T385" s="228"/>
      <c r="W385" s="229"/>
      <c r="X385" s="229"/>
      <c r="AA385" s="230">
        <v>45809.0</v>
      </c>
      <c r="AB385" s="231">
        <f t="shared" si="8"/>
        <v>0</v>
      </c>
      <c r="AC385" s="222"/>
      <c r="AD385" s="222"/>
      <c r="AE385" s="81"/>
      <c r="AF385" s="81"/>
    </row>
    <row r="386" ht="15.75" customHeight="1">
      <c r="T386" s="228"/>
      <c r="W386" s="229"/>
      <c r="X386" s="229"/>
      <c r="AA386" s="230">
        <v>45810.0</v>
      </c>
      <c r="AB386" s="231">
        <f t="shared" si="8"/>
        <v>0</v>
      </c>
      <c r="AC386" s="222"/>
      <c r="AD386" s="222"/>
      <c r="AE386" s="81"/>
      <c r="AF386" s="81"/>
    </row>
    <row r="387" ht="15.75" customHeight="1">
      <c r="T387" s="228"/>
      <c r="W387" s="229"/>
      <c r="X387" s="229"/>
      <c r="AA387" s="230">
        <v>45811.0</v>
      </c>
      <c r="AB387" s="231">
        <f t="shared" si="8"/>
        <v>0</v>
      </c>
      <c r="AC387" s="222"/>
      <c r="AD387" s="222"/>
      <c r="AE387" s="81"/>
      <c r="AF387" s="81"/>
    </row>
    <row r="388" ht="15.75" customHeight="1">
      <c r="T388" s="228"/>
      <c r="W388" s="229"/>
      <c r="X388" s="229"/>
      <c r="AA388" s="230">
        <v>45812.0</v>
      </c>
      <c r="AB388" s="231">
        <f t="shared" si="8"/>
        <v>0</v>
      </c>
      <c r="AC388" s="222"/>
      <c r="AD388" s="222"/>
      <c r="AE388" s="81"/>
      <c r="AF388" s="81"/>
    </row>
    <row r="389" ht="15.75" customHeight="1">
      <c r="T389" s="228"/>
      <c r="W389" s="229"/>
      <c r="X389" s="229"/>
      <c r="AA389" s="230">
        <v>45813.0</v>
      </c>
      <c r="AB389" s="231">
        <f t="shared" si="8"/>
        <v>0</v>
      </c>
      <c r="AC389" s="222"/>
      <c r="AD389" s="222"/>
      <c r="AE389" s="81"/>
      <c r="AF389" s="81"/>
    </row>
    <row r="390" ht="15.75" customHeight="1">
      <c r="A390" s="81"/>
      <c r="B390" s="180"/>
      <c r="C390" s="1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222"/>
      <c r="AB390" s="222"/>
      <c r="AC390" s="222"/>
      <c r="AD390" s="222"/>
      <c r="AE390" s="81"/>
      <c r="AF390" s="81"/>
    </row>
    <row r="391" ht="15.75" customHeight="1">
      <c r="A391" s="81"/>
      <c r="B391" s="180"/>
      <c r="C391" s="1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222"/>
      <c r="AB391" s="222"/>
      <c r="AC391" s="222"/>
      <c r="AD391" s="222"/>
      <c r="AE391" s="81"/>
      <c r="AF391" s="81"/>
    </row>
    <row r="392" ht="15.75" customHeight="1">
      <c r="A392" s="81"/>
      <c r="B392" s="180"/>
      <c r="C392" s="1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222"/>
      <c r="AB392" s="222"/>
      <c r="AC392" s="222"/>
      <c r="AD392" s="222"/>
      <c r="AE392" s="81"/>
      <c r="AF392" s="81"/>
    </row>
    <row r="393" ht="15.75" customHeight="1">
      <c r="A393" s="81"/>
      <c r="B393" s="180"/>
      <c r="C393" s="1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222"/>
      <c r="AB393" s="222"/>
      <c r="AC393" s="222"/>
      <c r="AD393" s="222"/>
      <c r="AE393" s="81"/>
      <c r="AF393" s="81"/>
    </row>
    <row r="394" ht="15.75" customHeight="1">
      <c r="A394" s="81"/>
      <c r="B394" s="180"/>
      <c r="C394" s="1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222"/>
      <c r="AB394" s="222"/>
      <c r="AC394" s="222"/>
      <c r="AD394" s="222"/>
      <c r="AE394" s="81"/>
      <c r="AF394" s="81"/>
    </row>
    <row r="395" ht="15.75" customHeight="1">
      <c r="A395" s="81"/>
      <c r="B395" s="180"/>
      <c r="C395" s="1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222"/>
      <c r="AB395" s="222"/>
      <c r="AC395" s="222"/>
      <c r="AD395" s="222"/>
      <c r="AE395" s="81"/>
      <c r="AF395" s="81"/>
    </row>
    <row r="396" ht="15.75" customHeight="1">
      <c r="A396" s="81"/>
      <c r="B396" s="180"/>
      <c r="C396" s="1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222"/>
      <c r="AB396" s="222"/>
      <c r="AC396" s="222"/>
      <c r="AD396" s="222"/>
      <c r="AE396" s="81"/>
      <c r="AF396" s="81"/>
    </row>
    <row r="397" ht="15.75" customHeight="1">
      <c r="A397" s="81"/>
      <c r="B397" s="180"/>
      <c r="C397" s="1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222"/>
      <c r="AB397" s="222"/>
      <c r="AC397" s="222"/>
      <c r="AD397" s="222"/>
      <c r="AE397" s="81"/>
      <c r="AF397" s="81"/>
    </row>
    <row r="398" ht="15.75" customHeight="1">
      <c r="A398" s="81"/>
      <c r="B398" s="180"/>
      <c r="C398" s="1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222"/>
      <c r="AB398" s="222"/>
      <c r="AC398" s="222"/>
      <c r="AD398" s="222"/>
      <c r="AE398" s="81"/>
      <c r="AF398" s="81"/>
    </row>
    <row r="399" ht="15.75" customHeight="1">
      <c r="A399" s="81"/>
      <c r="B399" s="180"/>
      <c r="C399" s="1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222"/>
      <c r="AB399" s="222"/>
      <c r="AC399" s="222"/>
      <c r="AD399" s="222"/>
      <c r="AE399" s="81"/>
      <c r="AF399" s="81"/>
    </row>
    <row r="400" ht="15.75" customHeight="1">
      <c r="A400" s="81"/>
      <c r="B400" s="180"/>
      <c r="C400" s="1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222"/>
      <c r="AB400" s="222"/>
      <c r="AC400" s="222"/>
      <c r="AD400" s="222"/>
      <c r="AE400" s="81"/>
      <c r="AF400" s="81"/>
    </row>
    <row r="401" ht="15.75" customHeight="1">
      <c r="A401" s="81"/>
      <c r="B401" s="180"/>
      <c r="C401" s="1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0"/>
      <c r="AB401" s="80"/>
      <c r="AC401" s="81"/>
      <c r="AD401" s="81"/>
      <c r="AE401" s="81"/>
      <c r="AF401" s="81"/>
    </row>
    <row r="402" ht="15.75" customHeight="1">
      <c r="A402" s="81"/>
      <c r="B402" s="180"/>
      <c r="C402" s="1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0"/>
      <c r="AB402" s="80"/>
      <c r="AC402" s="81"/>
      <c r="AD402" s="81"/>
      <c r="AE402" s="81"/>
      <c r="AF402" s="81"/>
    </row>
    <row r="403" ht="15.75" customHeight="1">
      <c r="A403" s="81"/>
      <c r="B403" s="180"/>
      <c r="C403" s="1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0"/>
      <c r="AB403" s="80"/>
      <c r="AC403" s="81"/>
      <c r="AD403" s="81"/>
      <c r="AE403" s="81"/>
      <c r="AF403" s="81"/>
    </row>
    <row r="404" ht="15.75" customHeight="1">
      <c r="A404" s="81"/>
      <c r="B404" s="180"/>
      <c r="C404" s="1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0"/>
      <c r="AB404" s="80"/>
      <c r="AC404" s="81"/>
      <c r="AD404" s="81"/>
      <c r="AE404" s="81"/>
      <c r="AF404" s="81"/>
    </row>
    <row r="405" ht="15.75" customHeight="1">
      <c r="A405" s="81"/>
      <c r="B405" s="180"/>
      <c r="C405" s="1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0"/>
      <c r="AB405" s="80"/>
      <c r="AC405" s="81"/>
      <c r="AD405" s="81"/>
      <c r="AE405" s="81"/>
      <c r="AF405" s="81"/>
    </row>
    <row r="406" ht="15.75" customHeight="1">
      <c r="A406" s="81"/>
      <c r="B406" s="180"/>
      <c r="C406" s="1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0"/>
      <c r="AB406" s="80"/>
      <c r="AC406" s="81"/>
      <c r="AD406" s="81"/>
      <c r="AE406" s="81"/>
      <c r="AF406" s="81"/>
    </row>
    <row r="407" ht="15.75" customHeight="1">
      <c r="A407" s="81"/>
      <c r="B407" s="180"/>
      <c r="C407" s="1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0"/>
      <c r="AB407" s="80"/>
      <c r="AC407" s="81"/>
      <c r="AD407" s="81"/>
      <c r="AE407" s="81"/>
      <c r="AF407" s="81"/>
    </row>
    <row r="408" ht="15.75" customHeight="1">
      <c r="A408" s="81"/>
      <c r="B408" s="180"/>
      <c r="C408" s="1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0"/>
      <c r="AB408" s="80"/>
      <c r="AC408" s="81"/>
      <c r="AD408" s="81"/>
      <c r="AE408" s="81"/>
      <c r="AF408" s="81"/>
    </row>
    <row r="409" ht="15.75" customHeight="1">
      <c r="A409" s="81"/>
      <c r="B409" s="180"/>
      <c r="C409" s="1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0"/>
      <c r="AB409" s="80"/>
      <c r="AC409" s="81"/>
      <c r="AD409" s="81"/>
      <c r="AE409" s="81"/>
      <c r="AF409" s="81"/>
    </row>
    <row r="410" ht="15.75" customHeight="1">
      <c r="A410" s="81"/>
      <c r="B410" s="180"/>
      <c r="C410" s="1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0"/>
      <c r="AB410" s="80"/>
      <c r="AC410" s="81"/>
      <c r="AD410" s="81"/>
      <c r="AE410" s="81"/>
      <c r="AF410" s="81"/>
    </row>
    <row r="411" ht="15.75" customHeight="1">
      <c r="A411" s="81"/>
      <c r="B411" s="180"/>
      <c r="C411" s="1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0"/>
      <c r="AB411" s="80"/>
      <c r="AC411" s="81"/>
      <c r="AD411" s="81"/>
      <c r="AE411" s="81"/>
      <c r="AF411" s="81"/>
    </row>
    <row r="412" ht="15.75" customHeight="1">
      <c r="A412" s="81"/>
      <c r="B412" s="180"/>
      <c r="C412" s="1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0"/>
      <c r="AB412" s="80"/>
      <c r="AC412" s="81"/>
      <c r="AD412" s="81"/>
      <c r="AE412" s="81"/>
      <c r="AF412" s="81"/>
    </row>
    <row r="413" ht="15.75" customHeight="1">
      <c r="A413" s="81"/>
      <c r="B413" s="180"/>
      <c r="C413" s="1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0"/>
      <c r="AB413" s="80"/>
      <c r="AC413" s="81"/>
      <c r="AD413" s="81"/>
      <c r="AE413" s="81"/>
      <c r="AF413" s="81"/>
    </row>
    <row r="414" ht="15.75" customHeight="1">
      <c r="A414" s="81"/>
      <c r="B414" s="180"/>
      <c r="C414" s="1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0"/>
      <c r="AB414" s="80"/>
      <c r="AC414" s="81"/>
      <c r="AD414" s="81"/>
      <c r="AE414" s="81"/>
      <c r="AF414" s="81"/>
    </row>
    <row r="415" ht="15.75" customHeight="1">
      <c r="A415" s="81"/>
      <c r="B415" s="180"/>
      <c r="C415" s="1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0"/>
      <c r="AB415" s="80"/>
      <c r="AC415" s="81"/>
      <c r="AD415" s="81"/>
      <c r="AE415" s="81"/>
      <c r="AF415" s="81"/>
    </row>
    <row r="416" ht="15.75" customHeight="1">
      <c r="A416" s="81"/>
      <c r="B416" s="180"/>
      <c r="C416" s="1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0"/>
      <c r="AB416" s="80"/>
      <c r="AC416" s="81"/>
      <c r="AD416" s="81"/>
      <c r="AE416" s="81"/>
      <c r="AF416" s="81"/>
    </row>
    <row r="417" ht="15.75" customHeight="1">
      <c r="A417" s="81"/>
      <c r="B417" s="180"/>
      <c r="C417" s="1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0"/>
      <c r="AB417" s="80"/>
      <c r="AC417" s="81"/>
      <c r="AD417" s="81"/>
      <c r="AE417" s="81"/>
      <c r="AF417" s="81"/>
    </row>
    <row r="418" ht="15.75" customHeight="1">
      <c r="A418" s="81"/>
      <c r="B418" s="180"/>
      <c r="C418" s="1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  <c r="AA418" s="80"/>
      <c r="AB418" s="80"/>
      <c r="AC418" s="81"/>
      <c r="AD418" s="81"/>
      <c r="AE418" s="81"/>
      <c r="AF418" s="81"/>
    </row>
    <row r="419" ht="15.75" customHeight="1">
      <c r="A419" s="81"/>
      <c r="B419" s="180"/>
      <c r="C419" s="1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  <c r="AA419" s="80"/>
      <c r="AB419" s="80"/>
      <c r="AC419" s="81"/>
      <c r="AD419" s="81"/>
      <c r="AE419" s="81"/>
      <c r="AF419" s="81"/>
    </row>
    <row r="420" ht="15.75" customHeight="1">
      <c r="A420" s="81"/>
      <c r="B420" s="180"/>
      <c r="C420" s="1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  <c r="AA420" s="80"/>
      <c r="AB420" s="80"/>
      <c r="AC420" s="81"/>
      <c r="AD420" s="81"/>
      <c r="AE420" s="81"/>
      <c r="AF420" s="81"/>
    </row>
    <row r="421" ht="15.75" customHeight="1">
      <c r="A421" s="81"/>
      <c r="B421" s="180"/>
      <c r="C421" s="1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  <c r="AA421" s="80"/>
      <c r="AB421" s="80"/>
      <c r="AC421" s="81"/>
      <c r="AD421" s="81"/>
      <c r="AE421" s="81"/>
      <c r="AF421" s="81"/>
    </row>
    <row r="422" ht="15.75" customHeight="1">
      <c r="A422" s="81"/>
      <c r="B422" s="180"/>
      <c r="C422" s="1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  <c r="AA422" s="80"/>
      <c r="AB422" s="80"/>
      <c r="AC422" s="81"/>
      <c r="AD422" s="81"/>
      <c r="AE422" s="81"/>
      <c r="AF422" s="81"/>
    </row>
    <row r="423" ht="15.75" customHeight="1">
      <c r="A423" s="81"/>
      <c r="B423" s="180"/>
      <c r="C423" s="1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  <c r="AA423" s="80"/>
      <c r="AB423" s="80"/>
      <c r="AC423" s="81"/>
      <c r="AD423" s="81"/>
      <c r="AE423" s="81"/>
      <c r="AF423" s="81"/>
    </row>
    <row r="424" ht="15.75" customHeight="1">
      <c r="A424" s="81"/>
      <c r="B424" s="180"/>
      <c r="C424" s="1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0"/>
      <c r="AB424" s="80"/>
      <c r="AC424" s="81"/>
      <c r="AD424" s="81"/>
      <c r="AE424" s="81"/>
      <c r="AF424" s="81"/>
    </row>
    <row r="425" ht="15.75" customHeight="1">
      <c r="A425" s="81"/>
      <c r="B425" s="180"/>
      <c r="C425" s="1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  <c r="AA425" s="80"/>
      <c r="AB425" s="80"/>
      <c r="AC425" s="81"/>
      <c r="AD425" s="81"/>
      <c r="AE425" s="81"/>
      <c r="AF425" s="81"/>
    </row>
    <row r="426" ht="15.75" customHeight="1">
      <c r="A426" s="81"/>
      <c r="B426" s="180"/>
      <c r="C426" s="1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  <c r="AA426" s="80"/>
      <c r="AB426" s="80"/>
      <c r="AC426" s="81"/>
      <c r="AD426" s="81"/>
      <c r="AE426" s="81"/>
      <c r="AF426" s="81"/>
    </row>
    <row r="427" ht="15.75" customHeight="1">
      <c r="A427" s="81"/>
      <c r="B427" s="180"/>
      <c r="C427" s="1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  <c r="AA427" s="80"/>
      <c r="AB427" s="80"/>
      <c r="AC427" s="81"/>
      <c r="AD427" s="81"/>
      <c r="AE427" s="81"/>
      <c r="AF427" s="81"/>
    </row>
    <row r="428" ht="15.75" customHeight="1">
      <c r="A428" s="81"/>
      <c r="B428" s="180"/>
      <c r="C428" s="1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  <c r="AA428" s="80"/>
      <c r="AB428" s="80"/>
      <c r="AC428" s="81"/>
      <c r="AD428" s="81"/>
      <c r="AE428" s="81"/>
      <c r="AF428" s="81"/>
    </row>
    <row r="429" ht="15.75" customHeight="1">
      <c r="A429" s="81"/>
      <c r="B429" s="180"/>
      <c r="C429" s="1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  <c r="AA429" s="80"/>
      <c r="AB429" s="80"/>
      <c r="AC429" s="81"/>
      <c r="AD429" s="81"/>
      <c r="AE429" s="81"/>
      <c r="AF429" s="81"/>
    </row>
    <row r="430" ht="15.75" customHeight="1">
      <c r="A430" s="81"/>
      <c r="B430" s="180"/>
      <c r="C430" s="1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  <c r="AA430" s="80"/>
      <c r="AB430" s="80"/>
      <c r="AC430" s="81"/>
      <c r="AD430" s="81"/>
      <c r="AE430" s="81"/>
      <c r="AF430" s="81"/>
    </row>
    <row r="431" ht="15.75" customHeight="1">
      <c r="A431" s="81"/>
      <c r="B431" s="180"/>
      <c r="C431" s="1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  <c r="AA431" s="80"/>
      <c r="AB431" s="80"/>
      <c r="AC431" s="81"/>
      <c r="AD431" s="81"/>
      <c r="AE431" s="81"/>
      <c r="AF431" s="81"/>
    </row>
    <row r="432" ht="15.75" customHeight="1">
      <c r="A432" s="81"/>
      <c r="B432" s="180"/>
      <c r="C432" s="1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  <c r="AA432" s="80"/>
      <c r="AB432" s="80"/>
      <c r="AC432" s="81"/>
      <c r="AD432" s="81"/>
      <c r="AE432" s="81"/>
      <c r="AF432" s="81"/>
    </row>
    <row r="433" ht="15.75" customHeight="1">
      <c r="A433" s="81"/>
      <c r="B433" s="180"/>
      <c r="C433" s="1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  <c r="AA433" s="80"/>
      <c r="AB433" s="80"/>
      <c r="AC433" s="81"/>
      <c r="AD433" s="81"/>
      <c r="AE433" s="81"/>
      <c r="AF433" s="81"/>
    </row>
    <row r="434" ht="15.75" customHeight="1">
      <c r="A434" s="81"/>
      <c r="B434" s="180"/>
      <c r="C434" s="1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  <c r="AA434" s="80"/>
      <c r="AB434" s="80"/>
      <c r="AC434" s="81"/>
      <c r="AD434" s="81"/>
      <c r="AE434" s="81"/>
      <c r="AF434" s="81"/>
    </row>
    <row r="435" ht="15.75" customHeight="1">
      <c r="A435" s="81"/>
      <c r="B435" s="180"/>
      <c r="C435" s="1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  <c r="AA435" s="80"/>
      <c r="AB435" s="80"/>
      <c r="AC435" s="81"/>
      <c r="AD435" s="81"/>
      <c r="AE435" s="81"/>
      <c r="AF435" s="81"/>
    </row>
    <row r="436" ht="15.75" customHeight="1">
      <c r="A436" s="81"/>
      <c r="B436" s="180"/>
      <c r="C436" s="1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  <c r="AA436" s="80"/>
      <c r="AB436" s="80"/>
      <c r="AC436" s="81"/>
      <c r="AD436" s="81"/>
      <c r="AE436" s="81"/>
      <c r="AF436" s="81"/>
    </row>
    <row r="437" ht="15.75" customHeight="1">
      <c r="A437" s="81"/>
      <c r="B437" s="180"/>
      <c r="C437" s="1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  <c r="AA437" s="80"/>
      <c r="AB437" s="80"/>
      <c r="AC437" s="81"/>
      <c r="AD437" s="81"/>
      <c r="AE437" s="81"/>
      <c r="AF437" s="81"/>
    </row>
    <row r="438" ht="15.75" customHeight="1">
      <c r="A438" s="81"/>
      <c r="B438" s="180"/>
      <c r="C438" s="1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  <c r="AA438" s="80"/>
      <c r="AB438" s="80"/>
      <c r="AC438" s="81"/>
      <c r="AD438" s="81"/>
      <c r="AE438" s="81"/>
      <c r="AF438" s="81"/>
    </row>
    <row r="439" ht="15.75" customHeight="1">
      <c r="A439" s="81"/>
      <c r="B439" s="180"/>
      <c r="C439" s="1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  <c r="AA439" s="80"/>
      <c r="AB439" s="80"/>
      <c r="AC439" s="81"/>
      <c r="AD439" s="81"/>
      <c r="AE439" s="81"/>
      <c r="AF439" s="81"/>
    </row>
    <row r="440" ht="15.75" customHeight="1">
      <c r="A440" s="81"/>
      <c r="B440" s="180"/>
      <c r="C440" s="1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0"/>
      <c r="AB440" s="80"/>
      <c r="AC440" s="81"/>
      <c r="AD440" s="81"/>
      <c r="AE440" s="81"/>
      <c r="AF440" s="81"/>
    </row>
    <row r="441" ht="15.75" customHeight="1">
      <c r="A441" s="81"/>
      <c r="B441" s="180"/>
      <c r="C441" s="1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0"/>
      <c r="AB441" s="80"/>
      <c r="AC441" s="81"/>
      <c r="AD441" s="81"/>
      <c r="AE441" s="81"/>
      <c r="AF441" s="81"/>
    </row>
    <row r="442" ht="15.75" customHeight="1">
      <c r="A442" s="81"/>
      <c r="B442" s="180"/>
      <c r="C442" s="1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0"/>
      <c r="AB442" s="80"/>
      <c r="AC442" s="81"/>
      <c r="AD442" s="81"/>
      <c r="AE442" s="81"/>
      <c r="AF442" s="81"/>
    </row>
    <row r="443" ht="15.75" customHeight="1">
      <c r="A443" s="81"/>
      <c r="B443" s="180"/>
      <c r="C443" s="1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0"/>
      <c r="AB443" s="80"/>
      <c r="AC443" s="81"/>
      <c r="AD443" s="81"/>
      <c r="AE443" s="81"/>
      <c r="AF443" s="81"/>
    </row>
    <row r="444" ht="15.75" customHeight="1">
      <c r="A444" s="81"/>
      <c r="B444" s="180"/>
      <c r="C444" s="1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0"/>
      <c r="AB444" s="80"/>
      <c r="AC444" s="81"/>
      <c r="AD444" s="81"/>
      <c r="AE444" s="81"/>
      <c r="AF444" s="81"/>
    </row>
    <row r="445" ht="15.75" customHeight="1">
      <c r="A445" s="81"/>
      <c r="B445" s="180"/>
      <c r="C445" s="1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0"/>
      <c r="AB445" s="80"/>
      <c r="AC445" s="81"/>
      <c r="AD445" s="81"/>
      <c r="AE445" s="81"/>
      <c r="AF445" s="81"/>
    </row>
    <row r="446" ht="15.75" customHeight="1">
      <c r="A446" s="81"/>
      <c r="B446" s="180"/>
      <c r="C446" s="1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0"/>
      <c r="AB446" s="80"/>
      <c r="AC446" s="81"/>
      <c r="AD446" s="81"/>
      <c r="AE446" s="81"/>
      <c r="AF446" s="81"/>
    </row>
    <row r="447" ht="15.75" customHeight="1">
      <c r="A447" s="81"/>
      <c r="B447" s="180"/>
      <c r="C447" s="1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0"/>
      <c r="AB447" s="80"/>
      <c r="AC447" s="81"/>
      <c r="AD447" s="81"/>
      <c r="AE447" s="81"/>
      <c r="AF447" s="81"/>
    </row>
    <row r="448" ht="15.75" customHeight="1">
      <c r="A448" s="81"/>
      <c r="B448" s="180"/>
      <c r="C448" s="1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0"/>
      <c r="AB448" s="80"/>
      <c r="AC448" s="81"/>
      <c r="AD448" s="81"/>
      <c r="AE448" s="81"/>
      <c r="AF448" s="81"/>
    </row>
    <row r="449" ht="15.75" customHeight="1">
      <c r="A449" s="81"/>
      <c r="B449" s="180"/>
      <c r="C449" s="1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0"/>
      <c r="AB449" s="80"/>
      <c r="AC449" s="81"/>
      <c r="AD449" s="81"/>
      <c r="AE449" s="81"/>
      <c r="AF449" s="81"/>
    </row>
    <row r="450" ht="15.75" customHeight="1">
      <c r="A450" s="81"/>
      <c r="B450" s="180"/>
      <c r="C450" s="1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0"/>
      <c r="AB450" s="80"/>
      <c r="AC450" s="81"/>
      <c r="AD450" s="81"/>
      <c r="AE450" s="81"/>
      <c r="AF450" s="81"/>
    </row>
    <row r="451" ht="15.75" customHeight="1">
      <c r="A451" s="81"/>
      <c r="B451" s="180"/>
      <c r="C451" s="1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0"/>
      <c r="AB451" s="80"/>
      <c r="AC451" s="81"/>
      <c r="AD451" s="81"/>
      <c r="AE451" s="81"/>
      <c r="AF451" s="81"/>
    </row>
    <row r="452" ht="15.75" customHeight="1">
      <c r="A452" s="81"/>
      <c r="B452" s="180"/>
      <c r="C452" s="1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0"/>
      <c r="AB452" s="80"/>
      <c r="AC452" s="81"/>
      <c r="AD452" s="81"/>
      <c r="AE452" s="81"/>
      <c r="AF452" s="81"/>
    </row>
    <row r="453" ht="15.75" customHeight="1">
      <c r="A453" s="81"/>
      <c r="B453" s="180"/>
      <c r="C453" s="1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0"/>
      <c r="AB453" s="80"/>
      <c r="AC453" s="81"/>
      <c r="AD453" s="81"/>
      <c r="AE453" s="81"/>
      <c r="AF453" s="81"/>
    </row>
    <row r="454" ht="15.75" customHeight="1">
      <c r="A454" s="81"/>
      <c r="B454" s="180"/>
      <c r="C454" s="1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0"/>
      <c r="AB454" s="80"/>
      <c r="AC454" s="81"/>
      <c r="AD454" s="81"/>
      <c r="AE454" s="81"/>
      <c r="AF454" s="81"/>
    </row>
    <row r="455" ht="15.75" customHeight="1">
      <c r="A455" s="81"/>
      <c r="B455" s="180"/>
      <c r="C455" s="1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0"/>
      <c r="AB455" s="80"/>
      <c r="AC455" s="81"/>
      <c r="AD455" s="81"/>
      <c r="AE455" s="81"/>
      <c r="AF455" s="81"/>
    </row>
    <row r="456" ht="15.75" customHeight="1">
      <c r="A456" s="81"/>
      <c r="B456" s="180"/>
      <c r="C456" s="1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0"/>
      <c r="AB456" s="80"/>
      <c r="AC456" s="81"/>
      <c r="AD456" s="81"/>
      <c r="AE456" s="81"/>
      <c r="AF456" s="81"/>
    </row>
    <row r="457" ht="15.75" customHeight="1">
      <c r="A457" s="81"/>
      <c r="B457" s="180"/>
      <c r="C457" s="1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0"/>
      <c r="AB457" s="80"/>
      <c r="AC457" s="81"/>
      <c r="AD457" s="81"/>
      <c r="AE457" s="81"/>
      <c r="AF457" s="81"/>
    </row>
    <row r="458" ht="15.75" customHeight="1">
      <c r="A458" s="81"/>
      <c r="B458" s="180"/>
      <c r="C458" s="1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0"/>
      <c r="AB458" s="80"/>
      <c r="AC458" s="81"/>
      <c r="AD458" s="81"/>
      <c r="AE458" s="81"/>
      <c r="AF458" s="81"/>
    </row>
    <row r="459" ht="15.75" customHeight="1">
      <c r="A459" s="81"/>
      <c r="B459" s="180"/>
      <c r="C459" s="1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0"/>
      <c r="AB459" s="80"/>
      <c r="AC459" s="81"/>
      <c r="AD459" s="81"/>
      <c r="AE459" s="81"/>
      <c r="AF459" s="81"/>
    </row>
    <row r="460" ht="15.75" customHeight="1">
      <c r="A460" s="81"/>
      <c r="B460" s="180"/>
      <c r="C460" s="1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0"/>
      <c r="AB460" s="80"/>
      <c r="AC460" s="81"/>
      <c r="AD460" s="81"/>
      <c r="AE460" s="81"/>
      <c r="AF460" s="81"/>
    </row>
    <row r="461" ht="15.75" customHeight="1">
      <c r="A461" s="81"/>
      <c r="B461" s="180"/>
      <c r="C461" s="1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0"/>
      <c r="AB461" s="80"/>
      <c r="AC461" s="81"/>
      <c r="AD461" s="81"/>
      <c r="AE461" s="81"/>
      <c r="AF461" s="81"/>
    </row>
    <row r="462" ht="15.75" customHeight="1">
      <c r="A462" s="81"/>
      <c r="B462" s="180"/>
      <c r="C462" s="1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0"/>
      <c r="AB462" s="80"/>
      <c r="AC462" s="81"/>
      <c r="AD462" s="81"/>
      <c r="AE462" s="81"/>
      <c r="AF462" s="81"/>
    </row>
    <row r="463" ht="15.75" customHeight="1">
      <c r="A463" s="81"/>
      <c r="B463" s="180"/>
      <c r="C463" s="1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  <c r="AA463" s="80"/>
      <c r="AB463" s="80"/>
      <c r="AC463" s="81"/>
      <c r="AD463" s="81"/>
      <c r="AE463" s="81"/>
      <c r="AF463" s="81"/>
    </row>
    <row r="464" ht="15.75" customHeight="1">
      <c r="A464" s="81"/>
      <c r="B464" s="180"/>
      <c r="C464" s="1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  <c r="AA464" s="80"/>
      <c r="AB464" s="80"/>
      <c r="AC464" s="81"/>
      <c r="AD464" s="81"/>
      <c r="AE464" s="81"/>
      <c r="AF464" s="81"/>
    </row>
    <row r="465" ht="15.75" customHeight="1">
      <c r="A465" s="81"/>
      <c r="B465" s="180"/>
      <c r="C465" s="1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  <c r="AA465" s="80"/>
      <c r="AB465" s="80"/>
      <c r="AC465" s="81"/>
      <c r="AD465" s="81"/>
      <c r="AE465" s="81"/>
      <c r="AF465" s="81"/>
    </row>
    <row r="466" ht="15.75" customHeight="1">
      <c r="A466" s="81"/>
      <c r="B466" s="180"/>
      <c r="C466" s="1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  <c r="AA466" s="80"/>
      <c r="AB466" s="80"/>
      <c r="AC466" s="81"/>
      <c r="AD466" s="81"/>
      <c r="AE466" s="81"/>
      <c r="AF466" s="81"/>
    </row>
    <row r="467" ht="15.75" customHeight="1">
      <c r="A467" s="81"/>
      <c r="B467" s="180"/>
      <c r="C467" s="1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  <c r="AA467" s="80"/>
      <c r="AB467" s="80"/>
      <c r="AC467" s="81"/>
      <c r="AD467" s="81"/>
      <c r="AE467" s="81"/>
      <c r="AF467" s="81"/>
    </row>
    <row r="468" ht="15.75" customHeight="1">
      <c r="A468" s="81"/>
      <c r="B468" s="180"/>
      <c r="C468" s="1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  <c r="AA468" s="80"/>
      <c r="AB468" s="80"/>
      <c r="AC468" s="81"/>
      <c r="AD468" s="81"/>
      <c r="AE468" s="81"/>
      <c r="AF468" s="81"/>
    </row>
    <row r="469" ht="15.75" customHeight="1">
      <c r="A469" s="81"/>
      <c r="B469" s="180"/>
      <c r="C469" s="1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  <c r="AA469" s="80"/>
      <c r="AB469" s="80"/>
      <c r="AC469" s="81"/>
      <c r="AD469" s="81"/>
      <c r="AE469" s="81"/>
      <c r="AF469" s="81"/>
    </row>
    <row r="470" ht="15.75" customHeight="1">
      <c r="A470" s="81"/>
      <c r="B470" s="180"/>
      <c r="C470" s="1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  <c r="AA470" s="80"/>
      <c r="AB470" s="80"/>
      <c r="AC470" s="81"/>
      <c r="AD470" s="81"/>
      <c r="AE470" s="81"/>
      <c r="AF470" s="81"/>
    </row>
    <row r="471" ht="15.75" customHeight="1">
      <c r="A471" s="81"/>
      <c r="B471" s="180"/>
      <c r="C471" s="1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  <c r="AA471" s="80"/>
      <c r="AB471" s="80"/>
      <c r="AC471" s="81"/>
      <c r="AD471" s="81"/>
      <c r="AE471" s="81"/>
      <c r="AF471" s="81"/>
    </row>
    <row r="472" ht="15.75" customHeight="1">
      <c r="A472" s="81"/>
      <c r="B472" s="180"/>
      <c r="C472" s="1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  <c r="AA472" s="80"/>
      <c r="AB472" s="80"/>
      <c r="AC472" s="81"/>
      <c r="AD472" s="81"/>
      <c r="AE472" s="81"/>
      <c r="AF472" s="81"/>
    </row>
    <row r="473" ht="15.75" customHeight="1">
      <c r="A473" s="81"/>
      <c r="B473" s="180"/>
      <c r="C473" s="1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  <c r="AA473" s="80"/>
      <c r="AB473" s="80"/>
      <c r="AC473" s="81"/>
      <c r="AD473" s="81"/>
      <c r="AE473" s="81"/>
      <c r="AF473" s="81"/>
    </row>
    <row r="474" ht="15.75" customHeight="1">
      <c r="A474" s="81"/>
      <c r="B474" s="180"/>
      <c r="C474" s="1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  <c r="AA474" s="80"/>
      <c r="AB474" s="80"/>
      <c r="AC474" s="81"/>
      <c r="AD474" s="81"/>
      <c r="AE474" s="81"/>
      <c r="AF474" s="81"/>
    </row>
    <row r="475" ht="15.75" customHeight="1">
      <c r="A475" s="81"/>
      <c r="B475" s="180"/>
      <c r="C475" s="1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  <c r="AA475" s="80"/>
      <c r="AB475" s="80"/>
      <c r="AC475" s="81"/>
      <c r="AD475" s="81"/>
      <c r="AE475" s="81"/>
      <c r="AF475" s="81"/>
    </row>
    <row r="476" ht="15.75" customHeight="1">
      <c r="A476" s="81"/>
      <c r="B476" s="180"/>
      <c r="C476" s="1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  <c r="AA476" s="80"/>
      <c r="AB476" s="80"/>
      <c r="AC476" s="81"/>
      <c r="AD476" s="81"/>
      <c r="AE476" s="81"/>
      <c r="AF476" s="81"/>
    </row>
    <row r="477" ht="15.75" customHeight="1">
      <c r="A477" s="81"/>
      <c r="B477" s="180"/>
      <c r="C477" s="1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  <c r="AA477" s="80"/>
      <c r="AB477" s="80"/>
      <c r="AC477" s="81"/>
      <c r="AD477" s="81"/>
      <c r="AE477" s="81"/>
      <c r="AF477" s="81"/>
    </row>
    <row r="478" ht="15.75" customHeight="1">
      <c r="A478" s="81"/>
      <c r="B478" s="180"/>
      <c r="C478" s="1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  <c r="AA478" s="80"/>
      <c r="AB478" s="80"/>
      <c r="AC478" s="81"/>
      <c r="AD478" s="81"/>
      <c r="AE478" s="81"/>
      <c r="AF478" s="81"/>
    </row>
    <row r="479" ht="15.75" customHeight="1">
      <c r="A479" s="81"/>
      <c r="B479" s="180"/>
      <c r="C479" s="1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  <c r="AA479" s="80"/>
      <c r="AB479" s="80"/>
      <c r="AC479" s="81"/>
      <c r="AD479" s="81"/>
      <c r="AE479" s="81"/>
      <c r="AF479" s="81"/>
    </row>
    <row r="480" ht="15.75" customHeight="1">
      <c r="A480" s="81"/>
      <c r="B480" s="180"/>
      <c r="C480" s="1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  <c r="AA480" s="80"/>
      <c r="AB480" s="80"/>
      <c r="AC480" s="81"/>
      <c r="AD480" s="81"/>
      <c r="AE480" s="81"/>
      <c r="AF480" s="81"/>
    </row>
    <row r="481" ht="15.75" customHeight="1">
      <c r="A481" s="81"/>
      <c r="B481" s="180"/>
      <c r="C481" s="1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  <c r="AA481" s="80"/>
      <c r="AB481" s="80"/>
      <c r="AC481" s="81"/>
      <c r="AD481" s="81"/>
      <c r="AE481" s="81"/>
      <c r="AF481" s="81"/>
    </row>
    <row r="482" ht="15.75" customHeight="1">
      <c r="A482" s="81"/>
      <c r="B482" s="180"/>
      <c r="C482" s="1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  <c r="AA482" s="80"/>
      <c r="AB482" s="80"/>
      <c r="AC482" s="81"/>
      <c r="AD482" s="81"/>
      <c r="AE482" s="81"/>
      <c r="AF482" s="81"/>
    </row>
    <row r="483" ht="15.75" customHeight="1">
      <c r="A483" s="81"/>
      <c r="B483" s="180"/>
      <c r="C483" s="1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0"/>
      <c r="AB483" s="80"/>
      <c r="AC483" s="81"/>
      <c r="AD483" s="81"/>
      <c r="AE483" s="81"/>
      <c r="AF483" s="81"/>
    </row>
    <row r="484" ht="15.75" customHeight="1">
      <c r="A484" s="81"/>
      <c r="B484" s="180"/>
      <c r="C484" s="1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  <c r="AA484" s="80"/>
      <c r="AB484" s="80"/>
      <c r="AC484" s="81"/>
      <c r="AD484" s="81"/>
      <c r="AE484" s="81"/>
      <c r="AF484" s="81"/>
    </row>
    <row r="485" ht="15.75" customHeight="1">
      <c r="A485" s="81"/>
      <c r="B485" s="180"/>
      <c r="C485" s="1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0"/>
      <c r="AB485" s="80"/>
      <c r="AC485" s="81"/>
      <c r="AD485" s="81"/>
      <c r="AE485" s="81"/>
      <c r="AF485" s="81"/>
    </row>
    <row r="486" ht="15.75" customHeight="1">
      <c r="A486" s="81"/>
      <c r="B486" s="180"/>
      <c r="C486" s="1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0"/>
      <c r="AB486" s="80"/>
      <c r="AC486" s="81"/>
      <c r="AD486" s="81"/>
      <c r="AE486" s="81"/>
      <c r="AF486" s="81"/>
    </row>
    <row r="487" ht="15.75" customHeight="1">
      <c r="A487" s="81"/>
      <c r="B487" s="180"/>
      <c r="C487" s="1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0"/>
      <c r="AB487" s="80"/>
      <c r="AC487" s="81"/>
      <c r="AD487" s="81"/>
      <c r="AE487" s="81"/>
      <c r="AF487" s="81"/>
    </row>
    <row r="488" ht="15.75" customHeight="1">
      <c r="A488" s="81"/>
      <c r="B488" s="180"/>
      <c r="C488" s="1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0"/>
      <c r="AB488" s="80"/>
      <c r="AC488" s="81"/>
      <c r="AD488" s="81"/>
      <c r="AE488" s="81"/>
      <c r="AF488" s="81"/>
    </row>
    <row r="489" ht="15.75" customHeight="1">
      <c r="A489" s="81"/>
      <c r="B489" s="180"/>
      <c r="C489" s="1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0"/>
      <c r="AB489" s="80"/>
      <c r="AC489" s="81"/>
      <c r="AD489" s="81"/>
      <c r="AE489" s="81"/>
      <c r="AF489" s="81"/>
    </row>
    <row r="490" ht="15.75" customHeight="1">
      <c r="A490" s="81"/>
      <c r="B490" s="180"/>
      <c r="C490" s="1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0"/>
      <c r="AB490" s="80"/>
      <c r="AC490" s="81"/>
      <c r="AD490" s="81"/>
      <c r="AE490" s="81"/>
      <c r="AF490" s="81"/>
    </row>
    <row r="491" ht="15.75" customHeight="1">
      <c r="A491" s="81"/>
      <c r="B491" s="180"/>
      <c r="C491" s="1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0"/>
      <c r="AB491" s="80"/>
      <c r="AC491" s="81"/>
      <c r="AD491" s="81"/>
      <c r="AE491" s="81"/>
      <c r="AF491" s="81"/>
    </row>
    <row r="492" ht="15.75" customHeight="1">
      <c r="A492" s="81"/>
      <c r="B492" s="180"/>
      <c r="C492" s="1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0"/>
      <c r="AB492" s="80"/>
      <c r="AC492" s="81"/>
      <c r="AD492" s="81"/>
      <c r="AE492" s="81"/>
      <c r="AF492" s="81"/>
    </row>
    <row r="493" ht="15.75" customHeight="1">
      <c r="A493" s="81"/>
      <c r="B493" s="180"/>
      <c r="C493" s="1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0"/>
      <c r="AB493" s="80"/>
      <c r="AC493" s="81"/>
      <c r="AD493" s="81"/>
      <c r="AE493" s="81"/>
      <c r="AF493" s="81"/>
    </row>
    <row r="494" ht="15.75" customHeight="1">
      <c r="A494" s="81"/>
      <c r="B494" s="180"/>
      <c r="C494" s="1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0"/>
      <c r="AB494" s="80"/>
      <c r="AC494" s="81"/>
      <c r="AD494" s="81"/>
      <c r="AE494" s="81"/>
      <c r="AF494" s="81"/>
    </row>
    <row r="495" ht="15.75" customHeight="1">
      <c r="A495" s="81"/>
      <c r="B495" s="180"/>
      <c r="C495" s="1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0"/>
      <c r="AB495" s="80"/>
      <c r="AC495" s="81"/>
      <c r="AD495" s="81"/>
      <c r="AE495" s="81"/>
      <c r="AF495" s="81"/>
    </row>
    <row r="496" ht="15.75" customHeight="1">
      <c r="A496" s="81"/>
      <c r="B496" s="180"/>
      <c r="C496" s="1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0"/>
      <c r="AB496" s="80"/>
      <c r="AC496" s="81"/>
      <c r="AD496" s="81"/>
      <c r="AE496" s="81"/>
      <c r="AF496" s="81"/>
    </row>
    <row r="497" ht="15.75" customHeight="1">
      <c r="A497" s="81"/>
      <c r="B497" s="180"/>
      <c r="C497" s="1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0"/>
      <c r="AB497" s="80"/>
      <c r="AC497" s="81"/>
      <c r="AD497" s="81"/>
      <c r="AE497" s="81"/>
      <c r="AF497" s="81"/>
    </row>
    <row r="498" ht="15.75" customHeight="1">
      <c r="A498" s="81"/>
      <c r="B498" s="180"/>
      <c r="C498" s="1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0"/>
      <c r="AB498" s="80"/>
      <c r="AC498" s="81"/>
      <c r="AD498" s="81"/>
      <c r="AE498" s="81"/>
      <c r="AF498" s="81"/>
    </row>
    <row r="499" ht="15.75" customHeight="1">
      <c r="A499" s="81"/>
      <c r="B499" s="180"/>
      <c r="C499" s="1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0"/>
      <c r="AB499" s="80"/>
      <c r="AC499" s="81"/>
      <c r="AD499" s="81"/>
      <c r="AE499" s="81"/>
      <c r="AF499" s="81"/>
    </row>
    <row r="500" ht="15.75" customHeight="1">
      <c r="A500" s="81"/>
      <c r="B500" s="180"/>
      <c r="C500" s="1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0"/>
      <c r="AB500" s="80"/>
      <c r="AC500" s="81"/>
      <c r="AD500" s="81"/>
      <c r="AE500" s="81"/>
      <c r="AF500" s="81"/>
    </row>
    <row r="501" ht="15.75" customHeight="1">
      <c r="A501" s="81"/>
      <c r="B501" s="180"/>
      <c r="C501" s="1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0"/>
      <c r="AB501" s="80"/>
      <c r="AC501" s="81"/>
      <c r="AD501" s="81"/>
      <c r="AE501" s="81"/>
      <c r="AF501" s="81"/>
    </row>
    <row r="502" ht="15.75" customHeight="1">
      <c r="A502" s="81"/>
      <c r="B502" s="180"/>
      <c r="C502" s="1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0"/>
      <c r="AB502" s="80"/>
      <c r="AC502" s="81"/>
      <c r="AD502" s="81"/>
      <c r="AE502" s="81"/>
      <c r="AF502" s="81"/>
    </row>
    <row r="503" ht="15.75" customHeight="1">
      <c r="A503" s="81"/>
      <c r="B503" s="180"/>
      <c r="C503" s="1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0"/>
      <c r="AB503" s="80"/>
      <c r="AC503" s="81"/>
      <c r="AD503" s="81"/>
      <c r="AE503" s="81"/>
      <c r="AF503" s="81"/>
    </row>
    <row r="504" ht="15.75" customHeight="1">
      <c r="A504" s="81"/>
      <c r="B504" s="180"/>
      <c r="C504" s="1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0"/>
      <c r="AB504" s="80"/>
      <c r="AC504" s="81"/>
      <c r="AD504" s="81"/>
      <c r="AE504" s="81"/>
      <c r="AF504" s="81"/>
    </row>
    <row r="505" ht="15.75" customHeight="1">
      <c r="A505" s="81"/>
      <c r="B505" s="180"/>
      <c r="C505" s="1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0"/>
      <c r="AB505" s="80"/>
      <c r="AC505" s="81"/>
      <c r="AD505" s="81"/>
      <c r="AE505" s="81"/>
      <c r="AF505" s="81"/>
    </row>
    <row r="506" ht="15.75" customHeight="1">
      <c r="A506" s="81"/>
      <c r="B506" s="180"/>
      <c r="C506" s="1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0"/>
      <c r="AB506" s="80"/>
      <c r="AC506" s="81"/>
      <c r="AD506" s="81"/>
      <c r="AE506" s="81"/>
      <c r="AF506" s="81"/>
    </row>
    <row r="507" ht="15.75" customHeight="1">
      <c r="A507" s="81"/>
      <c r="B507" s="180"/>
      <c r="C507" s="1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0"/>
      <c r="AB507" s="80"/>
      <c r="AC507" s="81"/>
      <c r="AD507" s="81"/>
      <c r="AE507" s="81"/>
      <c r="AF507" s="81"/>
    </row>
    <row r="508" ht="15.75" customHeight="1">
      <c r="A508" s="81"/>
      <c r="B508" s="180"/>
      <c r="C508" s="1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0"/>
      <c r="AB508" s="80"/>
      <c r="AC508" s="81"/>
      <c r="AD508" s="81"/>
      <c r="AE508" s="81"/>
      <c r="AF508" s="81"/>
    </row>
    <row r="509" ht="15.75" customHeight="1">
      <c r="A509" s="81"/>
      <c r="B509" s="180"/>
      <c r="C509" s="1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  <c r="AA509" s="80"/>
      <c r="AB509" s="80"/>
      <c r="AC509" s="81"/>
      <c r="AD509" s="81"/>
      <c r="AE509" s="81"/>
      <c r="AF509" s="81"/>
    </row>
    <row r="510" ht="15.75" customHeight="1">
      <c r="A510" s="81"/>
      <c r="B510" s="180"/>
      <c r="C510" s="1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  <c r="AA510" s="80"/>
      <c r="AB510" s="80"/>
      <c r="AC510" s="81"/>
      <c r="AD510" s="81"/>
      <c r="AE510" s="81"/>
      <c r="AF510" s="81"/>
    </row>
    <row r="511" ht="15.75" customHeight="1">
      <c r="A511" s="81"/>
      <c r="B511" s="180"/>
      <c r="C511" s="1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  <c r="AA511" s="80"/>
      <c r="AB511" s="80"/>
      <c r="AC511" s="81"/>
      <c r="AD511" s="81"/>
      <c r="AE511" s="81"/>
      <c r="AF511" s="81"/>
    </row>
    <row r="512" ht="15.75" customHeight="1">
      <c r="A512" s="81"/>
      <c r="B512" s="180"/>
      <c r="C512" s="1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  <c r="AA512" s="80"/>
      <c r="AB512" s="80"/>
      <c r="AC512" s="81"/>
      <c r="AD512" s="81"/>
      <c r="AE512" s="81"/>
      <c r="AF512" s="81"/>
    </row>
    <row r="513" ht="15.75" customHeight="1">
      <c r="A513" s="81"/>
      <c r="B513" s="180"/>
      <c r="C513" s="1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  <c r="AA513" s="80"/>
      <c r="AB513" s="80"/>
      <c r="AC513" s="81"/>
      <c r="AD513" s="81"/>
      <c r="AE513" s="81"/>
      <c r="AF513" s="81"/>
    </row>
    <row r="514" ht="15.75" customHeight="1">
      <c r="A514" s="81"/>
      <c r="B514" s="180"/>
      <c r="C514" s="1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  <c r="AA514" s="80"/>
      <c r="AB514" s="80"/>
      <c r="AC514" s="81"/>
      <c r="AD514" s="81"/>
      <c r="AE514" s="81"/>
      <c r="AF514" s="81"/>
    </row>
    <row r="515" ht="15.75" customHeight="1">
      <c r="A515" s="81"/>
      <c r="B515" s="180"/>
      <c r="C515" s="1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  <c r="AA515" s="80"/>
      <c r="AB515" s="80"/>
      <c r="AC515" s="81"/>
      <c r="AD515" s="81"/>
      <c r="AE515" s="81"/>
      <c r="AF515" s="81"/>
    </row>
    <row r="516" ht="15.75" customHeight="1">
      <c r="A516" s="81"/>
      <c r="B516" s="180"/>
      <c r="C516" s="1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  <c r="AA516" s="80"/>
      <c r="AB516" s="80"/>
      <c r="AC516" s="81"/>
      <c r="AD516" s="81"/>
      <c r="AE516" s="81"/>
      <c r="AF516" s="81"/>
    </row>
    <row r="517" ht="15.75" customHeight="1">
      <c r="A517" s="81"/>
      <c r="B517" s="180"/>
      <c r="C517" s="1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  <c r="AA517" s="80"/>
      <c r="AB517" s="80"/>
      <c r="AC517" s="81"/>
      <c r="AD517" s="81"/>
      <c r="AE517" s="81"/>
      <c r="AF517" s="81"/>
    </row>
    <row r="518" ht="15.75" customHeight="1">
      <c r="A518" s="81"/>
      <c r="B518" s="180"/>
      <c r="C518" s="1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  <c r="AA518" s="80"/>
      <c r="AB518" s="80"/>
      <c r="AC518" s="81"/>
      <c r="AD518" s="81"/>
      <c r="AE518" s="81"/>
      <c r="AF518" s="81"/>
    </row>
    <row r="519" ht="15.75" customHeight="1">
      <c r="A519" s="81"/>
      <c r="B519" s="180"/>
      <c r="C519" s="1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  <c r="AA519" s="80"/>
      <c r="AB519" s="80"/>
      <c r="AC519" s="81"/>
      <c r="AD519" s="81"/>
      <c r="AE519" s="81"/>
      <c r="AF519" s="81"/>
    </row>
    <row r="520" ht="15.75" customHeight="1">
      <c r="A520" s="81"/>
      <c r="B520" s="180"/>
      <c r="C520" s="1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  <c r="AA520" s="80"/>
      <c r="AB520" s="80"/>
      <c r="AC520" s="81"/>
      <c r="AD520" s="81"/>
      <c r="AE520" s="81"/>
      <c r="AF520" s="81"/>
    </row>
    <row r="521" ht="15.75" customHeight="1">
      <c r="A521" s="81"/>
      <c r="B521" s="180"/>
      <c r="C521" s="1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  <c r="AA521" s="80"/>
      <c r="AB521" s="80"/>
      <c r="AC521" s="81"/>
      <c r="AD521" s="81"/>
      <c r="AE521" s="81"/>
      <c r="AF521" s="81"/>
    </row>
    <row r="522" ht="15.75" customHeight="1">
      <c r="A522" s="81"/>
      <c r="B522" s="180"/>
      <c r="C522" s="1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  <c r="AA522" s="80"/>
      <c r="AB522" s="80"/>
      <c r="AC522" s="81"/>
      <c r="AD522" s="81"/>
      <c r="AE522" s="81"/>
      <c r="AF522" s="81"/>
    </row>
    <row r="523" ht="15.75" customHeight="1">
      <c r="A523" s="81"/>
      <c r="B523" s="180"/>
      <c r="C523" s="1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  <c r="AA523" s="80"/>
      <c r="AB523" s="80"/>
      <c r="AC523" s="81"/>
      <c r="AD523" s="81"/>
      <c r="AE523" s="81"/>
      <c r="AF523" s="81"/>
    </row>
    <row r="524" ht="15.75" customHeight="1">
      <c r="A524" s="81"/>
      <c r="B524" s="180"/>
      <c r="C524" s="1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  <c r="AA524" s="80"/>
      <c r="AB524" s="80"/>
      <c r="AC524" s="81"/>
      <c r="AD524" s="81"/>
      <c r="AE524" s="81"/>
      <c r="AF524" s="81"/>
    </row>
    <row r="525" ht="15.75" customHeight="1">
      <c r="A525" s="81"/>
      <c r="B525" s="180"/>
      <c r="C525" s="1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  <c r="AA525" s="80"/>
      <c r="AB525" s="80"/>
      <c r="AC525" s="81"/>
      <c r="AD525" s="81"/>
      <c r="AE525" s="81"/>
      <c r="AF525" s="81"/>
    </row>
    <row r="526" ht="15.75" customHeight="1">
      <c r="A526" s="81"/>
      <c r="B526" s="180"/>
      <c r="C526" s="1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  <c r="AA526" s="80"/>
      <c r="AB526" s="80"/>
      <c r="AC526" s="81"/>
      <c r="AD526" s="81"/>
      <c r="AE526" s="81"/>
      <c r="AF526" s="81"/>
    </row>
    <row r="527" ht="15.75" customHeight="1">
      <c r="A527" s="81"/>
      <c r="B527" s="180"/>
      <c r="C527" s="1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  <c r="AA527" s="80"/>
      <c r="AB527" s="80"/>
      <c r="AC527" s="81"/>
      <c r="AD527" s="81"/>
      <c r="AE527" s="81"/>
      <c r="AF527" s="81"/>
    </row>
    <row r="528" ht="15.75" customHeight="1">
      <c r="A528" s="81"/>
      <c r="B528" s="180"/>
      <c r="C528" s="1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  <c r="AA528" s="80"/>
      <c r="AB528" s="80"/>
      <c r="AC528" s="81"/>
      <c r="AD528" s="81"/>
      <c r="AE528" s="81"/>
      <c r="AF528" s="81"/>
    </row>
    <row r="529" ht="15.75" customHeight="1">
      <c r="A529" s="81"/>
      <c r="B529" s="180"/>
      <c r="C529" s="1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  <c r="AA529" s="80"/>
      <c r="AB529" s="80"/>
      <c r="AC529" s="81"/>
      <c r="AD529" s="81"/>
      <c r="AE529" s="81"/>
      <c r="AF529" s="81"/>
    </row>
    <row r="530" ht="15.75" customHeight="1">
      <c r="A530" s="81"/>
      <c r="B530" s="180"/>
      <c r="C530" s="1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  <c r="AA530" s="80"/>
      <c r="AB530" s="80"/>
      <c r="AC530" s="81"/>
      <c r="AD530" s="81"/>
      <c r="AE530" s="81"/>
      <c r="AF530" s="81"/>
    </row>
    <row r="531" ht="15.75" customHeight="1">
      <c r="A531" s="81"/>
      <c r="B531" s="180"/>
      <c r="C531" s="1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  <c r="AA531" s="80"/>
      <c r="AB531" s="80"/>
      <c r="AC531" s="81"/>
      <c r="AD531" s="81"/>
      <c r="AE531" s="81"/>
      <c r="AF531" s="81"/>
    </row>
    <row r="532" ht="15.75" customHeight="1">
      <c r="A532" s="81"/>
      <c r="B532" s="180"/>
      <c r="C532" s="1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0"/>
      <c r="AB532" s="80"/>
      <c r="AC532" s="81"/>
      <c r="AD532" s="81"/>
      <c r="AE532" s="81"/>
      <c r="AF532" s="81"/>
    </row>
    <row r="533" ht="15.75" customHeight="1">
      <c r="A533" s="81"/>
      <c r="B533" s="180"/>
      <c r="C533" s="1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0"/>
      <c r="AB533" s="80"/>
      <c r="AC533" s="81"/>
      <c r="AD533" s="81"/>
      <c r="AE533" s="81"/>
      <c r="AF533" s="81"/>
    </row>
    <row r="534" ht="15.75" customHeight="1">
      <c r="A534" s="81"/>
      <c r="B534" s="180"/>
      <c r="C534" s="1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0"/>
      <c r="AB534" s="80"/>
      <c r="AC534" s="81"/>
      <c r="AD534" s="81"/>
      <c r="AE534" s="81"/>
      <c r="AF534" s="81"/>
    </row>
    <row r="535" ht="15.75" customHeight="1">
      <c r="A535" s="81"/>
      <c r="B535" s="180"/>
      <c r="C535" s="1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0"/>
      <c r="AB535" s="80"/>
      <c r="AC535" s="81"/>
      <c r="AD535" s="81"/>
      <c r="AE535" s="81"/>
      <c r="AF535" s="81"/>
    </row>
    <row r="536" ht="15.75" customHeight="1">
      <c r="A536" s="81"/>
      <c r="B536" s="180"/>
      <c r="C536" s="1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0"/>
      <c r="AB536" s="80"/>
      <c r="AC536" s="81"/>
      <c r="AD536" s="81"/>
      <c r="AE536" s="81"/>
      <c r="AF536" s="81"/>
    </row>
    <row r="537" ht="15.75" customHeight="1">
      <c r="A537" s="81"/>
      <c r="B537" s="180"/>
      <c r="C537" s="1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0"/>
      <c r="AB537" s="80"/>
      <c r="AC537" s="81"/>
      <c r="AD537" s="81"/>
      <c r="AE537" s="81"/>
      <c r="AF537" s="81"/>
    </row>
    <row r="538" ht="15.75" customHeight="1">
      <c r="A538" s="81"/>
      <c r="B538" s="180"/>
      <c r="C538" s="1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0"/>
      <c r="AB538" s="80"/>
      <c r="AC538" s="81"/>
      <c r="AD538" s="81"/>
      <c r="AE538" s="81"/>
      <c r="AF538" s="81"/>
    </row>
    <row r="539" ht="15.75" customHeight="1">
      <c r="A539" s="81"/>
      <c r="B539" s="180"/>
      <c r="C539" s="1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0"/>
      <c r="AB539" s="80"/>
      <c r="AC539" s="81"/>
      <c r="AD539" s="81"/>
      <c r="AE539" s="81"/>
      <c r="AF539" s="81"/>
    </row>
    <row r="540" ht="15.75" customHeight="1">
      <c r="A540" s="81"/>
      <c r="B540" s="180"/>
      <c r="C540" s="1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0"/>
      <c r="AB540" s="80"/>
      <c r="AC540" s="81"/>
      <c r="AD540" s="81"/>
      <c r="AE540" s="81"/>
      <c r="AF540" s="81"/>
    </row>
    <row r="541" ht="15.75" customHeight="1">
      <c r="A541" s="81"/>
      <c r="B541" s="180"/>
      <c r="C541" s="1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0"/>
      <c r="AB541" s="80"/>
      <c r="AC541" s="81"/>
      <c r="AD541" s="81"/>
      <c r="AE541" s="81"/>
      <c r="AF541" s="81"/>
    </row>
    <row r="542" ht="15.75" customHeight="1">
      <c r="A542" s="81"/>
      <c r="B542" s="180"/>
      <c r="C542" s="1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0"/>
      <c r="AB542" s="80"/>
      <c r="AC542" s="81"/>
      <c r="AD542" s="81"/>
      <c r="AE542" s="81"/>
      <c r="AF542" s="81"/>
    </row>
    <row r="543" ht="15.75" customHeight="1">
      <c r="A543" s="81"/>
      <c r="B543" s="180"/>
      <c r="C543" s="1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0"/>
      <c r="AB543" s="80"/>
      <c r="AC543" s="81"/>
      <c r="AD543" s="81"/>
      <c r="AE543" s="81"/>
      <c r="AF543" s="81"/>
    </row>
    <row r="544" ht="15.75" customHeight="1">
      <c r="A544" s="81"/>
      <c r="B544" s="180"/>
      <c r="C544" s="1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0"/>
      <c r="AB544" s="80"/>
      <c r="AC544" s="81"/>
      <c r="AD544" s="81"/>
      <c r="AE544" s="81"/>
      <c r="AF544" s="81"/>
    </row>
    <row r="545" ht="15.75" customHeight="1">
      <c r="A545" s="81"/>
      <c r="B545" s="180"/>
      <c r="C545" s="1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0"/>
      <c r="AB545" s="80"/>
      <c r="AC545" s="81"/>
      <c r="AD545" s="81"/>
      <c r="AE545" s="81"/>
      <c r="AF545" s="81"/>
    </row>
    <row r="546" ht="15.75" customHeight="1">
      <c r="A546" s="81"/>
      <c r="B546" s="180"/>
      <c r="C546" s="1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0"/>
      <c r="AB546" s="80"/>
      <c r="AC546" s="81"/>
      <c r="AD546" s="81"/>
      <c r="AE546" s="81"/>
      <c r="AF546" s="81"/>
    </row>
    <row r="547" ht="15.75" customHeight="1">
      <c r="A547" s="81"/>
      <c r="B547" s="180"/>
      <c r="C547" s="1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0"/>
      <c r="AB547" s="80"/>
      <c r="AC547" s="81"/>
      <c r="AD547" s="81"/>
      <c r="AE547" s="81"/>
      <c r="AF547" s="81"/>
    </row>
    <row r="548" ht="15.75" customHeight="1">
      <c r="A548" s="81"/>
      <c r="B548" s="180"/>
      <c r="C548" s="1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0"/>
      <c r="AB548" s="80"/>
      <c r="AC548" s="81"/>
      <c r="AD548" s="81"/>
      <c r="AE548" s="81"/>
      <c r="AF548" s="81"/>
    </row>
    <row r="549" ht="15.75" customHeight="1">
      <c r="A549" s="81"/>
      <c r="B549" s="180"/>
      <c r="C549" s="1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0"/>
      <c r="AB549" s="80"/>
      <c r="AC549" s="81"/>
      <c r="AD549" s="81"/>
      <c r="AE549" s="81"/>
      <c r="AF549" s="81"/>
    </row>
    <row r="550" ht="15.75" customHeight="1">
      <c r="A550" s="81"/>
      <c r="B550" s="180"/>
      <c r="C550" s="1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0"/>
      <c r="AB550" s="80"/>
      <c r="AC550" s="81"/>
      <c r="AD550" s="81"/>
      <c r="AE550" s="81"/>
      <c r="AF550" s="81"/>
    </row>
    <row r="551" ht="15.75" customHeight="1">
      <c r="A551" s="81"/>
      <c r="B551" s="180"/>
      <c r="C551" s="1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0"/>
      <c r="AB551" s="80"/>
      <c r="AC551" s="81"/>
      <c r="AD551" s="81"/>
      <c r="AE551" s="81"/>
      <c r="AF551" s="81"/>
    </row>
    <row r="552" ht="15.75" customHeight="1">
      <c r="A552" s="81"/>
      <c r="B552" s="180"/>
      <c r="C552" s="1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0"/>
      <c r="AB552" s="80"/>
      <c r="AC552" s="81"/>
      <c r="AD552" s="81"/>
      <c r="AE552" s="81"/>
      <c r="AF552" s="81"/>
    </row>
    <row r="553" ht="15.75" customHeight="1">
      <c r="A553" s="81"/>
      <c r="B553" s="180"/>
      <c r="C553" s="1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0"/>
      <c r="AB553" s="80"/>
      <c r="AC553" s="81"/>
      <c r="AD553" s="81"/>
      <c r="AE553" s="81"/>
      <c r="AF553" s="81"/>
    </row>
    <row r="554" ht="15.75" customHeight="1">
      <c r="A554" s="81"/>
      <c r="B554" s="180"/>
      <c r="C554" s="1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0"/>
      <c r="AB554" s="80"/>
      <c r="AC554" s="81"/>
      <c r="AD554" s="81"/>
      <c r="AE554" s="81"/>
      <c r="AF554" s="81"/>
    </row>
    <row r="555" ht="15.75" customHeight="1">
      <c r="A555" s="81"/>
      <c r="B555" s="180"/>
      <c r="C555" s="1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  <c r="AA555" s="80"/>
      <c r="AB555" s="80"/>
      <c r="AC555" s="81"/>
      <c r="AD555" s="81"/>
      <c r="AE555" s="81"/>
      <c r="AF555" s="81"/>
    </row>
    <row r="556" ht="15.75" customHeight="1">
      <c r="A556" s="81"/>
      <c r="B556" s="180"/>
      <c r="C556" s="1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  <c r="AA556" s="80"/>
      <c r="AB556" s="80"/>
      <c r="AC556" s="81"/>
      <c r="AD556" s="81"/>
      <c r="AE556" s="81"/>
      <c r="AF556" s="81"/>
    </row>
    <row r="557" ht="15.75" customHeight="1">
      <c r="A557" s="81"/>
      <c r="B557" s="180"/>
      <c r="C557" s="1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  <c r="AA557" s="80"/>
      <c r="AB557" s="80"/>
      <c r="AC557" s="81"/>
      <c r="AD557" s="81"/>
      <c r="AE557" s="81"/>
      <c r="AF557" s="81"/>
    </row>
    <row r="558" ht="15.75" customHeight="1">
      <c r="A558" s="81"/>
      <c r="B558" s="180"/>
      <c r="C558" s="1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  <c r="AA558" s="80"/>
      <c r="AB558" s="80"/>
      <c r="AC558" s="81"/>
      <c r="AD558" s="81"/>
      <c r="AE558" s="81"/>
      <c r="AF558" s="81"/>
    </row>
    <row r="559" ht="15.75" customHeight="1">
      <c r="A559" s="81"/>
      <c r="B559" s="180"/>
      <c r="C559" s="1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  <c r="AA559" s="80"/>
      <c r="AB559" s="80"/>
      <c r="AC559" s="81"/>
      <c r="AD559" s="81"/>
      <c r="AE559" s="81"/>
      <c r="AF559" s="81"/>
    </row>
    <row r="560" ht="15.75" customHeight="1">
      <c r="A560" s="81"/>
      <c r="B560" s="180"/>
      <c r="C560" s="1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  <c r="AA560" s="80"/>
      <c r="AB560" s="80"/>
      <c r="AC560" s="81"/>
      <c r="AD560" s="81"/>
      <c r="AE560" s="81"/>
      <c r="AF560" s="81"/>
    </row>
    <row r="561" ht="15.75" customHeight="1">
      <c r="A561" s="81"/>
      <c r="B561" s="180"/>
      <c r="C561" s="1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  <c r="AA561" s="80"/>
      <c r="AB561" s="80"/>
      <c r="AC561" s="81"/>
      <c r="AD561" s="81"/>
      <c r="AE561" s="81"/>
      <c r="AF561" s="81"/>
    </row>
    <row r="562" ht="15.75" customHeight="1">
      <c r="A562" s="81"/>
      <c r="B562" s="180"/>
      <c r="C562" s="1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  <c r="AA562" s="80"/>
      <c r="AB562" s="80"/>
      <c r="AC562" s="81"/>
      <c r="AD562" s="81"/>
      <c r="AE562" s="81"/>
      <c r="AF562" s="81"/>
    </row>
    <row r="563" ht="15.75" customHeight="1">
      <c r="A563" s="81"/>
      <c r="B563" s="180"/>
      <c r="C563" s="1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  <c r="AA563" s="80"/>
      <c r="AB563" s="80"/>
      <c r="AC563" s="81"/>
      <c r="AD563" s="81"/>
      <c r="AE563" s="81"/>
      <c r="AF563" s="81"/>
    </row>
    <row r="564" ht="15.75" customHeight="1">
      <c r="A564" s="81"/>
      <c r="B564" s="180"/>
      <c r="C564" s="1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  <c r="AA564" s="80"/>
      <c r="AB564" s="80"/>
      <c r="AC564" s="81"/>
      <c r="AD564" s="81"/>
      <c r="AE564" s="81"/>
      <c r="AF564" s="81"/>
    </row>
    <row r="565" ht="15.75" customHeight="1">
      <c r="A565" s="81"/>
      <c r="B565" s="180"/>
      <c r="C565" s="1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  <c r="AA565" s="80"/>
      <c r="AB565" s="80"/>
      <c r="AC565" s="81"/>
      <c r="AD565" s="81"/>
      <c r="AE565" s="81"/>
      <c r="AF565" s="81"/>
    </row>
    <row r="566" ht="15.75" customHeight="1">
      <c r="A566" s="81"/>
      <c r="B566" s="180"/>
      <c r="C566" s="1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  <c r="AA566" s="80"/>
      <c r="AB566" s="80"/>
      <c r="AC566" s="81"/>
      <c r="AD566" s="81"/>
      <c r="AE566" s="81"/>
      <c r="AF566" s="81"/>
    </row>
    <row r="567" ht="15.75" customHeight="1">
      <c r="A567" s="81"/>
      <c r="B567" s="180"/>
      <c r="C567" s="1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  <c r="AA567" s="80"/>
      <c r="AB567" s="80"/>
      <c r="AC567" s="81"/>
      <c r="AD567" s="81"/>
      <c r="AE567" s="81"/>
      <c r="AF567" s="81"/>
    </row>
    <row r="568" ht="15.75" customHeight="1">
      <c r="A568" s="81"/>
      <c r="B568" s="180"/>
      <c r="C568" s="1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  <c r="AA568" s="80"/>
      <c r="AB568" s="80"/>
      <c r="AC568" s="81"/>
      <c r="AD568" s="81"/>
      <c r="AE568" s="81"/>
      <c r="AF568" s="81"/>
    </row>
    <row r="569" ht="15.75" customHeight="1">
      <c r="A569" s="81"/>
      <c r="B569" s="180"/>
      <c r="C569" s="1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  <c r="AA569" s="80"/>
      <c r="AB569" s="80"/>
      <c r="AC569" s="81"/>
      <c r="AD569" s="81"/>
      <c r="AE569" s="81"/>
      <c r="AF569" s="81"/>
    </row>
    <row r="570" ht="15.75" customHeight="1">
      <c r="A570" s="81"/>
      <c r="B570" s="180"/>
      <c r="C570" s="1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  <c r="AA570" s="80"/>
      <c r="AB570" s="80"/>
      <c r="AC570" s="81"/>
      <c r="AD570" s="81"/>
      <c r="AE570" s="81"/>
      <c r="AF570" s="81"/>
    </row>
    <row r="571" ht="15.75" customHeight="1">
      <c r="A571" s="81"/>
      <c r="B571" s="180"/>
      <c r="C571" s="1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  <c r="AA571" s="80"/>
      <c r="AB571" s="80"/>
      <c r="AC571" s="81"/>
      <c r="AD571" s="81"/>
      <c r="AE571" s="81"/>
      <c r="AF571" s="81"/>
    </row>
    <row r="572" ht="15.75" customHeight="1">
      <c r="A572" s="81"/>
      <c r="B572" s="180"/>
      <c r="C572" s="1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0"/>
      <c r="AB572" s="80"/>
      <c r="AC572" s="81"/>
      <c r="AD572" s="81"/>
      <c r="AE572" s="81"/>
      <c r="AF572" s="81"/>
    </row>
    <row r="573" ht="15.75" customHeight="1">
      <c r="A573" s="81"/>
      <c r="B573" s="180"/>
      <c r="C573" s="1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  <c r="AA573" s="80"/>
      <c r="AB573" s="80"/>
      <c r="AC573" s="81"/>
      <c r="AD573" s="81"/>
      <c r="AE573" s="81"/>
      <c r="AF573" s="81"/>
    </row>
    <row r="574" ht="15.75" customHeight="1">
      <c r="A574" s="81"/>
      <c r="B574" s="180"/>
      <c r="C574" s="1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  <c r="AA574" s="80"/>
      <c r="AB574" s="80"/>
      <c r="AC574" s="81"/>
      <c r="AD574" s="81"/>
      <c r="AE574" s="81"/>
      <c r="AF574" s="81"/>
    </row>
    <row r="575" ht="15.75" customHeight="1">
      <c r="A575" s="81"/>
      <c r="B575" s="180"/>
      <c r="C575" s="1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  <c r="AA575" s="80"/>
      <c r="AB575" s="80"/>
      <c r="AC575" s="81"/>
      <c r="AD575" s="81"/>
      <c r="AE575" s="81"/>
      <c r="AF575" s="81"/>
    </row>
    <row r="576" ht="15.75" customHeight="1">
      <c r="A576" s="81"/>
      <c r="B576" s="180"/>
      <c r="C576" s="1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  <c r="AA576" s="80"/>
      <c r="AB576" s="80"/>
      <c r="AC576" s="81"/>
      <c r="AD576" s="81"/>
      <c r="AE576" s="81"/>
      <c r="AF576" s="81"/>
    </row>
    <row r="577" ht="15.75" customHeight="1">
      <c r="A577" s="81"/>
      <c r="B577" s="180"/>
      <c r="C577" s="1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  <c r="AA577" s="80"/>
      <c r="AB577" s="80"/>
      <c r="AC577" s="81"/>
      <c r="AD577" s="81"/>
      <c r="AE577" s="81"/>
      <c r="AF577" s="81"/>
    </row>
    <row r="578" ht="15.75" customHeight="1">
      <c r="A578" s="81"/>
      <c r="B578" s="180"/>
      <c r="C578" s="1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0"/>
      <c r="AB578" s="80"/>
      <c r="AC578" s="81"/>
      <c r="AD578" s="81"/>
      <c r="AE578" s="81"/>
      <c r="AF578" s="81"/>
    </row>
    <row r="579" ht="15.75" customHeight="1">
      <c r="A579" s="81"/>
      <c r="B579" s="180"/>
      <c r="C579" s="1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0"/>
      <c r="AB579" s="80"/>
      <c r="AC579" s="81"/>
      <c r="AD579" s="81"/>
      <c r="AE579" s="81"/>
      <c r="AF579" s="81"/>
    </row>
    <row r="580" ht="15.75" customHeight="1">
      <c r="A580" s="81"/>
      <c r="B580" s="180"/>
      <c r="C580" s="1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0"/>
      <c r="AB580" s="80"/>
      <c r="AC580" s="81"/>
      <c r="AD580" s="81"/>
      <c r="AE580" s="81"/>
      <c r="AF580" s="81"/>
    </row>
    <row r="581" ht="15.75" customHeight="1">
      <c r="A581" s="81"/>
      <c r="B581" s="180"/>
      <c r="C581" s="1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0"/>
      <c r="AB581" s="80"/>
      <c r="AC581" s="81"/>
      <c r="AD581" s="81"/>
      <c r="AE581" s="81"/>
      <c r="AF581" s="81"/>
    </row>
    <row r="582" ht="15.75" customHeight="1">
      <c r="A582" s="81"/>
      <c r="B582" s="180"/>
      <c r="C582" s="1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0"/>
      <c r="AB582" s="80"/>
      <c r="AC582" s="81"/>
      <c r="AD582" s="81"/>
      <c r="AE582" s="81"/>
      <c r="AF582" s="81"/>
    </row>
    <row r="583" ht="15.75" customHeight="1">
      <c r="A583" s="81"/>
      <c r="B583" s="180"/>
      <c r="C583" s="1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0"/>
      <c r="AB583" s="80"/>
      <c r="AC583" s="81"/>
      <c r="AD583" s="81"/>
      <c r="AE583" s="81"/>
      <c r="AF583" s="81"/>
    </row>
    <row r="584" ht="15.75" customHeight="1">
      <c r="A584" s="81"/>
      <c r="B584" s="180"/>
      <c r="C584" s="1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0"/>
      <c r="AB584" s="80"/>
      <c r="AC584" s="81"/>
      <c r="AD584" s="81"/>
      <c r="AE584" s="81"/>
      <c r="AF584" s="81"/>
    </row>
    <row r="585" ht="15.75" customHeight="1">
      <c r="A585" s="81"/>
      <c r="B585" s="180"/>
      <c r="C585" s="1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0"/>
      <c r="AB585" s="80"/>
      <c r="AC585" s="81"/>
      <c r="AD585" s="81"/>
      <c r="AE585" s="81"/>
      <c r="AF585" s="81"/>
    </row>
    <row r="586" ht="15.75" customHeight="1">
      <c r="A586" s="81"/>
      <c r="B586" s="180"/>
      <c r="C586" s="1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0"/>
      <c r="AB586" s="80"/>
      <c r="AC586" s="81"/>
      <c r="AD586" s="81"/>
      <c r="AE586" s="81"/>
      <c r="AF586" s="81"/>
    </row>
    <row r="587" ht="15.75" customHeight="1">
      <c r="A587" s="81"/>
      <c r="B587" s="180"/>
      <c r="C587" s="1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0"/>
      <c r="AB587" s="80"/>
      <c r="AC587" s="81"/>
      <c r="AD587" s="81"/>
      <c r="AE587" s="81"/>
      <c r="AF587" s="81"/>
    </row>
    <row r="588" ht="15.75" customHeight="1">
      <c r="A588" s="81"/>
      <c r="B588" s="180"/>
      <c r="C588" s="1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0"/>
      <c r="AB588" s="80"/>
      <c r="AC588" s="81"/>
      <c r="AD588" s="81"/>
      <c r="AE588" s="81"/>
      <c r="AF588" s="81"/>
    </row>
    <row r="589" ht="15.75" customHeight="1">
      <c r="A589" s="81"/>
      <c r="B589" s="180"/>
      <c r="C589" s="1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0"/>
      <c r="AB589" s="80"/>
      <c r="AC589" s="81"/>
      <c r="AD589" s="81"/>
      <c r="AE589" s="81"/>
      <c r="AF589" s="81"/>
    </row>
    <row r="590" ht="15.75" customHeight="1">
      <c r="A590" s="81"/>
      <c r="B590" s="180"/>
      <c r="C590" s="1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0"/>
      <c r="AB590" s="80"/>
      <c r="AC590" s="81"/>
      <c r="AD590" s="81"/>
      <c r="AE590" s="81"/>
      <c r="AF590" s="81"/>
    </row>
    <row r="591" ht="15.75" customHeight="1">
      <c r="A591" s="81"/>
      <c r="B591" s="180"/>
      <c r="C591" s="1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0"/>
      <c r="AB591" s="80"/>
      <c r="AC591" s="81"/>
      <c r="AD591" s="81"/>
      <c r="AE591" s="81"/>
      <c r="AF591" s="81"/>
    </row>
    <row r="592" ht="15.75" customHeight="1">
      <c r="A592" s="81"/>
      <c r="B592" s="180"/>
      <c r="C592" s="1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0"/>
      <c r="AB592" s="80"/>
      <c r="AC592" s="81"/>
      <c r="AD592" s="81"/>
      <c r="AE592" s="81"/>
      <c r="AF592" s="81"/>
    </row>
    <row r="593" ht="15.75" customHeight="1">
      <c r="A593" s="81"/>
      <c r="B593" s="180"/>
      <c r="C593" s="1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0"/>
      <c r="AB593" s="80"/>
      <c r="AC593" s="81"/>
      <c r="AD593" s="81"/>
      <c r="AE593" s="81"/>
      <c r="AF593" s="81"/>
    </row>
    <row r="594" ht="15.75" customHeight="1">
      <c r="A594" s="81"/>
      <c r="B594" s="180"/>
      <c r="C594" s="1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0"/>
      <c r="AB594" s="80"/>
      <c r="AC594" s="81"/>
      <c r="AD594" s="81"/>
      <c r="AE594" s="81"/>
      <c r="AF594" s="81"/>
    </row>
    <row r="595" ht="15.75" customHeight="1">
      <c r="A595" s="81"/>
      <c r="B595" s="180"/>
      <c r="C595" s="1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0"/>
      <c r="AB595" s="80"/>
      <c r="AC595" s="81"/>
      <c r="AD595" s="81"/>
      <c r="AE595" s="81"/>
      <c r="AF595" s="81"/>
    </row>
    <row r="596" ht="15.75" customHeight="1">
      <c r="A596" s="81"/>
      <c r="B596" s="180"/>
      <c r="C596" s="1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0"/>
      <c r="AB596" s="80"/>
      <c r="AC596" s="81"/>
      <c r="AD596" s="81"/>
      <c r="AE596" s="81"/>
      <c r="AF596" s="81"/>
    </row>
    <row r="597" ht="15.75" customHeight="1">
      <c r="A597" s="81"/>
      <c r="B597" s="180"/>
      <c r="C597" s="1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0"/>
      <c r="AB597" s="80"/>
      <c r="AC597" s="81"/>
      <c r="AD597" s="81"/>
      <c r="AE597" s="81"/>
      <c r="AF597" s="81"/>
    </row>
    <row r="598" ht="15.75" customHeight="1">
      <c r="A598" s="81"/>
      <c r="B598" s="180"/>
      <c r="C598" s="1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0"/>
      <c r="AB598" s="80"/>
      <c r="AC598" s="81"/>
      <c r="AD598" s="81"/>
      <c r="AE598" s="81"/>
      <c r="AF598" s="81"/>
    </row>
    <row r="599" ht="15.75" customHeight="1">
      <c r="A599" s="81"/>
      <c r="B599" s="180"/>
      <c r="C599" s="1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0"/>
      <c r="AB599" s="80"/>
      <c r="AC599" s="81"/>
      <c r="AD599" s="81"/>
      <c r="AE599" s="81"/>
      <c r="AF599" s="81"/>
    </row>
    <row r="600" ht="15.75" customHeight="1">
      <c r="A600" s="81"/>
      <c r="B600" s="180"/>
      <c r="C600" s="1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0"/>
      <c r="AB600" s="80"/>
      <c r="AC600" s="81"/>
      <c r="AD600" s="81"/>
      <c r="AE600" s="81"/>
      <c r="AF600" s="81"/>
    </row>
    <row r="601" ht="15.75" customHeight="1">
      <c r="A601" s="81"/>
      <c r="B601" s="180"/>
      <c r="C601" s="1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  <c r="AA601" s="80"/>
      <c r="AB601" s="80"/>
      <c r="AC601" s="81"/>
      <c r="AD601" s="81"/>
      <c r="AE601" s="81"/>
      <c r="AF601" s="81"/>
    </row>
    <row r="602" ht="15.75" customHeight="1">
      <c r="A602" s="81"/>
      <c r="B602" s="180"/>
      <c r="C602" s="181"/>
      <c r="D602" s="81"/>
      <c r="E602" s="81"/>
      <c r="F602" s="81"/>
      <c r="G602" s="81"/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0"/>
      <c r="AB602" s="80"/>
      <c r="AC602" s="81"/>
      <c r="AD602" s="81"/>
      <c r="AE602" s="81"/>
      <c r="AF602" s="81"/>
    </row>
    <row r="603" ht="15.75" customHeight="1">
      <c r="A603" s="81"/>
      <c r="B603" s="180"/>
      <c r="C603" s="1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  <c r="AA603" s="80"/>
      <c r="AB603" s="80"/>
      <c r="AC603" s="81"/>
      <c r="AD603" s="81"/>
      <c r="AE603" s="81"/>
      <c r="AF603" s="81"/>
    </row>
    <row r="604" ht="15.75" customHeight="1">
      <c r="A604" s="81"/>
      <c r="B604" s="180"/>
      <c r="C604" s="1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  <c r="AA604" s="80"/>
      <c r="AB604" s="80"/>
      <c r="AC604" s="81"/>
      <c r="AD604" s="81"/>
      <c r="AE604" s="81"/>
      <c r="AF604" s="81"/>
    </row>
    <row r="605" ht="15.75" customHeight="1">
      <c r="A605" s="81"/>
      <c r="B605" s="180"/>
      <c r="C605" s="1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  <c r="AA605" s="80"/>
      <c r="AB605" s="80"/>
      <c r="AC605" s="81"/>
      <c r="AD605" s="81"/>
      <c r="AE605" s="81"/>
      <c r="AF605" s="81"/>
    </row>
    <row r="606" ht="15.75" customHeight="1">
      <c r="A606" s="81"/>
      <c r="B606" s="180"/>
      <c r="C606" s="1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  <c r="AA606" s="80"/>
      <c r="AB606" s="80"/>
      <c r="AC606" s="81"/>
      <c r="AD606" s="81"/>
      <c r="AE606" s="81"/>
      <c r="AF606" s="81"/>
    </row>
    <row r="607" ht="15.75" customHeight="1">
      <c r="A607" s="81"/>
      <c r="B607" s="180"/>
      <c r="C607" s="1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  <c r="AA607" s="80"/>
      <c r="AB607" s="80"/>
      <c r="AC607" s="81"/>
      <c r="AD607" s="81"/>
      <c r="AE607" s="81"/>
      <c r="AF607" s="81"/>
    </row>
    <row r="608" ht="15.75" customHeight="1">
      <c r="A608" s="81"/>
      <c r="B608" s="180"/>
      <c r="C608" s="1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  <c r="AA608" s="80"/>
      <c r="AB608" s="80"/>
      <c r="AC608" s="81"/>
      <c r="AD608" s="81"/>
      <c r="AE608" s="81"/>
      <c r="AF608" s="81"/>
    </row>
    <row r="609" ht="15.75" customHeight="1">
      <c r="A609" s="81"/>
      <c r="B609" s="180"/>
      <c r="C609" s="1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0"/>
      <c r="AB609" s="80"/>
      <c r="AC609" s="81"/>
      <c r="AD609" s="81"/>
      <c r="AE609" s="81"/>
      <c r="AF609" s="81"/>
    </row>
    <row r="610" ht="15.75" customHeight="1">
      <c r="A610" s="81"/>
      <c r="B610" s="180"/>
      <c r="C610" s="1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  <c r="AA610" s="80"/>
      <c r="AB610" s="80"/>
      <c r="AC610" s="81"/>
      <c r="AD610" s="81"/>
      <c r="AE610" s="81"/>
      <c r="AF610" s="81"/>
    </row>
    <row r="611" ht="15.75" customHeight="1">
      <c r="A611" s="81"/>
      <c r="B611" s="180"/>
      <c r="C611" s="1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  <c r="AA611" s="80"/>
      <c r="AB611" s="80"/>
      <c r="AC611" s="81"/>
      <c r="AD611" s="81"/>
      <c r="AE611" s="81"/>
      <c r="AF611" s="81"/>
    </row>
    <row r="612" ht="15.75" customHeight="1">
      <c r="A612" s="81"/>
      <c r="B612" s="180"/>
      <c r="C612" s="1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  <c r="AA612" s="80"/>
      <c r="AB612" s="80"/>
      <c r="AC612" s="81"/>
      <c r="AD612" s="81"/>
      <c r="AE612" s="81"/>
      <c r="AF612" s="81"/>
    </row>
    <row r="613" ht="15.75" customHeight="1">
      <c r="A613" s="81"/>
      <c r="B613" s="180"/>
      <c r="C613" s="181"/>
      <c r="D613" s="81"/>
      <c r="E613" s="81"/>
      <c r="F613" s="81"/>
      <c r="G613" s="81"/>
      <c r="H613" s="81"/>
      <c r="I613" s="81"/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1"/>
      <c r="W613" s="81"/>
      <c r="X613" s="81"/>
      <c r="Y613" s="81"/>
      <c r="Z613" s="81"/>
      <c r="AA613" s="80"/>
      <c r="AB613" s="80"/>
      <c r="AC613" s="81"/>
      <c r="AD613" s="81"/>
      <c r="AE613" s="81"/>
      <c r="AF613" s="81"/>
    </row>
    <row r="614" ht="15.75" customHeight="1">
      <c r="A614" s="81"/>
      <c r="B614" s="180"/>
      <c r="C614" s="181"/>
      <c r="D614" s="81"/>
      <c r="E614" s="81"/>
      <c r="F614" s="81"/>
      <c r="G614" s="81"/>
      <c r="H614" s="81"/>
      <c r="I614" s="81"/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1"/>
      <c r="W614" s="81"/>
      <c r="X614" s="81"/>
      <c r="Y614" s="81"/>
      <c r="Z614" s="81"/>
      <c r="AA614" s="80"/>
      <c r="AB614" s="80"/>
      <c r="AC614" s="81"/>
      <c r="AD614" s="81"/>
      <c r="AE614" s="81"/>
      <c r="AF614" s="81"/>
    </row>
    <row r="615" ht="15.75" customHeight="1">
      <c r="A615" s="81"/>
      <c r="B615" s="180"/>
      <c r="C615" s="181"/>
      <c r="D615" s="81"/>
      <c r="E615" s="81"/>
      <c r="F615" s="81"/>
      <c r="G615" s="81"/>
      <c r="H615" s="81"/>
      <c r="I615" s="81"/>
      <c r="J615" s="81"/>
      <c r="K615" s="81"/>
      <c r="L615" s="81"/>
      <c r="M615" s="81"/>
      <c r="N615" s="81"/>
      <c r="O615" s="81"/>
      <c r="P615" s="81"/>
      <c r="Q615" s="81"/>
      <c r="R615" s="81"/>
      <c r="S615" s="81"/>
      <c r="T615" s="81"/>
      <c r="U615" s="81"/>
      <c r="V615" s="81"/>
      <c r="W615" s="81"/>
      <c r="X615" s="81"/>
      <c r="Y615" s="81"/>
      <c r="Z615" s="81"/>
      <c r="AA615" s="80"/>
      <c r="AB615" s="80"/>
      <c r="AC615" s="81"/>
      <c r="AD615" s="81"/>
      <c r="AE615" s="81"/>
      <c r="AF615" s="81"/>
    </row>
    <row r="616" ht="15.75" customHeight="1">
      <c r="A616" s="81"/>
      <c r="B616" s="180"/>
      <c r="C616" s="181"/>
      <c r="D616" s="81"/>
      <c r="E616" s="81"/>
      <c r="F616" s="81"/>
      <c r="G616" s="81"/>
      <c r="H616" s="81"/>
      <c r="I616" s="81"/>
      <c r="J616" s="81"/>
      <c r="K616" s="81"/>
      <c r="L616" s="81"/>
      <c r="M616" s="81"/>
      <c r="N616" s="81"/>
      <c r="O616" s="81"/>
      <c r="P616" s="81"/>
      <c r="Q616" s="81"/>
      <c r="R616" s="81"/>
      <c r="S616" s="81"/>
      <c r="T616" s="81"/>
      <c r="U616" s="81"/>
      <c r="V616" s="81"/>
      <c r="W616" s="81"/>
      <c r="X616" s="81"/>
      <c r="Y616" s="81"/>
      <c r="Z616" s="81"/>
      <c r="AA616" s="80"/>
      <c r="AB616" s="80"/>
      <c r="AC616" s="81"/>
      <c r="AD616" s="81"/>
      <c r="AE616" s="81"/>
      <c r="AF616" s="81"/>
    </row>
    <row r="617" ht="15.75" customHeight="1">
      <c r="A617" s="81"/>
      <c r="B617" s="180"/>
      <c r="C617" s="181"/>
      <c r="D617" s="81"/>
      <c r="E617" s="81"/>
      <c r="F617" s="81"/>
      <c r="G617" s="81"/>
      <c r="H617" s="81"/>
      <c r="I617" s="81"/>
      <c r="J617" s="81"/>
      <c r="K617" s="81"/>
      <c r="L617" s="81"/>
      <c r="M617" s="81"/>
      <c r="N617" s="81"/>
      <c r="O617" s="81"/>
      <c r="P617" s="81"/>
      <c r="Q617" s="81"/>
      <c r="R617" s="81"/>
      <c r="S617" s="81"/>
      <c r="T617" s="81"/>
      <c r="U617" s="81"/>
      <c r="V617" s="81"/>
      <c r="W617" s="81"/>
      <c r="X617" s="81"/>
      <c r="Y617" s="81"/>
      <c r="Z617" s="81"/>
      <c r="AA617" s="80"/>
      <c r="AB617" s="80"/>
      <c r="AC617" s="81"/>
      <c r="AD617" s="81"/>
      <c r="AE617" s="81"/>
      <c r="AF617" s="81"/>
    </row>
    <row r="618" ht="15.75" customHeight="1">
      <c r="A618" s="81"/>
      <c r="B618" s="180"/>
      <c r="C618" s="181"/>
      <c r="D618" s="81"/>
      <c r="E618" s="81"/>
      <c r="F618" s="81"/>
      <c r="G618" s="81"/>
      <c r="H618" s="81"/>
      <c r="I618" s="81"/>
      <c r="J618" s="81"/>
      <c r="K618" s="81"/>
      <c r="L618" s="81"/>
      <c r="M618" s="81"/>
      <c r="N618" s="81"/>
      <c r="O618" s="81"/>
      <c r="P618" s="81"/>
      <c r="Q618" s="81"/>
      <c r="R618" s="81"/>
      <c r="S618" s="81"/>
      <c r="T618" s="81"/>
      <c r="U618" s="81"/>
      <c r="V618" s="81"/>
      <c r="W618" s="81"/>
      <c r="X618" s="81"/>
      <c r="Y618" s="81"/>
      <c r="Z618" s="81"/>
      <c r="AA618" s="80"/>
      <c r="AB618" s="80"/>
      <c r="AC618" s="81"/>
      <c r="AD618" s="81"/>
      <c r="AE618" s="81"/>
      <c r="AF618" s="81"/>
    </row>
    <row r="619" ht="15.75" customHeight="1">
      <c r="A619" s="81"/>
      <c r="B619" s="180"/>
      <c r="C619" s="181"/>
      <c r="D619" s="81"/>
      <c r="E619" s="81"/>
      <c r="F619" s="81"/>
      <c r="G619" s="81"/>
      <c r="H619" s="81"/>
      <c r="I619" s="81"/>
      <c r="J619" s="81"/>
      <c r="K619" s="81"/>
      <c r="L619" s="81"/>
      <c r="M619" s="81"/>
      <c r="N619" s="81"/>
      <c r="O619" s="81"/>
      <c r="P619" s="81"/>
      <c r="Q619" s="81"/>
      <c r="R619" s="81"/>
      <c r="S619" s="81"/>
      <c r="T619" s="81"/>
      <c r="U619" s="81"/>
      <c r="V619" s="81"/>
      <c r="W619" s="81"/>
      <c r="X619" s="81"/>
      <c r="Y619" s="81"/>
      <c r="Z619" s="81"/>
      <c r="AA619" s="80"/>
      <c r="AB619" s="80"/>
      <c r="AC619" s="81"/>
      <c r="AD619" s="81"/>
      <c r="AE619" s="81"/>
      <c r="AF619" s="81"/>
    </row>
    <row r="620" ht="15.75" customHeight="1">
      <c r="A620" s="81"/>
      <c r="B620" s="180"/>
      <c r="C620" s="181"/>
      <c r="D620" s="81"/>
      <c r="E620" s="81"/>
      <c r="F620" s="81"/>
      <c r="G620" s="81"/>
      <c r="H620" s="81"/>
      <c r="I620" s="81"/>
      <c r="J620" s="81"/>
      <c r="K620" s="81"/>
      <c r="L620" s="81"/>
      <c r="M620" s="81"/>
      <c r="N620" s="81"/>
      <c r="O620" s="81"/>
      <c r="P620" s="81"/>
      <c r="Q620" s="81"/>
      <c r="R620" s="81"/>
      <c r="S620" s="81"/>
      <c r="T620" s="81"/>
      <c r="U620" s="81"/>
      <c r="V620" s="81"/>
      <c r="W620" s="81"/>
      <c r="X620" s="81"/>
      <c r="Y620" s="81"/>
      <c r="Z620" s="81"/>
      <c r="AA620" s="80"/>
      <c r="AB620" s="80"/>
      <c r="AC620" s="81"/>
      <c r="AD620" s="81"/>
      <c r="AE620" s="81"/>
      <c r="AF620" s="81"/>
    </row>
    <row r="621" ht="15.75" customHeight="1">
      <c r="A621" s="81"/>
      <c r="B621" s="180"/>
      <c r="C621" s="181"/>
      <c r="D621" s="81"/>
      <c r="E621" s="81"/>
      <c r="F621" s="81"/>
      <c r="G621" s="81"/>
      <c r="H621" s="81"/>
      <c r="I621" s="81"/>
      <c r="J621" s="81"/>
      <c r="K621" s="81"/>
      <c r="L621" s="81"/>
      <c r="M621" s="81"/>
      <c r="N621" s="81"/>
      <c r="O621" s="81"/>
      <c r="P621" s="81"/>
      <c r="Q621" s="81"/>
      <c r="R621" s="81"/>
      <c r="S621" s="81"/>
      <c r="T621" s="81"/>
      <c r="U621" s="81"/>
      <c r="V621" s="81"/>
      <c r="W621" s="81"/>
      <c r="X621" s="81"/>
      <c r="Y621" s="81"/>
      <c r="Z621" s="81"/>
      <c r="AA621" s="80"/>
      <c r="AB621" s="80"/>
      <c r="AC621" s="81"/>
      <c r="AD621" s="81"/>
      <c r="AE621" s="81"/>
      <c r="AF621" s="81"/>
    </row>
    <row r="622" ht="15.75" customHeight="1">
      <c r="A622" s="81"/>
      <c r="B622" s="180"/>
      <c r="C622" s="181"/>
      <c r="D622" s="81"/>
      <c r="E622" s="81"/>
      <c r="F622" s="81"/>
      <c r="G622" s="81"/>
      <c r="H622" s="81"/>
      <c r="I622" s="81"/>
      <c r="J622" s="81"/>
      <c r="K622" s="81"/>
      <c r="L622" s="81"/>
      <c r="M622" s="81"/>
      <c r="N622" s="81"/>
      <c r="O622" s="81"/>
      <c r="P622" s="81"/>
      <c r="Q622" s="81"/>
      <c r="R622" s="81"/>
      <c r="S622" s="81"/>
      <c r="T622" s="81"/>
      <c r="U622" s="81"/>
      <c r="V622" s="81"/>
      <c r="W622" s="81"/>
      <c r="X622" s="81"/>
      <c r="Y622" s="81"/>
      <c r="Z622" s="81"/>
      <c r="AA622" s="80"/>
      <c r="AB622" s="80"/>
      <c r="AC622" s="81"/>
      <c r="AD622" s="81"/>
      <c r="AE622" s="81"/>
      <c r="AF622" s="81"/>
    </row>
    <row r="623" ht="15.75" customHeight="1">
      <c r="A623" s="81"/>
      <c r="B623" s="180"/>
      <c r="C623" s="181"/>
      <c r="D623" s="81"/>
      <c r="E623" s="81"/>
      <c r="F623" s="81"/>
      <c r="G623" s="81"/>
      <c r="H623" s="81"/>
      <c r="I623" s="81"/>
      <c r="J623" s="81"/>
      <c r="K623" s="81"/>
      <c r="L623" s="81"/>
      <c r="M623" s="81"/>
      <c r="N623" s="81"/>
      <c r="O623" s="81"/>
      <c r="P623" s="81"/>
      <c r="Q623" s="81"/>
      <c r="R623" s="81"/>
      <c r="S623" s="81"/>
      <c r="T623" s="81"/>
      <c r="U623" s="81"/>
      <c r="V623" s="81"/>
      <c r="W623" s="81"/>
      <c r="X623" s="81"/>
      <c r="Y623" s="81"/>
      <c r="Z623" s="81"/>
      <c r="AA623" s="80"/>
      <c r="AB623" s="80"/>
      <c r="AC623" s="81"/>
      <c r="AD623" s="81"/>
      <c r="AE623" s="81"/>
      <c r="AF623" s="81"/>
    </row>
    <row r="624" ht="15.75" customHeight="1">
      <c r="A624" s="81"/>
      <c r="B624" s="180"/>
      <c r="C624" s="1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0"/>
      <c r="AB624" s="80"/>
      <c r="AC624" s="81"/>
      <c r="AD624" s="81"/>
      <c r="AE624" s="81"/>
      <c r="AF624" s="81"/>
    </row>
    <row r="625" ht="15.75" customHeight="1">
      <c r="A625" s="81"/>
      <c r="B625" s="180"/>
      <c r="C625" s="1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0"/>
      <c r="AB625" s="80"/>
      <c r="AC625" s="81"/>
      <c r="AD625" s="81"/>
      <c r="AE625" s="81"/>
      <c r="AF625" s="81"/>
    </row>
    <row r="626" ht="15.75" customHeight="1">
      <c r="A626" s="81"/>
      <c r="B626" s="180"/>
      <c r="C626" s="1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0"/>
      <c r="AB626" s="80"/>
      <c r="AC626" s="81"/>
      <c r="AD626" s="81"/>
      <c r="AE626" s="81"/>
      <c r="AF626" s="81"/>
    </row>
    <row r="627" ht="15.75" customHeight="1">
      <c r="A627" s="81"/>
      <c r="B627" s="180"/>
      <c r="C627" s="1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0"/>
      <c r="AB627" s="80"/>
      <c r="AC627" s="81"/>
      <c r="AD627" s="81"/>
      <c r="AE627" s="81"/>
      <c r="AF627" s="81"/>
    </row>
    <row r="628" ht="15.75" customHeight="1">
      <c r="A628" s="81"/>
      <c r="B628" s="180"/>
      <c r="C628" s="1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0"/>
      <c r="AB628" s="80"/>
      <c r="AC628" s="81"/>
      <c r="AD628" s="81"/>
      <c r="AE628" s="81"/>
      <c r="AF628" s="81"/>
    </row>
    <row r="629" ht="15.75" customHeight="1">
      <c r="A629" s="81"/>
      <c r="B629" s="180"/>
      <c r="C629" s="1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0"/>
      <c r="AB629" s="80"/>
      <c r="AC629" s="81"/>
      <c r="AD629" s="81"/>
      <c r="AE629" s="81"/>
      <c r="AF629" s="81"/>
    </row>
    <row r="630" ht="15.75" customHeight="1">
      <c r="A630" s="81"/>
      <c r="B630" s="180"/>
      <c r="C630" s="1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0"/>
      <c r="AB630" s="80"/>
      <c r="AC630" s="81"/>
      <c r="AD630" s="81"/>
      <c r="AE630" s="81"/>
      <c r="AF630" s="81"/>
    </row>
    <row r="631" ht="15.75" customHeight="1">
      <c r="A631" s="81"/>
      <c r="B631" s="180"/>
      <c r="C631" s="1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0"/>
      <c r="AB631" s="80"/>
      <c r="AC631" s="81"/>
      <c r="AD631" s="81"/>
      <c r="AE631" s="81"/>
      <c r="AF631" s="81"/>
    </row>
    <row r="632" ht="15.75" customHeight="1">
      <c r="A632" s="81"/>
      <c r="B632" s="180"/>
      <c r="C632" s="1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0"/>
      <c r="AB632" s="80"/>
      <c r="AC632" s="81"/>
      <c r="AD632" s="81"/>
      <c r="AE632" s="81"/>
      <c r="AF632" s="81"/>
    </row>
    <row r="633" ht="15.75" customHeight="1">
      <c r="A633" s="81"/>
      <c r="B633" s="180"/>
      <c r="C633" s="1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0"/>
      <c r="AB633" s="80"/>
      <c r="AC633" s="81"/>
      <c r="AD633" s="81"/>
      <c r="AE633" s="81"/>
      <c r="AF633" s="81"/>
    </row>
    <row r="634" ht="15.75" customHeight="1">
      <c r="A634" s="81"/>
      <c r="B634" s="180"/>
      <c r="C634" s="1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0"/>
      <c r="AB634" s="80"/>
      <c r="AC634" s="81"/>
      <c r="AD634" s="81"/>
      <c r="AE634" s="81"/>
      <c r="AF634" s="81"/>
    </row>
    <row r="635" ht="15.75" customHeight="1">
      <c r="A635" s="81"/>
      <c r="B635" s="180"/>
      <c r="C635" s="1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0"/>
      <c r="AB635" s="80"/>
      <c r="AC635" s="81"/>
      <c r="AD635" s="81"/>
      <c r="AE635" s="81"/>
      <c r="AF635" s="81"/>
    </row>
    <row r="636" ht="15.75" customHeight="1">
      <c r="A636" s="81"/>
      <c r="B636" s="180"/>
      <c r="C636" s="1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0"/>
      <c r="AB636" s="80"/>
      <c r="AC636" s="81"/>
      <c r="AD636" s="81"/>
      <c r="AE636" s="81"/>
      <c r="AF636" s="81"/>
    </row>
    <row r="637" ht="15.75" customHeight="1">
      <c r="A637" s="81"/>
      <c r="B637" s="180"/>
      <c r="C637" s="1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0"/>
      <c r="AB637" s="80"/>
      <c r="AC637" s="81"/>
      <c r="AD637" s="81"/>
      <c r="AE637" s="81"/>
      <c r="AF637" s="81"/>
    </row>
    <row r="638" ht="15.75" customHeight="1">
      <c r="A638" s="81"/>
      <c r="B638" s="180"/>
      <c r="C638" s="1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0"/>
      <c r="AB638" s="80"/>
      <c r="AC638" s="81"/>
      <c r="AD638" s="81"/>
      <c r="AE638" s="81"/>
      <c r="AF638" s="81"/>
    </row>
    <row r="639" ht="15.75" customHeight="1">
      <c r="A639" s="81"/>
      <c r="B639" s="180"/>
      <c r="C639" s="1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0"/>
      <c r="AB639" s="80"/>
      <c r="AC639" s="81"/>
      <c r="AD639" s="81"/>
      <c r="AE639" s="81"/>
      <c r="AF639" s="81"/>
    </row>
    <row r="640" ht="15.75" customHeight="1">
      <c r="A640" s="81"/>
      <c r="B640" s="180"/>
      <c r="C640" s="1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0"/>
      <c r="AB640" s="80"/>
      <c r="AC640" s="81"/>
      <c r="AD640" s="81"/>
      <c r="AE640" s="81"/>
      <c r="AF640" s="81"/>
    </row>
    <row r="641" ht="15.75" customHeight="1">
      <c r="A641" s="81"/>
      <c r="B641" s="180"/>
      <c r="C641" s="1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0"/>
      <c r="AB641" s="80"/>
      <c r="AC641" s="81"/>
      <c r="AD641" s="81"/>
      <c r="AE641" s="81"/>
      <c r="AF641" s="81"/>
    </row>
    <row r="642" ht="15.75" customHeight="1">
      <c r="A642" s="81"/>
      <c r="B642" s="180"/>
      <c r="C642" s="1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0"/>
      <c r="AB642" s="80"/>
      <c r="AC642" s="81"/>
      <c r="AD642" s="81"/>
      <c r="AE642" s="81"/>
      <c r="AF642" s="81"/>
    </row>
    <row r="643" ht="15.75" customHeight="1">
      <c r="A643" s="81"/>
      <c r="B643" s="180"/>
      <c r="C643" s="1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0"/>
      <c r="AB643" s="80"/>
      <c r="AC643" s="81"/>
      <c r="AD643" s="81"/>
      <c r="AE643" s="81"/>
      <c r="AF643" s="81"/>
    </row>
    <row r="644" ht="15.75" customHeight="1">
      <c r="A644" s="81"/>
      <c r="B644" s="180"/>
      <c r="C644" s="1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0"/>
      <c r="AB644" s="80"/>
      <c r="AC644" s="81"/>
      <c r="AD644" s="81"/>
      <c r="AE644" s="81"/>
      <c r="AF644" s="81"/>
    </row>
    <row r="645" ht="15.75" customHeight="1">
      <c r="A645" s="81"/>
      <c r="B645" s="180"/>
      <c r="C645" s="1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0"/>
      <c r="AB645" s="80"/>
      <c r="AC645" s="81"/>
      <c r="AD645" s="81"/>
      <c r="AE645" s="81"/>
      <c r="AF645" s="81"/>
    </row>
    <row r="646" ht="15.75" customHeight="1">
      <c r="A646" s="81"/>
      <c r="B646" s="180"/>
      <c r="C646" s="1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0"/>
      <c r="AB646" s="80"/>
      <c r="AC646" s="81"/>
      <c r="AD646" s="81"/>
      <c r="AE646" s="81"/>
      <c r="AF646" s="81"/>
    </row>
    <row r="647" ht="15.75" customHeight="1">
      <c r="A647" s="81"/>
      <c r="B647" s="180"/>
      <c r="C647" s="181"/>
      <c r="D647" s="81"/>
      <c r="E647" s="81"/>
      <c r="F647" s="81"/>
      <c r="G647" s="81"/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1"/>
      <c r="W647" s="81"/>
      <c r="X647" s="81"/>
      <c r="Y647" s="81"/>
      <c r="Z647" s="81"/>
      <c r="AA647" s="80"/>
      <c r="AB647" s="80"/>
      <c r="AC647" s="81"/>
      <c r="AD647" s="81"/>
      <c r="AE647" s="81"/>
      <c r="AF647" s="81"/>
    </row>
    <row r="648" ht="15.75" customHeight="1">
      <c r="A648" s="81"/>
      <c r="B648" s="180"/>
      <c r="C648" s="181"/>
      <c r="D648" s="81"/>
      <c r="E648" s="81"/>
      <c r="F648" s="81"/>
      <c r="G648" s="81"/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1"/>
      <c r="W648" s="81"/>
      <c r="X648" s="81"/>
      <c r="Y648" s="81"/>
      <c r="Z648" s="81"/>
      <c r="AA648" s="80"/>
      <c r="AB648" s="80"/>
      <c r="AC648" s="81"/>
      <c r="AD648" s="81"/>
      <c r="AE648" s="81"/>
      <c r="AF648" s="81"/>
    </row>
    <row r="649" ht="15.75" customHeight="1">
      <c r="A649" s="81"/>
      <c r="B649" s="180"/>
      <c r="C649" s="181"/>
      <c r="D649" s="81"/>
      <c r="E649" s="81"/>
      <c r="F649" s="81"/>
      <c r="G649" s="81"/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1"/>
      <c r="W649" s="81"/>
      <c r="X649" s="81"/>
      <c r="Y649" s="81"/>
      <c r="Z649" s="81"/>
      <c r="AA649" s="80"/>
      <c r="AB649" s="80"/>
      <c r="AC649" s="81"/>
      <c r="AD649" s="81"/>
      <c r="AE649" s="81"/>
      <c r="AF649" s="81"/>
    </row>
    <row r="650" ht="15.75" customHeight="1">
      <c r="A650" s="81"/>
      <c r="B650" s="180"/>
      <c r="C650" s="181"/>
      <c r="D650" s="81"/>
      <c r="E650" s="81"/>
      <c r="F650" s="81"/>
      <c r="G650" s="81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1"/>
      <c r="W650" s="81"/>
      <c r="X650" s="81"/>
      <c r="Y650" s="81"/>
      <c r="Z650" s="81"/>
      <c r="AA650" s="80"/>
      <c r="AB650" s="80"/>
      <c r="AC650" s="81"/>
      <c r="AD650" s="81"/>
      <c r="AE650" s="81"/>
      <c r="AF650" s="81"/>
    </row>
    <row r="651" ht="15.75" customHeight="1">
      <c r="A651" s="81"/>
      <c r="B651" s="180"/>
      <c r="C651" s="1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  <c r="X651" s="81"/>
      <c r="Y651" s="81"/>
      <c r="Z651" s="81"/>
      <c r="AA651" s="80"/>
      <c r="AB651" s="80"/>
      <c r="AC651" s="81"/>
      <c r="AD651" s="81"/>
      <c r="AE651" s="81"/>
      <c r="AF651" s="81"/>
    </row>
    <row r="652" ht="15.75" customHeight="1">
      <c r="A652" s="81"/>
      <c r="B652" s="180"/>
      <c r="C652" s="1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  <c r="X652" s="81"/>
      <c r="Y652" s="81"/>
      <c r="Z652" s="81"/>
      <c r="AA652" s="80"/>
      <c r="AB652" s="80"/>
      <c r="AC652" s="81"/>
      <c r="AD652" s="81"/>
      <c r="AE652" s="81"/>
      <c r="AF652" s="81"/>
    </row>
    <row r="653" ht="15.75" customHeight="1">
      <c r="A653" s="81"/>
      <c r="B653" s="180"/>
      <c r="C653" s="181"/>
      <c r="D653" s="81"/>
      <c r="E653" s="81"/>
      <c r="F653" s="81"/>
      <c r="G653" s="81"/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1"/>
      <c r="W653" s="81"/>
      <c r="X653" s="81"/>
      <c r="Y653" s="81"/>
      <c r="Z653" s="81"/>
      <c r="AA653" s="80"/>
      <c r="AB653" s="80"/>
      <c r="AC653" s="81"/>
      <c r="AD653" s="81"/>
      <c r="AE653" s="81"/>
      <c r="AF653" s="81"/>
    </row>
    <row r="654" ht="15.75" customHeight="1">
      <c r="A654" s="81"/>
      <c r="B654" s="180"/>
      <c r="C654" s="181"/>
      <c r="D654" s="81"/>
      <c r="E654" s="81"/>
      <c r="F654" s="81"/>
      <c r="G654" s="81"/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1"/>
      <c r="W654" s="81"/>
      <c r="X654" s="81"/>
      <c r="Y654" s="81"/>
      <c r="Z654" s="81"/>
      <c r="AA654" s="80"/>
      <c r="AB654" s="80"/>
      <c r="AC654" s="81"/>
      <c r="AD654" s="81"/>
      <c r="AE654" s="81"/>
      <c r="AF654" s="81"/>
    </row>
    <row r="655" ht="15.75" customHeight="1">
      <c r="A655" s="81"/>
      <c r="B655" s="180"/>
      <c r="C655" s="181"/>
      <c r="D655" s="81"/>
      <c r="E655" s="81"/>
      <c r="F655" s="81"/>
      <c r="G655" s="81"/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1"/>
      <c r="W655" s="81"/>
      <c r="X655" s="81"/>
      <c r="Y655" s="81"/>
      <c r="Z655" s="81"/>
      <c r="AA655" s="80"/>
      <c r="AB655" s="80"/>
      <c r="AC655" s="81"/>
      <c r="AD655" s="81"/>
      <c r="AE655" s="81"/>
      <c r="AF655" s="81"/>
    </row>
    <row r="656" ht="15.75" customHeight="1">
      <c r="A656" s="81"/>
      <c r="B656" s="180"/>
      <c r="C656" s="181"/>
      <c r="D656" s="81"/>
      <c r="E656" s="81"/>
      <c r="F656" s="81"/>
      <c r="G656" s="81"/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1"/>
      <c r="W656" s="81"/>
      <c r="X656" s="81"/>
      <c r="Y656" s="81"/>
      <c r="Z656" s="81"/>
      <c r="AA656" s="80"/>
      <c r="AB656" s="80"/>
      <c r="AC656" s="81"/>
      <c r="AD656" s="81"/>
      <c r="AE656" s="81"/>
      <c r="AF656" s="81"/>
    </row>
    <row r="657" ht="15.75" customHeight="1">
      <c r="A657" s="81"/>
      <c r="B657" s="180"/>
      <c r="C657" s="181"/>
      <c r="D657" s="81"/>
      <c r="E657" s="81"/>
      <c r="F657" s="81"/>
      <c r="G657" s="81"/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1"/>
      <c r="W657" s="81"/>
      <c r="X657" s="81"/>
      <c r="Y657" s="81"/>
      <c r="Z657" s="81"/>
      <c r="AA657" s="80"/>
      <c r="AB657" s="80"/>
      <c r="AC657" s="81"/>
      <c r="AD657" s="81"/>
      <c r="AE657" s="81"/>
      <c r="AF657" s="81"/>
    </row>
    <row r="658" ht="15.75" customHeight="1">
      <c r="A658" s="81"/>
      <c r="B658" s="180"/>
      <c r="C658" s="181"/>
      <c r="D658" s="81"/>
      <c r="E658" s="81"/>
      <c r="F658" s="81"/>
      <c r="G658" s="81"/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81"/>
      <c r="U658" s="81"/>
      <c r="V658" s="81"/>
      <c r="W658" s="81"/>
      <c r="X658" s="81"/>
      <c r="Y658" s="81"/>
      <c r="Z658" s="81"/>
      <c r="AA658" s="80"/>
      <c r="AB658" s="80"/>
      <c r="AC658" s="81"/>
      <c r="AD658" s="81"/>
      <c r="AE658" s="81"/>
      <c r="AF658" s="81"/>
    </row>
    <row r="659" ht="15.75" customHeight="1">
      <c r="A659" s="81"/>
      <c r="B659" s="180"/>
      <c r="C659" s="181"/>
      <c r="D659" s="81"/>
      <c r="E659" s="81"/>
      <c r="F659" s="81"/>
      <c r="G659" s="81"/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81"/>
      <c r="U659" s="81"/>
      <c r="V659" s="81"/>
      <c r="W659" s="81"/>
      <c r="X659" s="81"/>
      <c r="Y659" s="81"/>
      <c r="Z659" s="81"/>
      <c r="AA659" s="80"/>
      <c r="AB659" s="80"/>
      <c r="AC659" s="81"/>
      <c r="AD659" s="81"/>
      <c r="AE659" s="81"/>
      <c r="AF659" s="81"/>
    </row>
    <row r="660" ht="15.75" customHeight="1">
      <c r="A660" s="81"/>
      <c r="B660" s="180"/>
      <c r="C660" s="181"/>
      <c r="D660" s="81"/>
      <c r="E660" s="81"/>
      <c r="F660" s="81"/>
      <c r="G660" s="81"/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81"/>
      <c r="U660" s="81"/>
      <c r="V660" s="81"/>
      <c r="W660" s="81"/>
      <c r="X660" s="81"/>
      <c r="Y660" s="81"/>
      <c r="Z660" s="81"/>
      <c r="AA660" s="80"/>
      <c r="AB660" s="80"/>
      <c r="AC660" s="81"/>
      <c r="AD660" s="81"/>
      <c r="AE660" s="81"/>
      <c r="AF660" s="81"/>
    </row>
    <row r="661" ht="15.75" customHeight="1">
      <c r="A661" s="81"/>
      <c r="B661" s="180"/>
      <c r="C661" s="181"/>
      <c r="D661" s="81"/>
      <c r="E661" s="81"/>
      <c r="F661" s="81"/>
      <c r="G661" s="81"/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81"/>
      <c r="U661" s="81"/>
      <c r="V661" s="81"/>
      <c r="W661" s="81"/>
      <c r="X661" s="81"/>
      <c r="Y661" s="81"/>
      <c r="Z661" s="81"/>
      <c r="AA661" s="80"/>
      <c r="AB661" s="80"/>
      <c r="AC661" s="81"/>
      <c r="AD661" s="81"/>
      <c r="AE661" s="81"/>
      <c r="AF661" s="81"/>
    </row>
    <row r="662" ht="15.75" customHeight="1">
      <c r="A662" s="81"/>
      <c r="B662" s="180"/>
      <c r="C662" s="181"/>
      <c r="D662" s="81"/>
      <c r="E662" s="81"/>
      <c r="F662" s="81"/>
      <c r="G662" s="81"/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81"/>
      <c r="U662" s="81"/>
      <c r="V662" s="81"/>
      <c r="W662" s="81"/>
      <c r="X662" s="81"/>
      <c r="Y662" s="81"/>
      <c r="Z662" s="81"/>
      <c r="AA662" s="80"/>
      <c r="AB662" s="80"/>
      <c r="AC662" s="81"/>
      <c r="AD662" s="81"/>
      <c r="AE662" s="81"/>
      <c r="AF662" s="81"/>
    </row>
    <row r="663" ht="15.75" customHeight="1">
      <c r="A663" s="81"/>
      <c r="B663" s="180"/>
      <c r="C663" s="181"/>
      <c r="D663" s="81"/>
      <c r="E663" s="81"/>
      <c r="F663" s="81"/>
      <c r="G663" s="81"/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81"/>
      <c r="U663" s="81"/>
      <c r="V663" s="81"/>
      <c r="W663" s="81"/>
      <c r="X663" s="81"/>
      <c r="Y663" s="81"/>
      <c r="Z663" s="81"/>
      <c r="AA663" s="80"/>
      <c r="AB663" s="80"/>
      <c r="AC663" s="81"/>
      <c r="AD663" s="81"/>
      <c r="AE663" s="81"/>
      <c r="AF663" s="81"/>
    </row>
    <row r="664" ht="15.75" customHeight="1">
      <c r="A664" s="81"/>
      <c r="B664" s="180"/>
      <c r="C664" s="181"/>
      <c r="D664" s="81"/>
      <c r="E664" s="81"/>
      <c r="F664" s="81"/>
      <c r="G664" s="81"/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81"/>
      <c r="U664" s="81"/>
      <c r="V664" s="81"/>
      <c r="W664" s="81"/>
      <c r="X664" s="81"/>
      <c r="Y664" s="81"/>
      <c r="Z664" s="81"/>
      <c r="AA664" s="80"/>
      <c r="AB664" s="80"/>
      <c r="AC664" s="81"/>
      <c r="AD664" s="81"/>
      <c r="AE664" s="81"/>
      <c r="AF664" s="81"/>
    </row>
    <row r="665" ht="15.75" customHeight="1">
      <c r="A665" s="81"/>
      <c r="B665" s="180"/>
      <c r="C665" s="1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  <c r="X665" s="81"/>
      <c r="Y665" s="81"/>
      <c r="Z665" s="81"/>
      <c r="AA665" s="80"/>
      <c r="AB665" s="80"/>
      <c r="AC665" s="81"/>
      <c r="AD665" s="81"/>
      <c r="AE665" s="81"/>
      <c r="AF665" s="81"/>
    </row>
    <row r="666" ht="15.75" customHeight="1">
      <c r="A666" s="81"/>
      <c r="B666" s="180"/>
      <c r="C666" s="1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  <c r="X666" s="81"/>
      <c r="Y666" s="81"/>
      <c r="Z666" s="81"/>
      <c r="AA666" s="80"/>
      <c r="AB666" s="80"/>
      <c r="AC666" s="81"/>
      <c r="AD666" s="81"/>
      <c r="AE666" s="81"/>
      <c r="AF666" s="81"/>
    </row>
    <row r="667" ht="15.75" customHeight="1">
      <c r="A667" s="81"/>
      <c r="B667" s="180"/>
      <c r="C667" s="1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  <c r="X667" s="81"/>
      <c r="Y667" s="81"/>
      <c r="Z667" s="81"/>
      <c r="AA667" s="80"/>
      <c r="AB667" s="80"/>
      <c r="AC667" s="81"/>
      <c r="AD667" s="81"/>
      <c r="AE667" s="81"/>
      <c r="AF667" s="81"/>
    </row>
    <row r="668" ht="15.75" customHeight="1">
      <c r="A668" s="81"/>
      <c r="B668" s="180"/>
      <c r="C668" s="1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  <c r="X668" s="81"/>
      <c r="Y668" s="81"/>
      <c r="Z668" s="81"/>
      <c r="AA668" s="80"/>
      <c r="AB668" s="80"/>
      <c r="AC668" s="81"/>
      <c r="AD668" s="81"/>
      <c r="AE668" s="81"/>
      <c r="AF668" s="81"/>
    </row>
    <row r="669" ht="15.75" customHeight="1">
      <c r="A669" s="81"/>
      <c r="B669" s="180"/>
      <c r="C669" s="1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  <c r="X669" s="81"/>
      <c r="Y669" s="81"/>
      <c r="Z669" s="81"/>
      <c r="AA669" s="80"/>
      <c r="AB669" s="80"/>
      <c r="AC669" s="81"/>
      <c r="AD669" s="81"/>
      <c r="AE669" s="81"/>
      <c r="AF669" s="81"/>
    </row>
    <row r="670" ht="15.75" customHeight="1">
      <c r="A670" s="81"/>
      <c r="B670" s="180"/>
      <c r="C670" s="1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0"/>
      <c r="AB670" s="80"/>
      <c r="AC670" s="81"/>
      <c r="AD670" s="81"/>
      <c r="AE670" s="81"/>
      <c r="AF670" s="81"/>
    </row>
    <row r="671" ht="15.75" customHeight="1">
      <c r="A671" s="81"/>
      <c r="B671" s="180"/>
      <c r="C671" s="1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0"/>
      <c r="AB671" s="80"/>
      <c r="AC671" s="81"/>
      <c r="AD671" s="81"/>
      <c r="AE671" s="81"/>
      <c r="AF671" s="81"/>
    </row>
    <row r="672" ht="15.75" customHeight="1">
      <c r="A672" s="81"/>
      <c r="B672" s="180"/>
      <c r="C672" s="1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0"/>
      <c r="AB672" s="80"/>
      <c r="AC672" s="81"/>
      <c r="AD672" s="81"/>
      <c r="AE672" s="81"/>
      <c r="AF672" s="81"/>
    </row>
    <row r="673" ht="15.75" customHeight="1">
      <c r="A673" s="81"/>
      <c r="B673" s="180"/>
      <c r="C673" s="1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0"/>
      <c r="AB673" s="80"/>
      <c r="AC673" s="81"/>
      <c r="AD673" s="81"/>
      <c r="AE673" s="81"/>
      <c r="AF673" s="81"/>
    </row>
    <row r="674" ht="15.75" customHeight="1">
      <c r="A674" s="81"/>
      <c r="B674" s="180"/>
      <c r="C674" s="1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0"/>
      <c r="AB674" s="80"/>
      <c r="AC674" s="81"/>
      <c r="AD674" s="81"/>
      <c r="AE674" s="81"/>
      <c r="AF674" s="81"/>
    </row>
    <row r="675" ht="15.75" customHeight="1">
      <c r="A675" s="81"/>
      <c r="B675" s="180"/>
      <c r="C675" s="1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0"/>
      <c r="AB675" s="80"/>
      <c r="AC675" s="81"/>
      <c r="AD675" s="81"/>
      <c r="AE675" s="81"/>
      <c r="AF675" s="81"/>
    </row>
    <row r="676" ht="15.75" customHeight="1">
      <c r="A676" s="81"/>
      <c r="B676" s="180"/>
      <c r="C676" s="1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0"/>
      <c r="AB676" s="80"/>
      <c r="AC676" s="81"/>
      <c r="AD676" s="81"/>
      <c r="AE676" s="81"/>
      <c r="AF676" s="81"/>
    </row>
    <row r="677" ht="15.75" customHeight="1">
      <c r="A677" s="81"/>
      <c r="B677" s="180"/>
      <c r="C677" s="1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0"/>
      <c r="AB677" s="80"/>
      <c r="AC677" s="81"/>
      <c r="AD677" s="81"/>
      <c r="AE677" s="81"/>
      <c r="AF677" s="81"/>
    </row>
    <row r="678" ht="15.75" customHeight="1">
      <c r="A678" s="81"/>
      <c r="B678" s="180"/>
      <c r="C678" s="1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0"/>
      <c r="AB678" s="80"/>
      <c r="AC678" s="81"/>
      <c r="AD678" s="81"/>
      <c r="AE678" s="81"/>
      <c r="AF678" s="81"/>
    </row>
    <row r="679" ht="15.75" customHeight="1">
      <c r="A679" s="81"/>
      <c r="B679" s="180"/>
      <c r="C679" s="1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0"/>
      <c r="AB679" s="80"/>
      <c r="AC679" s="81"/>
      <c r="AD679" s="81"/>
      <c r="AE679" s="81"/>
      <c r="AF679" s="81"/>
    </row>
    <row r="680" ht="15.75" customHeight="1">
      <c r="A680" s="81"/>
      <c r="B680" s="180"/>
      <c r="C680" s="1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0"/>
      <c r="AB680" s="80"/>
      <c r="AC680" s="81"/>
      <c r="AD680" s="81"/>
      <c r="AE680" s="81"/>
      <c r="AF680" s="81"/>
    </row>
    <row r="681" ht="15.75" customHeight="1">
      <c r="A681" s="81"/>
      <c r="B681" s="180"/>
      <c r="C681" s="1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0"/>
      <c r="AB681" s="80"/>
      <c r="AC681" s="81"/>
      <c r="AD681" s="81"/>
      <c r="AE681" s="81"/>
      <c r="AF681" s="81"/>
    </row>
    <row r="682" ht="15.75" customHeight="1">
      <c r="A682" s="81"/>
      <c r="B682" s="180"/>
      <c r="C682" s="1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0"/>
      <c r="AB682" s="80"/>
      <c r="AC682" s="81"/>
      <c r="AD682" s="81"/>
      <c r="AE682" s="81"/>
      <c r="AF682" s="81"/>
    </row>
    <row r="683" ht="15.75" customHeight="1">
      <c r="A683" s="81"/>
      <c r="B683" s="180"/>
      <c r="C683" s="1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0"/>
      <c r="AB683" s="80"/>
      <c r="AC683" s="81"/>
      <c r="AD683" s="81"/>
      <c r="AE683" s="81"/>
      <c r="AF683" s="81"/>
    </row>
    <row r="684" ht="15.75" customHeight="1">
      <c r="A684" s="81"/>
      <c r="B684" s="180"/>
      <c r="C684" s="1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0"/>
      <c r="AB684" s="80"/>
      <c r="AC684" s="81"/>
      <c r="AD684" s="81"/>
      <c r="AE684" s="81"/>
      <c r="AF684" s="81"/>
    </row>
    <row r="685" ht="15.75" customHeight="1">
      <c r="A685" s="81"/>
      <c r="B685" s="180"/>
      <c r="C685" s="1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0"/>
      <c r="AB685" s="80"/>
      <c r="AC685" s="81"/>
      <c r="AD685" s="81"/>
      <c r="AE685" s="81"/>
      <c r="AF685" s="81"/>
    </row>
    <row r="686" ht="15.75" customHeight="1">
      <c r="A686" s="81"/>
      <c r="B686" s="180"/>
      <c r="C686" s="1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0"/>
      <c r="AB686" s="80"/>
      <c r="AC686" s="81"/>
      <c r="AD686" s="81"/>
      <c r="AE686" s="81"/>
      <c r="AF686" s="81"/>
    </row>
    <row r="687" ht="15.75" customHeight="1">
      <c r="A687" s="81"/>
      <c r="B687" s="180"/>
      <c r="C687" s="1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0"/>
      <c r="AB687" s="80"/>
      <c r="AC687" s="81"/>
      <c r="AD687" s="81"/>
      <c r="AE687" s="81"/>
      <c r="AF687" s="81"/>
    </row>
    <row r="688" ht="15.75" customHeight="1">
      <c r="A688" s="81"/>
      <c r="B688" s="180"/>
      <c r="C688" s="1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0"/>
      <c r="AB688" s="80"/>
      <c r="AC688" s="81"/>
      <c r="AD688" s="81"/>
      <c r="AE688" s="81"/>
      <c r="AF688" s="81"/>
    </row>
    <row r="689" ht="15.75" customHeight="1">
      <c r="A689" s="81"/>
      <c r="B689" s="180"/>
      <c r="C689" s="1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0"/>
      <c r="AB689" s="80"/>
      <c r="AC689" s="81"/>
      <c r="AD689" s="81"/>
      <c r="AE689" s="81"/>
      <c r="AF689" s="81"/>
    </row>
    <row r="690" ht="15.75" customHeight="1">
      <c r="A690" s="81"/>
      <c r="B690" s="180"/>
      <c r="C690" s="1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0"/>
      <c r="AB690" s="80"/>
      <c r="AC690" s="81"/>
      <c r="AD690" s="81"/>
      <c r="AE690" s="81"/>
      <c r="AF690" s="81"/>
    </row>
    <row r="691" ht="15.75" customHeight="1">
      <c r="A691" s="81"/>
      <c r="B691" s="180"/>
      <c r="C691" s="1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0"/>
      <c r="AB691" s="80"/>
      <c r="AC691" s="81"/>
      <c r="AD691" s="81"/>
      <c r="AE691" s="81"/>
      <c r="AF691" s="81"/>
    </row>
    <row r="692" ht="15.75" customHeight="1">
      <c r="A692" s="81"/>
      <c r="B692" s="180"/>
      <c r="C692" s="1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0"/>
      <c r="AB692" s="80"/>
      <c r="AC692" s="81"/>
      <c r="AD692" s="81"/>
      <c r="AE692" s="81"/>
      <c r="AF692" s="81"/>
    </row>
    <row r="693" ht="15.75" customHeight="1">
      <c r="A693" s="81"/>
      <c r="B693" s="180"/>
      <c r="C693" s="1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  <c r="X693" s="81"/>
      <c r="Y693" s="81"/>
      <c r="Z693" s="81"/>
      <c r="AA693" s="80"/>
      <c r="AB693" s="80"/>
      <c r="AC693" s="81"/>
      <c r="AD693" s="81"/>
      <c r="AE693" s="81"/>
      <c r="AF693" s="81"/>
    </row>
    <row r="694" ht="15.75" customHeight="1">
      <c r="A694" s="81"/>
      <c r="B694" s="180"/>
      <c r="C694" s="1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  <c r="X694" s="81"/>
      <c r="Y694" s="81"/>
      <c r="Z694" s="81"/>
      <c r="AA694" s="80"/>
      <c r="AB694" s="80"/>
      <c r="AC694" s="81"/>
      <c r="AD694" s="81"/>
      <c r="AE694" s="81"/>
      <c r="AF694" s="81"/>
    </row>
    <row r="695" ht="15.75" customHeight="1">
      <c r="A695" s="81"/>
      <c r="B695" s="180"/>
      <c r="C695" s="1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  <c r="X695" s="81"/>
      <c r="Y695" s="81"/>
      <c r="Z695" s="81"/>
      <c r="AA695" s="80"/>
      <c r="AB695" s="80"/>
      <c r="AC695" s="81"/>
      <c r="AD695" s="81"/>
      <c r="AE695" s="81"/>
      <c r="AF695" s="81"/>
    </row>
    <row r="696" ht="15.75" customHeight="1">
      <c r="A696" s="81"/>
      <c r="B696" s="180"/>
      <c r="C696" s="1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  <c r="X696" s="81"/>
      <c r="Y696" s="81"/>
      <c r="Z696" s="81"/>
      <c r="AA696" s="80"/>
      <c r="AB696" s="80"/>
      <c r="AC696" s="81"/>
      <c r="AD696" s="81"/>
      <c r="AE696" s="81"/>
      <c r="AF696" s="81"/>
    </row>
    <row r="697" ht="15.75" customHeight="1">
      <c r="A697" s="81"/>
      <c r="B697" s="180"/>
      <c r="C697" s="1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  <c r="X697" s="81"/>
      <c r="Y697" s="81"/>
      <c r="Z697" s="81"/>
      <c r="AA697" s="80"/>
      <c r="AB697" s="80"/>
      <c r="AC697" s="81"/>
      <c r="AD697" s="81"/>
      <c r="AE697" s="81"/>
      <c r="AF697" s="81"/>
    </row>
    <row r="698" ht="15.75" customHeight="1">
      <c r="A698" s="81"/>
      <c r="B698" s="180"/>
      <c r="C698" s="1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  <c r="X698" s="81"/>
      <c r="Y698" s="81"/>
      <c r="Z698" s="81"/>
      <c r="AA698" s="80"/>
      <c r="AB698" s="80"/>
      <c r="AC698" s="81"/>
      <c r="AD698" s="81"/>
      <c r="AE698" s="81"/>
      <c r="AF698" s="81"/>
    </row>
    <row r="699" ht="15.75" customHeight="1">
      <c r="A699" s="81"/>
      <c r="B699" s="180"/>
      <c r="C699" s="181"/>
      <c r="D699" s="81"/>
      <c r="E699" s="81"/>
      <c r="F699" s="81"/>
      <c r="G699" s="81"/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81"/>
      <c r="U699" s="81"/>
      <c r="V699" s="81"/>
      <c r="W699" s="81"/>
      <c r="X699" s="81"/>
      <c r="Y699" s="81"/>
      <c r="Z699" s="81"/>
      <c r="AA699" s="80"/>
      <c r="AB699" s="80"/>
      <c r="AC699" s="81"/>
      <c r="AD699" s="81"/>
      <c r="AE699" s="81"/>
      <c r="AF699" s="81"/>
    </row>
    <row r="700" ht="15.75" customHeight="1">
      <c r="A700" s="81"/>
      <c r="B700" s="180"/>
      <c r="C700" s="181"/>
      <c r="D700" s="81"/>
      <c r="E700" s="81"/>
      <c r="F700" s="81"/>
      <c r="G700" s="81"/>
      <c r="H700" s="81"/>
      <c r="I700" s="81"/>
      <c r="J700" s="81"/>
      <c r="K700" s="81"/>
      <c r="L700" s="81"/>
      <c r="M700" s="81"/>
      <c r="N700" s="81"/>
      <c r="O700" s="81"/>
      <c r="P700" s="81"/>
      <c r="Q700" s="81"/>
      <c r="R700" s="81"/>
      <c r="S700" s="81"/>
      <c r="T700" s="81"/>
      <c r="U700" s="81"/>
      <c r="V700" s="81"/>
      <c r="W700" s="81"/>
      <c r="X700" s="81"/>
      <c r="Y700" s="81"/>
      <c r="Z700" s="81"/>
      <c r="AA700" s="80"/>
      <c r="AB700" s="80"/>
      <c r="AC700" s="81"/>
      <c r="AD700" s="81"/>
      <c r="AE700" s="81"/>
      <c r="AF700" s="81"/>
    </row>
    <row r="701" ht="15.75" customHeight="1">
      <c r="A701" s="81"/>
      <c r="B701" s="180"/>
      <c r="C701" s="181"/>
      <c r="D701" s="81"/>
      <c r="E701" s="81"/>
      <c r="F701" s="81"/>
      <c r="G701" s="81"/>
      <c r="H701" s="81"/>
      <c r="I701" s="81"/>
      <c r="J701" s="81"/>
      <c r="K701" s="81"/>
      <c r="L701" s="81"/>
      <c r="M701" s="81"/>
      <c r="N701" s="81"/>
      <c r="O701" s="81"/>
      <c r="P701" s="81"/>
      <c r="Q701" s="81"/>
      <c r="R701" s="81"/>
      <c r="S701" s="81"/>
      <c r="T701" s="81"/>
      <c r="U701" s="81"/>
      <c r="V701" s="81"/>
      <c r="W701" s="81"/>
      <c r="X701" s="81"/>
      <c r="Y701" s="81"/>
      <c r="Z701" s="81"/>
      <c r="AA701" s="80"/>
      <c r="AB701" s="80"/>
      <c r="AC701" s="81"/>
      <c r="AD701" s="81"/>
      <c r="AE701" s="81"/>
      <c r="AF701" s="81"/>
    </row>
    <row r="702" ht="15.75" customHeight="1">
      <c r="A702" s="81"/>
      <c r="B702" s="180"/>
      <c r="C702" s="181"/>
      <c r="D702" s="81"/>
      <c r="E702" s="81"/>
      <c r="F702" s="81"/>
      <c r="G702" s="81"/>
      <c r="H702" s="81"/>
      <c r="I702" s="81"/>
      <c r="J702" s="81"/>
      <c r="K702" s="81"/>
      <c r="L702" s="81"/>
      <c r="M702" s="81"/>
      <c r="N702" s="81"/>
      <c r="O702" s="81"/>
      <c r="P702" s="81"/>
      <c r="Q702" s="81"/>
      <c r="R702" s="81"/>
      <c r="S702" s="81"/>
      <c r="T702" s="81"/>
      <c r="U702" s="81"/>
      <c r="V702" s="81"/>
      <c r="W702" s="81"/>
      <c r="X702" s="81"/>
      <c r="Y702" s="81"/>
      <c r="Z702" s="81"/>
      <c r="AA702" s="80"/>
      <c r="AB702" s="80"/>
      <c r="AC702" s="81"/>
      <c r="AD702" s="81"/>
      <c r="AE702" s="81"/>
      <c r="AF702" s="81"/>
    </row>
    <row r="703" ht="15.75" customHeight="1">
      <c r="A703" s="81"/>
      <c r="B703" s="180"/>
      <c r="C703" s="181"/>
      <c r="D703" s="81"/>
      <c r="E703" s="81"/>
      <c r="F703" s="81"/>
      <c r="G703" s="81"/>
      <c r="H703" s="81"/>
      <c r="I703" s="81"/>
      <c r="J703" s="81"/>
      <c r="K703" s="81"/>
      <c r="L703" s="81"/>
      <c r="M703" s="81"/>
      <c r="N703" s="81"/>
      <c r="O703" s="81"/>
      <c r="P703" s="81"/>
      <c r="Q703" s="81"/>
      <c r="R703" s="81"/>
      <c r="S703" s="81"/>
      <c r="T703" s="81"/>
      <c r="U703" s="81"/>
      <c r="V703" s="81"/>
      <c r="W703" s="81"/>
      <c r="X703" s="81"/>
      <c r="Y703" s="81"/>
      <c r="Z703" s="81"/>
      <c r="AA703" s="80"/>
      <c r="AB703" s="80"/>
      <c r="AC703" s="81"/>
      <c r="AD703" s="81"/>
      <c r="AE703" s="81"/>
      <c r="AF703" s="81"/>
    </row>
    <row r="704" ht="15.75" customHeight="1">
      <c r="A704" s="81"/>
      <c r="B704" s="180"/>
      <c r="C704" s="181"/>
      <c r="D704" s="81"/>
      <c r="E704" s="81"/>
      <c r="F704" s="81"/>
      <c r="G704" s="81"/>
      <c r="H704" s="81"/>
      <c r="I704" s="81"/>
      <c r="J704" s="81"/>
      <c r="K704" s="81"/>
      <c r="L704" s="81"/>
      <c r="M704" s="81"/>
      <c r="N704" s="81"/>
      <c r="O704" s="81"/>
      <c r="P704" s="81"/>
      <c r="Q704" s="81"/>
      <c r="R704" s="81"/>
      <c r="S704" s="81"/>
      <c r="T704" s="81"/>
      <c r="U704" s="81"/>
      <c r="V704" s="81"/>
      <c r="W704" s="81"/>
      <c r="X704" s="81"/>
      <c r="Y704" s="81"/>
      <c r="Z704" s="81"/>
      <c r="AA704" s="80"/>
      <c r="AB704" s="80"/>
      <c r="AC704" s="81"/>
      <c r="AD704" s="81"/>
      <c r="AE704" s="81"/>
      <c r="AF704" s="81"/>
    </row>
    <row r="705" ht="15.75" customHeight="1">
      <c r="A705" s="81"/>
      <c r="B705" s="180"/>
      <c r="C705" s="181"/>
      <c r="D705" s="81"/>
      <c r="E705" s="81"/>
      <c r="F705" s="81"/>
      <c r="G705" s="81"/>
      <c r="H705" s="81"/>
      <c r="I705" s="81"/>
      <c r="J705" s="81"/>
      <c r="K705" s="81"/>
      <c r="L705" s="81"/>
      <c r="M705" s="81"/>
      <c r="N705" s="81"/>
      <c r="O705" s="81"/>
      <c r="P705" s="81"/>
      <c r="Q705" s="81"/>
      <c r="R705" s="81"/>
      <c r="S705" s="81"/>
      <c r="T705" s="81"/>
      <c r="U705" s="81"/>
      <c r="V705" s="81"/>
      <c r="W705" s="81"/>
      <c r="X705" s="81"/>
      <c r="Y705" s="81"/>
      <c r="Z705" s="81"/>
      <c r="AA705" s="80"/>
      <c r="AB705" s="80"/>
      <c r="AC705" s="81"/>
      <c r="AD705" s="81"/>
      <c r="AE705" s="81"/>
      <c r="AF705" s="81"/>
    </row>
    <row r="706" ht="15.75" customHeight="1">
      <c r="A706" s="81"/>
      <c r="B706" s="180"/>
      <c r="C706" s="181"/>
      <c r="D706" s="81"/>
      <c r="E706" s="81"/>
      <c r="F706" s="81"/>
      <c r="G706" s="81"/>
      <c r="H706" s="81"/>
      <c r="I706" s="81"/>
      <c r="J706" s="81"/>
      <c r="K706" s="81"/>
      <c r="L706" s="81"/>
      <c r="M706" s="81"/>
      <c r="N706" s="81"/>
      <c r="O706" s="81"/>
      <c r="P706" s="81"/>
      <c r="Q706" s="81"/>
      <c r="R706" s="81"/>
      <c r="S706" s="81"/>
      <c r="T706" s="81"/>
      <c r="U706" s="81"/>
      <c r="V706" s="81"/>
      <c r="W706" s="81"/>
      <c r="X706" s="81"/>
      <c r="Y706" s="81"/>
      <c r="Z706" s="81"/>
      <c r="AA706" s="80"/>
      <c r="AB706" s="80"/>
      <c r="AC706" s="81"/>
      <c r="AD706" s="81"/>
      <c r="AE706" s="81"/>
      <c r="AF706" s="81"/>
    </row>
    <row r="707" ht="15.75" customHeight="1">
      <c r="A707" s="81"/>
      <c r="B707" s="180"/>
      <c r="C707" s="181"/>
      <c r="D707" s="81"/>
      <c r="E707" s="81"/>
      <c r="F707" s="81"/>
      <c r="G707" s="81"/>
      <c r="H707" s="81"/>
      <c r="I707" s="81"/>
      <c r="J707" s="81"/>
      <c r="K707" s="81"/>
      <c r="L707" s="81"/>
      <c r="M707" s="81"/>
      <c r="N707" s="81"/>
      <c r="O707" s="81"/>
      <c r="P707" s="81"/>
      <c r="Q707" s="81"/>
      <c r="R707" s="81"/>
      <c r="S707" s="81"/>
      <c r="T707" s="81"/>
      <c r="U707" s="81"/>
      <c r="V707" s="81"/>
      <c r="W707" s="81"/>
      <c r="X707" s="81"/>
      <c r="Y707" s="81"/>
      <c r="Z707" s="81"/>
      <c r="AA707" s="80"/>
      <c r="AB707" s="80"/>
      <c r="AC707" s="81"/>
      <c r="AD707" s="81"/>
      <c r="AE707" s="81"/>
      <c r="AF707" s="81"/>
    </row>
    <row r="708" ht="15.75" customHeight="1">
      <c r="A708" s="81"/>
      <c r="B708" s="180"/>
      <c r="C708" s="181"/>
      <c r="D708" s="81"/>
      <c r="E708" s="81"/>
      <c r="F708" s="81"/>
      <c r="G708" s="81"/>
      <c r="H708" s="81"/>
      <c r="I708" s="81"/>
      <c r="J708" s="81"/>
      <c r="K708" s="81"/>
      <c r="L708" s="81"/>
      <c r="M708" s="81"/>
      <c r="N708" s="81"/>
      <c r="O708" s="81"/>
      <c r="P708" s="81"/>
      <c r="Q708" s="81"/>
      <c r="R708" s="81"/>
      <c r="S708" s="81"/>
      <c r="T708" s="81"/>
      <c r="U708" s="81"/>
      <c r="V708" s="81"/>
      <c r="W708" s="81"/>
      <c r="X708" s="81"/>
      <c r="Y708" s="81"/>
      <c r="Z708" s="81"/>
      <c r="AA708" s="80"/>
      <c r="AB708" s="80"/>
      <c r="AC708" s="81"/>
      <c r="AD708" s="81"/>
      <c r="AE708" s="81"/>
      <c r="AF708" s="81"/>
    </row>
    <row r="709" ht="15.75" customHeight="1">
      <c r="A709" s="81"/>
      <c r="B709" s="180"/>
      <c r="C709" s="181"/>
      <c r="D709" s="81"/>
      <c r="E709" s="81"/>
      <c r="F709" s="81"/>
      <c r="G709" s="81"/>
      <c r="H709" s="81"/>
      <c r="I709" s="81"/>
      <c r="J709" s="81"/>
      <c r="K709" s="81"/>
      <c r="L709" s="81"/>
      <c r="M709" s="81"/>
      <c r="N709" s="81"/>
      <c r="O709" s="81"/>
      <c r="P709" s="81"/>
      <c r="Q709" s="81"/>
      <c r="R709" s="81"/>
      <c r="S709" s="81"/>
      <c r="T709" s="81"/>
      <c r="U709" s="81"/>
      <c r="V709" s="81"/>
      <c r="W709" s="81"/>
      <c r="X709" s="81"/>
      <c r="Y709" s="81"/>
      <c r="Z709" s="81"/>
      <c r="AA709" s="80"/>
      <c r="AB709" s="80"/>
      <c r="AC709" s="81"/>
      <c r="AD709" s="81"/>
      <c r="AE709" s="81"/>
      <c r="AF709" s="81"/>
    </row>
    <row r="710" ht="15.75" customHeight="1">
      <c r="A710" s="81"/>
      <c r="B710" s="180"/>
      <c r="C710" s="181"/>
      <c r="D710" s="81"/>
      <c r="E710" s="81"/>
      <c r="F710" s="81"/>
      <c r="G710" s="81"/>
      <c r="H710" s="81"/>
      <c r="I710" s="81"/>
      <c r="J710" s="81"/>
      <c r="K710" s="81"/>
      <c r="L710" s="81"/>
      <c r="M710" s="81"/>
      <c r="N710" s="81"/>
      <c r="O710" s="81"/>
      <c r="P710" s="81"/>
      <c r="Q710" s="81"/>
      <c r="R710" s="81"/>
      <c r="S710" s="81"/>
      <c r="T710" s="81"/>
      <c r="U710" s="81"/>
      <c r="V710" s="81"/>
      <c r="W710" s="81"/>
      <c r="X710" s="81"/>
      <c r="Y710" s="81"/>
      <c r="Z710" s="81"/>
      <c r="AA710" s="80"/>
      <c r="AB710" s="80"/>
      <c r="AC710" s="81"/>
      <c r="AD710" s="81"/>
      <c r="AE710" s="81"/>
      <c r="AF710" s="81"/>
    </row>
    <row r="711" ht="15.75" customHeight="1">
      <c r="A711" s="81"/>
      <c r="B711" s="180"/>
      <c r="C711" s="181"/>
      <c r="D711" s="81"/>
      <c r="E711" s="81"/>
      <c r="F711" s="81"/>
      <c r="G711" s="81"/>
      <c r="H711" s="81"/>
      <c r="I711" s="81"/>
      <c r="J711" s="81"/>
      <c r="K711" s="81"/>
      <c r="L711" s="81"/>
      <c r="M711" s="81"/>
      <c r="N711" s="81"/>
      <c r="O711" s="81"/>
      <c r="P711" s="81"/>
      <c r="Q711" s="81"/>
      <c r="R711" s="81"/>
      <c r="S711" s="81"/>
      <c r="T711" s="81"/>
      <c r="U711" s="81"/>
      <c r="V711" s="81"/>
      <c r="W711" s="81"/>
      <c r="X711" s="81"/>
      <c r="Y711" s="81"/>
      <c r="Z711" s="81"/>
      <c r="AA711" s="80"/>
      <c r="AB711" s="80"/>
      <c r="AC711" s="81"/>
      <c r="AD711" s="81"/>
      <c r="AE711" s="81"/>
      <c r="AF711" s="81"/>
    </row>
    <row r="712" ht="15.75" customHeight="1">
      <c r="A712" s="81"/>
      <c r="B712" s="180"/>
      <c r="C712" s="181"/>
      <c r="D712" s="81"/>
      <c r="E712" s="81"/>
      <c r="F712" s="81"/>
      <c r="G712" s="81"/>
      <c r="H712" s="81"/>
      <c r="I712" s="81"/>
      <c r="J712" s="81"/>
      <c r="K712" s="81"/>
      <c r="L712" s="81"/>
      <c r="M712" s="81"/>
      <c r="N712" s="81"/>
      <c r="O712" s="81"/>
      <c r="P712" s="81"/>
      <c r="Q712" s="81"/>
      <c r="R712" s="81"/>
      <c r="S712" s="81"/>
      <c r="T712" s="81"/>
      <c r="U712" s="81"/>
      <c r="V712" s="81"/>
      <c r="W712" s="81"/>
      <c r="X712" s="81"/>
      <c r="Y712" s="81"/>
      <c r="Z712" s="81"/>
      <c r="AA712" s="80"/>
      <c r="AB712" s="80"/>
      <c r="AC712" s="81"/>
      <c r="AD712" s="81"/>
      <c r="AE712" s="81"/>
      <c r="AF712" s="81"/>
    </row>
    <row r="713" ht="15.75" customHeight="1">
      <c r="A713" s="81"/>
      <c r="B713" s="180"/>
      <c r="C713" s="181"/>
      <c r="D713" s="81"/>
      <c r="E713" s="81"/>
      <c r="F713" s="81"/>
      <c r="G713" s="81"/>
      <c r="H713" s="81"/>
      <c r="I713" s="81"/>
      <c r="J713" s="81"/>
      <c r="K713" s="81"/>
      <c r="L713" s="81"/>
      <c r="M713" s="81"/>
      <c r="N713" s="81"/>
      <c r="O713" s="81"/>
      <c r="P713" s="81"/>
      <c r="Q713" s="81"/>
      <c r="R713" s="81"/>
      <c r="S713" s="81"/>
      <c r="T713" s="81"/>
      <c r="U713" s="81"/>
      <c r="V713" s="81"/>
      <c r="W713" s="81"/>
      <c r="X713" s="81"/>
      <c r="Y713" s="81"/>
      <c r="Z713" s="81"/>
      <c r="AA713" s="80"/>
      <c r="AB713" s="80"/>
      <c r="AC713" s="81"/>
      <c r="AD713" s="81"/>
      <c r="AE713" s="81"/>
      <c r="AF713" s="81"/>
    </row>
    <row r="714" ht="15.75" customHeight="1">
      <c r="A714" s="81"/>
      <c r="B714" s="180"/>
      <c r="C714" s="181"/>
      <c r="D714" s="81"/>
      <c r="E714" s="81"/>
      <c r="F714" s="81"/>
      <c r="G714" s="81"/>
      <c r="H714" s="81"/>
      <c r="I714" s="81"/>
      <c r="J714" s="81"/>
      <c r="K714" s="81"/>
      <c r="L714" s="81"/>
      <c r="M714" s="81"/>
      <c r="N714" s="81"/>
      <c r="O714" s="81"/>
      <c r="P714" s="81"/>
      <c r="Q714" s="81"/>
      <c r="R714" s="81"/>
      <c r="S714" s="81"/>
      <c r="T714" s="81"/>
      <c r="U714" s="81"/>
      <c r="V714" s="81"/>
      <c r="W714" s="81"/>
      <c r="X714" s="81"/>
      <c r="Y714" s="81"/>
      <c r="Z714" s="81"/>
      <c r="AA714" s="80"/>
      <c r="AB714" s="80"/>
      <c r="AC714" s="81"/>
      <c r="AD714" s="81"/>
      <c r="AE714" s="81"/>
      <c r="AF714" s="81"/>
    </row>
    <row r="715" ht="15.75" customHeight="1">
      <c r="A715" s="81"/>
      <c r="B715" s="180"/>
      <c r="C715" s="181"/>
      <c r="D715" s="81"/>
      <c r="E715" s="81"/>
      <c r="F715" s="81"/>
      <c r="G715" s="81"/>
      <c r="H715" s="81"/>
      <c r="I715" s="81"/>
      <c r="J715" s="81"/>
      <c r="K715" s="81"/>
      <c r="L715" s="81"/>
      <c r="M715" s="81"/>
      <c r="N715" s="81"/>
      <c r="O715" s="81"/>
      <c r="P715" s="81"/>
      <c r="Q715" s="81"/>
      <c r="R715" s="81"/>
      <c r="S715" s="81"/>
      <c r="T715" s="81"/>
      <c r="U715" s="81"/>
      <c r="V715" s="81"/>
      <c r="W715" s="81"/>
      <c r="X715" s="81"/>
      <c r="Y715" s="81"/>
      <c r="Z715" s="81"/>
      <c r="AA715" s="80"/>
      <c r="AB715" s="80"/>
      <c r="AC715" s="81"/>
      <c r="AD715" s="81"/>
      <c r="AE715" s="81"/>
      <c r="AF715" s="81"/>
    </row>
    <row r="716" ht="15.75" customHeight="1">
      <c r="A716" s="81"/>
      <c r="B716" s="180"/>
      <c r="C716" s="1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0"/>
      <c r="AB716" s="80"/>
      <c r="AC716" s="81"/>
      <c r="AD716" s="81"/>
      <c r="AE716" s="81"/>
      <c r="AF716" s="81"/>
    </row>
    <row r="717" ht="15.75" customHeight="1">
      <c r="A717" s="81"/>
      <c r="B717" s="180"/>
      <c r="C717" s="1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0"/>
      <c r="AB717" s="80"/>
      <c r="AC717" s="81"/>
      <c r="AD717" s="81"/>
      <c r="AE717" s="81"/>
      <c r="AF717" s="81"/>
    </row>
    <row r="718" ht="15.75" customHeight="1">
      <c r="A718" s="81"/>
      <c r="B718" s="180"/>
      <c r="C718" s="1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0"/>
      <c r="AB718" s="80"/>
      <c r="AC718" s="81"/>
      <c r="AD718" s="81"/>
      <c r="AE718" s="81"/>
      <c r="AF718" s="81"/>
    </row>
    <row r="719" ht="15.75" customHeight="1">
      <c r="A719" s="81"/>
      <c r="B719" s="180"/>
      <c r="C719" s="1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0"/>
      <c r="AB719" s="80"/>
      <c r="AC719" s="81"/>
      <c r="AD719" s="81"/>
      <c r="AE719" s="81"/>
      <c r="AF719" s="81"/>
    </row>
    <row r="720" ht="15.75" customHeight="1">
      <c r="A720" s="81"/>
      <c r="B720" s="180"/>
      <c r="C720" s="1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0"/>
      <c r="AB720" s="80"/>
      <c r="AC720" s="81"/>
      <c r="AD720" s="81"/>
      <c r="AE720" s="81"/>
      <c r="AF720" s="81"/>
    </row>
    <row r="721" ht="15.75" customHeight="1">
      <c r="A721" s="81"/>
      <c r="B721" s="180"/>
      <c r="C721" s="1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0"/>
      <c r="AB721" s="80"/>
      <c r="AC721" s="81"/>
      <c r="AD721" s="81"/>
      <c r="AE721" s="81"/>
      <c r="AF721" s="81"/>
    </row>
    <row r="722" ht="15.75" customHeight="1">
      <c r="A722" s="81"/>
      <c r="B722" s="180"/>
      <c r="C722" s="1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0"/>
      <c r="AB722" s="80"/>
      <c r="AC722" s="81"/>
      <c r="AD722" s="81"/>
      <c r="AE722" s="81"/>
      <c r="AF722" s="81"/>
    </row>
    <row r="723" ht="15.75" customHeight="1">
      <c r="A723" s="81"/>
      <c r="B723" s="180"/>
      <c r="C723" s="1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0"/>
      <c r="AB723" s="80"/>
      <c r="AC723" s="81"/>
      <c r="AD723" s="81"/>
      <c r="AE723" s="81"/>
      <c r="AF723" s="81"/>
    </row>
    <row r="724" ht="15.75" customHeight="1">
      <c r="A724" s="81"/>
      <c r="B724" s="180"/>
      <c r="C724" s="1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0"/>
      <c r="AB724" s="80"/>
      <c r="AC724" s="81"/>
      <c r="AD724" s="81"/>
      <c r="AE724" s="81"/>
      <c r="AF724" s="81"/>
    </row>
    <row r="725" ht="15.75" customHeight="1">
      <c r="A725" s="81"/>
      <c r="B725" s="180"/>
      <c r="C725" s="1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0"/>
      <c r="AB725" s="80"/>
      <c r="AC725" s="81"/>
      <c r="AD725" s="81"/>
      <c r="AE725" s="81"/>
      <c r="AF725" s="81"/>
    </row>
    <row r="726" ht="15.75" customHeight="1">
      <c r="A726" s="81"/>
      <c r="B726" s="180"/>
      <c r="C726" s="1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0"/>
      <c r="AB726" s="80"/>
      <c r="AC726" s="81"/>
      <c r="AD726" s="81"/>
      <c r="AE726" s="81"/>
      <c r="AF726" s="81"/>
    </row>
    <row r="727" ht="15.75" customHeight="1">
      <c r="A727" s="81"/>
      <c r="B727" s="180"/>
      <c r="C727" s="1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0"/>
      <c r="AB727" s="80"/>
      <c r="AC727" s="81"/>
      <c r="AD727" s="81"/>
      <c r="AE727" s="81"/>
      <c r="AF727" s="81"/>
    </row>
    <row r="728" ht="15.75" customHeight="1">
      <c r="A728" s="81"/>
      <c r="B728" s="180"/>
      <c r="C728" s="1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0"/>
      <c r="AB728" s="80"/>
      <c r="AC728" s="81"/>
      <c r="AD728" s="81"/>
      <c r="AE728" s="81"/>
      <c r="AF728" s="81"/>
    </row>
    <row r="729" ht="15.75" customHeight="1">
      <c r="A729" s="81"/>
      <c r="B729" s="180"/>
      <c r="C729" s="1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0"/>
      <c r="AB729" s="80"/>
      <c r="AC729" s="81"/>
      <c r="AD729" s="81"/>
      <c r="AE729" s="81"/>
      <c r="AF729" s="81"/>
    </row>
    <row r="730" ht="15.75" customHeight="1">
      <c r="A730" s="81"/>
      <c r="B730" s="180"/>
      <c r="C730" s="1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0"/>
      <c r="AB730" s="80"/>
      <c r="AC730" s="81"/>
      <c r="AD730" s="81"/>
      <c r="AE730" s="81"/>
      <c r="AF730" s="81"/>
    </row>
    <row r="731" ht="15.75" customHeight="1">
      <c r="A731" s="81"/>
      <c r="B731" s="180"/>
      <c r="C731" s="1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0"/>
      <c r="AB731" s="80"/>
      <c r="AC731" s="81"/>
      <c r="AD731" s="81"/>
      <c r="AE731" s="81"/>
      <c r="AF731" s="81"/>
    </row>
    <row r="732" ht="15.75" customHeight="1">
      <c r="A732" s="81"/>
      <c r="B732" s="180"/>
      <c r="C732" s="1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0"/>
      <c r="AB732" s="80"/>
      <c r="AC732" s="81"/>
      <c r="AD732" s="81"/>
      <c r="AE732" s="81"/>
      <c r="AF732" s="81"/>
    </row>
    <row r="733" ht="15.75" customHeight="1">
      <c r="A733" s="81"/>
      <c r="B733" s="180"/>
      <c r="C733" s="1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0"/>
      <c r="AB733" s="80"/>
      <c r="AC733" s="81"/>
      <c r="AD733" s="81"/>
      <c r="AE733" s="81"/>
      <c r="AF733" s="81"/>
    </row>
    <row r="734" ht="15.75" customHeight="1">
      <c r="A734" s="81"/>
      <c r="B734" s="180"/>
      <c r="C734" s="1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0"/>
      <c r="AB734" s="80"/>
      <c r="AC734" s="81"/>
      <c r="AD734" s="81"/>
      <c r="AE734" s="81"/>
      <c r="AF734" s="81"/>
    </row>
    <row r="735" ht="15.75" customHeight="1">
      <c r="A735" s="81"/>
      <c r="B735" s="180"/>
      <c r="C735" s="1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0"/>
      <c r="AB735" s="80"/>
      <c r="AC735" s="81"/>
      <c r="AD735" s="81"/>
      <c r="AE735" s="81"/>
      <c r="AF735" s="81"/>
    </row>
    <row r="736" ht="15.75" customHeight="1">
      <c r="A736" s="81"/>
      <c r="B736" s="180"/>
      <c r="C736" s="1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0"/>
      <c r="AB736" s="80"/>
      <c r="AC736" s="81"/>
      <c r="AD736" s="81"/>
      <c r="AE736" s="81"/>
      <c r="AF736" s="81"/>
    </row>
    <row r="737" ht="15.75" customHeight="1">
      <c r="A737" s="81"/>
      <c r="B737" s="180"/>
      <c r="C737" s="1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0"/>
      <c r="AB737" s="80"/>
      <c r="AC737" s="81"/>
      <c r="AD737" s="81"/>
      <c r="AE737" s="81"/>
      <c r="AF737" s="81"/>
    </row>
    <row r="738" ht="15.75" customHeight="1">
      <c r="A738" s="81"/>
      <c r="B738" s="180"/>
      <c r="C738" s="1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0"/>
      <c r="AB738" s="80"/>
      <c r="AC738" s="81"/>
      <c r="AD738" s="81"/>
      <c r="AE738" s="81"/>
      <c r="AF738" s="81"/>
    </row>
    <row r="739" ht="15.75" customHeight="1">
      <c r="A739" s="81"/>
      <c r="B739" s="180"/>
      <c r="C739" s="181"/>
      <c r="D739" s="81"/>
      <c r="E739" s="81"/>
      <c r="F739" s="81"/>
      <c r="G739" s="81"/>
      <c r="H739" s="81"/>
      <c r="I739" s="81"/>
      <c r="J739" s="81"/>
      <c r="K739" s="81"/>
      <c r="L739" s="81"/>
      <c r="M739" s="81"/>
      <c r="N739" s="81"/>
      <c r="O739" s="81"/>
      <c r="P739" s="81"/>
      <c r="Q739" s="81"/>
      <c r="R739" s="81"/>
      <c r="S739" s="81"/>
      <c r="T739" s="81"/>
      <c r="U739" s="81"/>
      <c r="V739" s="81"/>
      <c r="W739" s="81"/>
      <c r="X739" s="81"/>
      <c r="Y739" s="81"/>
      <c r="Z739" s="81"/>
      <c r="AA739" s="80"/>
      <c r="AB739" s="80"/>
      <c r="AC739" s="81"/>
      <c r="AD739" s="81"/>
      <c r="AE739" s="81"/>
      <c r="AF739" s="81"/>
    </row>
    <row r="740" ht="15.75" customHeight="1">
      <c r="A740" s="81"/>
      <c r="B740" s="180"/>
      <c r="C740" s="181"/>
      <c r="D740" s="81"/>
      <c r="E740" s="81"/>
      <c r="F740" s="81"/>
      <c r="G740" s="81"/>
      <c r="H740" s="81"/>
      <c r="I740" s="81"/>
      <c r="J740" s="81"/>
      <c r="K740" s="81"/>
      <c r="L740" s="81"/>
      <c r="M740" s="81"/>
      <c r="N740" s="81"/>
      <c r="O740" s="81"/>
      <c r="P740" s="81"/>
      <c r="Q740" s="81"/>
      <c r="R740" s="81"/>
      <c r="S740" s="81"/>
      <c r="T740" s="81"/>
      <c r="U740" s="81"/>
      <c r="V740" s="81"/>
      <c r="W740" s="81"/>
      <c r="X740" s="81"/>
      <c r="Y740" s="81"/>
      <c r="Z740" s="81"/>
      <c r="AA740" s="80"/>
      <c r="AB740" s="80"/>
      <c r="AC740" s="81"/>
      <c r="AD740" s="81"/>
      <c r="AE740" s="81"/>
      <c r="AF740" s="81"/>
    </row>
    <row r="741" ht="15.75" customHeight="1">
      <c r="A741" s="81"/>
      <c r="B741" s="180"/>
      <c r="C741" s="181"/>
      <c r="D741" s="81"/>
      <c r="E741" s="81"/>
      <c r="F741" s="81"/>
      <c r="G741" s="81"/>
      <c r="H741" s="81"/>
      <c r="I741" s="81"/>
      <c r="J741" s="81"/>
      <c r="K741" s="81"/>
      <c r="L741" s="81"/>
      <c r="M741" s="81"/>
      <c r="N741" s="81"/>
      <c r="O741" s="81"/>
      <c r="P741" s="81"/>
      <c r="Q741" s="81"/>
      <c r="R741" s="81"/>
      <c r="S741" s="81"/>
      <c r="T741" s="81"/>
      <c r="U741" s="81"/>
      <c r="V741" s="81"/>
      <c r="W741" s="81"/>
      <c r="X741" s="81"/>
      <c r="Y741" s="81"/>
      <c r="Z741" s="81"/>
      <c r="AA741" s="80"/>
      <c r="AB741" s="80"/>
      <c r="AC741" s="81"/>
      <c r="AD741" s="81"/>
      <c r="AE741" s="81"/>
      <c r="AF741" s="81"/>
    </row>
    <row r="742" ht="15.75" customHeight="1">
      <c r="A742" s="81"/>
      <c r="B742" s="180"/>
      <c r="C742" s="181"/>
      <c r="D742" s="81"/>
      <c r="E742" s="81"/>
      <c r="F742" s="81"/>
      <c r="G742" s="81"/>
      <c r="H742" s="81"/>
      <c r="I742" s="81"/>
      <c r="J742" s="81"/>
      <c r="K742" s="81"/>
      <c r="L742" s="81"/>
      <c r="M742" s="81"/>
      <c r="N742" s="81"/>
      <c r="O742" s="81"/>
      <c r="P742" s="81"/>
      <c r="Q742" s="81"/>
      <c r="R742" s="81"/>
      <c r="S742" s="81"/>
      <c r="T742" s="81"/>
      <c r="U742" s="81"/>
      <c r="V742" s="81"/>
      <c r="W742" s="81"/>
      <c r="X742" s="81"/>
      <c r="Y742" s="81"/>
      <c r="Z742" s="81"/>
      <c r="AA742" s="80"/>
      <c r="AB742" s="80"/>
      <c r="AC742" s="81"/>
      <c r="AD742" s="81"/>
      <c r="AE742" s="81"/>
      <c r="AF742" s="81"/>
    </row>
    <row r="743" ht="15.75" customHeight="1">
      <c r="A743" s="81"/>
      <c r="B743" s="180"/>
      <c r="C743" s="181"/>
      <c r="D743" s="81"/>
      <c r="E743" s="81"/>
      <c r="F743" s="81"/>
      <c r="G743" s="81"/>
      <c r="H743" s="81"/>
      <c r="I743" s="81"/>
      <c r="J743" s="81"/>
      <c r="K743" s="81"/>
      <c r="L743" s="81"/>
      <c r="M743" s="81"/>
      <c r="N743" s="81"/>
      <c r="O743" s="81"/>
      <c r="P743" s="81"/>
      <c r="Q743" s="81"/>
      <c r="R743" s="81"/>
      <c r="S743" s="81"/>
      <c r="T743" s="81"/>
      <c r="U743" s="81"/>
      <c r="V743" s="81"/>
      <c r="W743" s="81"/>
      <c r="X743" s="81"/>
      <c r="Y743" s="81"/>
      <c r="Z743" s="81"/>
      <c r="AA743" s="80"/>
      <c r="AB743" s="80"/>
      <c r="AC743" s="81"/>
      <c r="AD743" s="81"/>
      <c r="AE743" s="81"/>
      <c r="AF743" s="81"/>
    </row>
    <row r="744" ht="15.75" customHeight="1">
      <c r="A744" s="81"/>
      <c r="B744" s="180"/>
      <c r="C744" s="181"/>
      <c r="D744" s="81"/>
      <c r="E744" s="81"/>
      <c r="F744" s="81"/>
      <c r="G744" s="81"/>
      <c r="H744" s="81"/>
      <c r="I744" s="81"/>
      <c r="J744" s="81"/>
      <c r="K744" s="81"/>
      <c r="L744" s="81"/>
      <c r="M744" s="81"/>
      <c r="N744" s="81"/>
      <c r="O744" s="81"/>
      <c r="P744" s="81"/>
      <c r="Q744" s="81"/>
      <c r="R744" s="81"/>
      <c r="S744" s="81"/>
      <c r="T744" s="81"/>
      <c r="U744" s="81"/>
      <c r="V744" s="81"/>
      <c r="W744" s="81"/>
      <c r="X744" s="81"/>
      <c r="Y744" s="81"/>
      <c r="Z744" s="81"/>
      <c r="AA744" s="80"/>
      <c r="AB744" s="80"/>
      <c r="AC744" s="81"/>
      <c r="AD744" s="81"/>
      <c r="AE744" s="81"/>
      <c r="AF744" s="81"/>
    </row>
    <row r="745" ht="15.75" customHeight="1">
      <c r="A745" s="81"/>
      <c r="B745" s="180"/>
      <c r="C745" s="181"/>
      <c r="D745" s="81"/>
      <c r="E745" s="81"/>
      <c r="F745" s="81"/>
      <c r="G745" s="81"/>
      <c r="H745" s="81"/>
      <c r="I745" s="81"/>
      <c r="J745" s="81"/>
      <c r="K745" s="81"/>
      <c r="L745" s="81"/>
      <c r="M745" s="81"/>
      <c r="N745" s="81"/>
      <c r="O745" s="81"/>
      <c r="P745" s="81"/>
      <c r="Q745" s="81"/>
      <c r="R745" s="81"/>
      <c r="S745" s="81"/>
      <c r="T745" s="81"/>
      <c r="U745" s="81"/>
      <c r="V745" s="81"/>
      <c r="W745" s="81"/>
      <c r="X745" s="81"/>
      <c r="Y745" s="81"/>
      <c r="Z745" s="81"/>
      <c r="AA745" s="80"/>
      <c r="AB745" s="80"/>
      <c r="AC745" s="81"/>
      <c r="AD745" s="81"/>
      <c r="AE745" s="81"/>
      <c r="AF745" s="81"/>
    </row>
    <row r="746" ht="15.75" customHeight="1">
      <c r="A746" s="81"/>
      <c r="B746" s="180"/>
      <c r="C746" s="181"/>
      <c r="D746" s="81"/>
      <c r="E746" s="81"/>
      <c r="F746" s="81"/>
      <c r="G746" s="81"/>
      <c r="H746" s="81"/>
      <c r="I746" s="81"/>
      <c r="J746" s="81"/>
      <c r="K746" s="81"/>
      <c r="L746" s="81"/>
      <c r="M746" s="81"/>
      <c r="N746" s="81"/>
      <c r="O746" s="81"/>
      <c r="P746" s="81"/>
      <c r="Q746" s="81"/>
      <c r="R746" s="81"/>
      <c r="S746" s="81"/>
      <c r="T746" s="81"/>
      <c r="U746" s="81"/>
      <c r="V746" s="81"/>
      <c r="W746" s="81"/>
      <c r="X746" s="81"/>
      <c r="Y746" s="81"/>
      <c r="Z746" s="81"/>
      <c r="AA746" s="80"/>
      <c r="AB746" s="80"/>
      <c r="AC746" s="81"/>
      <c r="AD746" s="81"/>
      <c r="AE746" s="81"/>
      <c r="AF746" s="81"/>
    </row>
    <row r="747" ht="15.75" customHeight="1">
      <c r="A747" s="81"/>
      <c r="B747" s="180"/>
      <c r="C747" s="181"/>
      <c r="D747" s="81"/>
      <c r="E747" s="81"/>
      <c r="F747" s="81"/>
      <c r="G747" s="81"/>
      <c r="H747" s="81"/>
      <c r="I747" s="81"/>
      <c r="J747" s="81"/>
      <c r="K747" s="81"/>
      <c r="L747" s="81"/>
      <c r="M747" s="81"/>
      <c r="N747" s="81"/>
      <c r="O747" s="81"/>
      <c r="P747" s="81"/>
      <c r="Q747" s="81"/>
      <c r="R747" s="81"/>
      <c r="S747" s="81"/>
      <c r="T747" s="81"/>
      <c r="U747" s="81"/>
      <c r="V747" s="81"/>
      <c r="W747" s="81"/>
      <c r="X747" s="81"/>
      <c r="Y747" s="81"/>
      <c r="Z747" s="81"/>
      <c r="AA747" s="80"/>
      <c r="AB747" s="80"/>
      <c r="AC747" s="81"/>
      <c r="AD747" s="81"/>
      <c r="AE747" s="81"/>
      <c r="AF747" s="81"/>
    </row>
    <row r="748" ht="15.75" customHeight="1">
      <c r="A748" s="81"/>
      <c r="B748" s="180"/>
      <c r="C748" s="181"/>
      <c r="D748" s="81"/>
      <c r="E748" s="81"/>
      <c r="F748" s="81"/>
      <c r="G748" s="81"/>
      <c r="H748" s="81"/>
      <c r="I748" s="81"/>
      <c r="J748" s="81"/>
      <c r="K748" s="81"/>
      <c r="L748" s="81"/>
      <c r="M748" s="81"/>
      <c r="N748" s="81"/>
      <c r="O748" s="81"/>
      <c r="P748" s="81"/>
      <c r="Q748" s="81"/>
      <c r="R748" s="81"/>
      <c r="S748" s="81"/>
      <c r="T748" s="81"/>
      <c r="U748" s="81"/>
      <c r="V748" s="81"/>
      <c r="W748" s="81"/>
      <c r="X748" s="81"/>
      <c r="Y748" s="81"/>
      <c r="Z748" s="81"/>
      <c r="AA748" s="80"/>
      <c r="AB748" s="80"/>
      <c r="AC748" s="81"/>
      <c r="AD748" s="81"/>
      <c r="AE748" s="81"/>
      <c r="AF748" s="81"/>
    </row>
    <row r="749" ht="15.75" customHeight="1">
      <c r="A749" s="81"/>
      <c r="B749" s="180"/>
      <c r="C749" s="181"/>
      <c r="D749" s="81"/>
      <c r="E749" s="81"/>
      <c r="F749" s="81"/>
      <c r="G749" s="81"/>
      <c r="H749" s="81"/>
      <c r="I749" s="81"/>
      <c r="J749" s="81"/>
      <c r="K749" s="81"/>
      <c r="L749" s="81"/>
      <c r="M749" s="81"/>
      <c r="N749" s="81"/>
      <c r="O749" s="81"/>
      <c r="P749" s="81"/>
      <c r="Q749" s="81"/>
      <c r="R749" s="81"/>
      <c r="S749" s="81"/>
      <c r="T749" s="81"/>
      <c r="U749" s="81"/>
      <c r="V749" s="81"/>
      <c r="W749" s="81"/>
      <c r="X749" s="81"/>
      <c r="Y749" s="81"/>
      <c r="Z749" s="81"/>
      <c r="AA749" s="80"/>
      <c r="AB749" s="80"/>
      <c r="AC749" s="81"/>
      <c r="AD749" s="81"/>
      <c r="AE749" s="81"/>
      <c r="AF749" s="81"/>
    </row>
    <row r="750" ht="15.75" customHeight="1">
      <c r="A750" s="81"/>
      <c r="B750" s="180"/>
      <c r="C750" s="181"/>
      <c r="D750" s="81"/>
      <c r="E750" s="81"/>
      <c r="F750" s="81"/>
      <c r="G750" s="81"/>
      <c r="H750" s="81"/>
      <c r="I750" s="81"/>
      <c r="J750" s="81"/>
      <c r="K750" s="81"/>
      <c r="L750" s="81"/>
      <c r="M750" s="81"/>
      <c r="N750" s="81"/>
      <c r="O750" s="81"/>
      <c r="P750" s="81"/>
      <c r="Q750" s="81"/>
      <c r="R750" s="81"/>
      <c r="S750" s="81"/>
      <c r="T750" s="81"/>
      <c r="U750" s="81"/>
      <c r="V750" s="81"/>
      <c r="W750" s="81"/>
      <c r="X750" s="81"/>
      <c r="Y750" s="81"/>
      <c r="Z750" s="81"/>
      <c r="AA750" s="80"/>
      <c r="AB750" s="80"/>
      <c r="AC750" s="81"/>
      <c r="AD750" s="81"/>
      <c r="AE750" s="81"/>
      <c r="AF750" s="81"/>
    </row>
    <row r="751" ht="15.75" customHeight="1">
      <c r="A751" s="81"/>
      <c r="B751" s="180"/>
      <c r="C751" s="181"/>
      <c r="D751" s="81"/>
      <c r="E751" s="81"/>
      <c r="F751" s="81"/>
      <c r="G751" s="81"/>
      <c r="H751" s="81"/>
      <c r="I751" s="81"/>
      <c r="J751" s="81"/>
      <c r="K751" s="81"/>
      <c r="L751" s="81"/>
      <c r="M751" s="81"/>
      <c r="N751" s="81"/>
      <c r="O751" s="81"/>
      <c r="P751" s="81"/>
      <c r="Q751" s="81"/>
      <c r="R751" s="81"/>
      <c r="S751" s="81"/>
      <c r="T751" s="81"/>
      <c r="U751" s="81"/>
      <c r="V751" s="81"/>
      <c r="W751" s="81"/>
      <c r="X751" s="81"/>
      <c r="Y751" s="81"/>
      <c r="Z751" s="81"/>
      <c r="AA751" s="80"/>
      <c r="AB751" s="80"/>
      <c r="AC751" s="81"/>
      <c r="AD751" s="81"/>
      <c r="AE751" s="81"/>
      <c r="AF751" s="81"/>
    </row>
    <row r="752" ht="15.75" customHeight="1">
      <c r="A752" s="81"/>
      <c r="B752" s="180"/>
      <c r="C752" s="181"/>
      <c r="D752" s="81"/>
      <c r="E752" s="81"/>
      <c r="F752" s="81"/>
      <c r="G752" s="81"/>
      <c r="H752" s="81"/>
      <c r="I752" s="81"/>
      <c r="J752" s="81"/>
      <c r="K752" s="81"/>
      <c r="L752" s="81"/>
      <c r="M752" s="81"/>
      <c r="N752" s="81"/>
      <c r="O752" s="81"/>
      <c r="P752" s="81"/>
      <c r="Q752" s="81"/>
      <c r="R752" s="81"/>
      <c r="S752" s="81"/>
      <c r="T752" s="81"/>
      <c r="U752" s="81"/>
      <c r="V752" s="81"/>
      <c r="W752" s="81"/>
      <c r="X752" s="81"/>
      <c r="Y752" s="81"/>
      <c r="Z752" s="81"/>
      <c r="AA752" s="80"/>
      <c r="AB752" s="80"/>
      <c r="AC752" s="81"/>
      <c r="AD752" s="81"/>
      <c r="AE752" s="81"/>
      <c r="AF752" s="81"/>
    </row>
    <row r="753" ht="15.75" customHeight="1">
      <c r="A753" s="81"/>
      <c r="B753" s="180"/>
      <c r="C753" s="1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  <c r="R753" s="81"/>
      <c r="S753" s="81"/>
      <c r="T753" s="81"/>
      <c r="U753" s="81"/>
      <c r="V753" s="81"/>
      <c r="W753" s="81"/>
      <c r="X753" s="81"/>
      <c r="Y753" s="81"/>
      <c r="Z753" s="81"/>
      <c r="AA753" s="80"/>
      <c r="AB753" s="80"/>
      <c r="AC753" s="81"/>
      <c r="AD753" s="81"/>
      <c r="AE753" s="81"/>
      <c r="AF753" s="81"/>
    </row>
    <row r="754" ht="15.75" customHeight="1">
      <c r="A754" s="81"/>
      <c r="B754" s="180"/>
      <c r="C754" s="1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  <c r="R754" s="81"/>
      <c r="S754" s="81"/>
      <c r="T754" s="81"/>
      <c r="U754" s="81"/>
      <c r="V754" s="81"/>
      <c r="W754" s="81"/>
      <c r="X754" s="81"/>
      <c r="Y754" s="81"/>
      <c r="Z754" s="81"/>
      <c r="AA754" s="80"/>
      <c r="AB754" s="80"/>
      <c r="AC754" s="81"/>
      <c r="AD754" s="81"/>
      <c r="AE754" s="81"/>
      <c r="AF754" s="81"/>
    </row>
    <row r="755" ht="15.75" customHeight="1">
      <c r="A755" s="81"/>
      <c r="B755" s="180"/>
      <c r="C755" s="1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  <c r="R755" s="81"/>
      <c r="S755" s="81"/>
      <c r="T755" s="81"/>
      <c r="U755" s="81"/>
      <c r="V755" s="81"/>
      <c r="W755" s="81"/>
      <c r="X755" s="81"/>
      <c r="Y755" s="81"/>
      <c r="Z755" s="81"/>
      <c r="AA755" s="80"/>
      <c r="AB755" s="80"/>
      <c r="AC755" s="81"/>
      <c r="AD755" s="81"/>
      <c r="AE755" s="81"/>
      <c r="AF755" s="81"/>
    </row>
    <row r="756" ht="15.75" customHeight="1">
      <c r="A756" s="81"/>
      <c r="B756" s="180"/>
      <c r="C756" s="1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  <c r="R756" s="81"/>
      <c r="S756" s="81"/>
      <c r="T756" s="81"/>
      <c r="U756" s="81"/>
      <c r="V756" s="81"/>
      <c r="W756" s="81"/>
      <c r="X756" s="81"/>
      <c r="Y756" s="81"/>
      <c r="Z756" s="81"/>
      <c r="AA756" s="80"/>
      <c r="AB756" s="80"/>
      <c r="AC756" s="81"/>
      <c r="AD756" s="81"/>
      <c r="AE756" s="81"/>
      <c r="AF756" s="81"/>
    </row>
    <row r="757" ht="15.75" customHeight="1">
      <c r="A757" s="81"/>
      <c r="B757" s="180"/>
      <c r="C757" s="1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  <c r="R757" s="81"/>
      <c r="S757" s="81"/>
      <c r="T757" s="81"/>
      <c r="U757" s="81"/>
      <c r="V757" s="81"/>
      <c r="W757" s="81"/>
      <c r="X757" s="81"/>
      <c r="Y757" s="81"/>
      <c r="Z757" s="81"/>
      <c r="AA757" s="80"/>
      <c r="AB757" s="80"/>
      <c r="AC757" s="81"/>
      <c r="AD757" s="81"/>
      <c r="AE757" s="81"/>
      <c r="AF757" s="81"/>
    </row>
    <row r="758" ht="15.75" customHeight="1">
      <c r="A758" s="81"/>
      <c r="B758" s="180"/>
      <c r="C758" s="1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  <c r="R758" s="81"/>
      <c r="S758" s="81"/>
      <c r="T758" s="81"/>
      <c r="U758" s="81"/>
      <c r="V758" s="81"/>
      <c r="W758" s="81"/>
      <c r="X758" s="81"/>
      <c r="Y758" s="81"/>
      <c r="Z758" s="81"/>
      <c r="AA758" s="80"/>
      <c r="AB758" s="80"/>
      <c r="AC758" s="81"/>
      <c r="AD758" s="81"/>
      <c r="AE758" s="81"/>
      <c r="AF758" s="81"/>
    </row>
    <row r="759" ht="15.75" customHeight="1">
      <c r="A759" s="81"/>
      <c r="B759" s="180"/>
      <c r="C759" s="1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  <c r="R759" s="81"/>
      <c r="S759" s="81"/>
      <c r="T759" s="81"/>
      <c r="U759" s="81"/>
      <c r="V759" s="81"/>
      <c r="W759" s="81"/>
      <c r="X759" s="81"/>
      <c r="Y759" s="81"/>
      <c r="Z759" s="81"/>
      <c r="AA759" s="80"/>
      <c r="AB759" s="80"/>
      <c r="AC759" s="81"/>
      <c r="AD759" s="81"/>
      <c r="AE759" s="81"/>
      <c r="AF759" s="81"/>
    </row>
    <row r="760" ht="15.75" customHeight="1">
      <c r="A760" s="81"/>
      <c r="B760" s="180"/>
      <c r="C760" s="1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  <c r="R760" s="81"/>
      <c r="S760" s="81"/>
      <c r="T760" s="81"/>
      <c r="U760" s="81"/>
      <c r="V760" s="81"/>
      <c r="W760" s="81"/>
      <c r="X760" s="81"/>
      <c r="Y760" s="81"/>
      <c r="Z760" s="81"/>
      <c r="AA760" s="80"/>
      <c r="AB760" s="80"/>
      <c r="AC760" s="81"/>
      <c r="AD760" s="81"/>
      <c r="AE760" s="81"/>
      <c r="AF760" s="81"/>
    </row>
    <row r="761" ht="15.75" customHeight="1">
      <c r="A761" s="81"/>
      <c r="B761" s="180"/>
      <c r="C761" s="1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  <c r="R761" s="81"/>
      <c r="S761" s="81"/>
      <c r="T761" s="81"/>
      <c r="U761" s="81"/>
      <c r="V761" s="81"/>
      <c r="W761" s="81"/>
      <c r="X761" s="81"/>
      <c r="Y761" s="81"/>
      <c r="Z761" s="81"/>
      <c r="AA761" s="80"/>
      <c r="AB761" s="80"/>
      <c r="AC761" s="81"/>
      <c r="AD761" s="81"/>
      <c r="AE761" s="81"/>
      <c r="AF761" s="81"/>
    </row>
    <row r="762" ht="15.75" customHeight="1">
      <c r="A762" s="81"/>
      <c r="B762" s="180"/>
      <c r="C762" s="1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0"/>
      <c r="AB762" s="80"/>
      <c r="AC762" s="81"/>
      <c r="AD762" s="81"/>
      <c r="AE762" s="81"/>
      <c r="AF762" s="81"/>
    </row>
    <row r="763" ht="15.75" customHeight="1">
      <c r="A763" s="81"/>
      <c r="B763" s="180"/>
      <c r="C763" s="1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0"/>
      <c r="AB763" s="80"/>
      <c r="AC763" s="81"/>
      <c r="AD763" s="81"/>
      <c r="AE763" s="81"/>
      <c r="AF763" s="81"/>
    </row>
    <row r="764" ht="15.75" customHeight="1">
      <c r="A764" s="81"/>
      <c r="B764" s="180"/>
      <c r="C764" s="1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0"/>
      <c r="AB764" s="80"/>
      <c r="AC764" s="81"/>
      <c r="AD764" s="81"/>
      <c r="AE764" s="81"/>
      <c r="AF764" s="81"/>
    </row>
    <row r="765" ht="15.75" customHeight="1">
      <c r="A765" s="81"/>
      <c r="B765" s="180"/>
      <c r="C765" s="1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0"/>
      <c r="AB765" s="80"/>
      <c r="AC765" s="81"/>
      <c r="AD765" s="81"/>
      <c r="AE765" s="81"/>
      <c r="AF765" s="81"/>
    </row>
    <row r="766" ht="15.75" customHeight="1">
      <c r="A766" s="81"/>
      <c r="B766" s="180"/>
      <c r="C766" s="1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0"/>
      <c r="AB766" s="80"/>
      <c r="AC766" s="81"/>
      <c r="AD766" s="81"/>
      <c r="AE766" s="81"/>
      <c r="AF766" s="81"/>
    </row>
    <row r="767" ht="15.75" customHeight="1">
      <c r="A767" s="81"/>
      <c r="B767" s="180"/>
      <c r="C767" s="1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0"/>
      <c r="AB767" s="80"/>
      <c r="AC767" s="81"/>
      <c r="AD767" s="81"/>
      <c r="AE767" s="81"/>
      <c r="AF767" s="81"/>
    </row>
    <row r="768" ht="15.75" customHeight="1">
      <c r="A768" s="81"/>
      <c r="B768" s="180"/>
      <c r="C768" s="1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0"/>
      <c r="AB768" s="80"/>
      <c r="AC768" s="81"/>
      <c r="AD768" s="81"/>
      <c r="AE768" s="81"/>
      <c r="AF768" s="81"/>
    </row>
    <row r="769" ht="15.75" customHeight="1">
      <c r="A769" s="81"/>
      <c r="B769" s="180"/>
      <c r="C769" s="1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0"/>
      <c r="AB769" s="80"/>
      <c r="AC769" s="81"/>
      <c r="AD769" s="81"/>
      <c r="AE769" s="81"/>
      <c r="AF769" s="81"/>
    </row>
    <row r="770" ht="15.75" customHeight="1">
      <c r="A770" s="81"/>
      <c r="B770" s="180"/>
      <c r="C770" s="1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0"/>
      <c r="AB770" s="80"/>
      <c r="AC770" s="81"/>
      <c r="AD770" s="81"/>
      <c r="AE770" s="81"/>
      <c r="AF770" s="81"/>
    </row>
    <row r="771" ht="15.75" customHeight="1">
      <c r="A771" s="81"/>
      <c r="B771" s="180"/>
      <c r="C771" s="1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0"/>
      <c r="AB771" s="80"/>
      <c r="AC771" s="81"/>
      <c r="AD771" s="81"/>
      <c r="AE771" s="81"/>
      <c r="AF771" s="81"/>
    </row>
    <row r="772" ht="15.75" customHeight="1">
      <c r="A772" s="81"/>
      <c r="B772" s="180"/>
      <c r="C772" s="1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0"/>
      <c r="AB772" s="80"/>
      <c r="AC772" s="81"/>
      <c r="AD772" s="81"/>
      <c r="AE772" s="81"/>
      <c r="AF772" s="81"/>
    </row>
    <row r="773" ht="15.75" customHeight="1">
      <c r="A773" s="81"/>
      <c r="B773" s="180"/>
      <c r="C773" s="1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0"/>
      <c r="AB773" s="80"/>
      <c r="AC773" s="81"/>
      <c r="AD773" s="81"/>
      <c r="AE773" s="81"/>
      <c r="AF773" s="81"/>
    </row>
    <row r="774" ht="15.75" customHeight="1">
      <c r="A774" s="81"/>
      <c r="B774" s="180"/>
      <c r="C774" s="1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0"/>
      <c r="AB774" s="80"/>
      <c r="AC774" s="81"/>
      <c r="AD774" s="81"/>
      <c r="AE774" s="81"/>
      <c r="AF774" s="81"/>
    </row>
    <row r="775" ht="15.75" customHeight="1">
      <c r="A775" s="81"/>
      <c r="B775" s="180"/>
      <c r="C775" s="1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0"/>
      <c r="AB775" s="80"/>
      <c r="AC775" s="81"/>
      <c r="AD775" s="81"/>
      <c r="AE775" s="81"/>
      <c r="AF775" s="81"/>
    </row>
    <row r="776" ht="15.75" customHeight="1">
      <c r="A776" s="81"/>
      <c r="B776" s="180"/>
      <c r="C776" s="1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0"/>
      <c r="AB776" s="80"/>
      <c r="AC776" s="81"/>
      <c r="AD776" s="81"/>
      <c r="AE776" s="81"/>
      <c r="AF776" s="81"/>
    </row>
    <row r="777" ht="15.75" customHeight="1">
      <c r="A777" s="81"/>
      <c r="B777" s="180"/>
      <c r="C777" s="1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0"/>
      <c r="AB777" s="80"/>
      <c r="AC777" s="81"/>
      <c r="AD777" s="81"/>
      <c r="AE777" s="81"/>
      <c r="AF777" s="81"/>
    </row>
    <row r="778" ht="15.75" customHeight="1">
      <c r="A778" s="81"/>
      <c r="B778" s="180"/>
      <c r="C778" s="1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0"/>
      <c r="AB778" s="80"/>
      <c r="AC778" s="81"/>
      <c r="AD778" s="81"/>
      <c r="AE778" s="81"/>
      <c r="AF778" s="81"/>
    </row>
    <row r="779" ht="15.75" customHeight="1">
      <c r="A779" s="81"/>
      <c r="B779" s="180"/>
      <c r="C779" s="1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0"/>
      <c r="AB779" s="80"/>
      <c r="AC779" s="81"/>
      <c r="AD779" s="81"/>
      <c r="AE779" s="81"/>
      <c r="AF779" s="81"/>
    </row>
    <row r="780" ht="15.75" customHeight="1">
      <c r="A780" s="81"/>
      <c r="B780" s="180"/>
      <c r="C780" s="1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0"/>
      <c r="AB780" s="80"/>
      <c r="AC780" s="81"/>
      <c r="AD780" s="81"/>
      <c r="AE780" s="81"/>
      <c r="AF780" s="81"/>
    </row>
    <row r="781" ht="15.75" customHeight="1">
      <c r="A781" s="81"/>
      <c r="B781" s="180"/>
      <c r="C781" s="1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0"/>
      <c r="AB781" s="80"/>
      <c r="AC781" s="81"/>
      <c r="AD781" s="81"/>
      <c r="AE781" s="81"/>
      <c r="AF781" s="81"/>
    </row>
    <row r="782" ht="15.75" customHeight="1">
      <c r="A782" s="81"/>
      <c r="B782" s="180"/>
      <c r="C782" s="1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0"/>
      <c r="AB782" s="80"/>
      <c r="AC782" s="81"/>
      <c r="AD782" s="81"/>
      <c r="AE782" s="81"/>
      <c r="AF782" s="81"/>
    </row>
    <row r="783" ht="15.75" customHeight="1">
      <c r="A783" s="81"/>
      <c r="B783" s="180"/>
      <c r="C783" s="1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0"/>
      <c r="AB783" s="80"/>
      <c r="AC783" s="81"/>
      <c r="AD783" s="81"/>
      <c r="AE783" s="81"/>
      <c r="AF783" s="81"/>
    </row>
    <row r="784" ht="15.75" customHeight="1">
      <c r="A784" s="81"/>
      <c r="B784" s="180"/>
      <c r="C784" s="1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0"/>
      <c r="AB784" s="80"/>
      <c r="AC784" s="81"/>
      <c r="AD784" s="81"/>
      <c r="AE784" s="81"/>
      <c r="AF784" s="81"/>
    </row>
    <row r="785" ht="15.75" customHeight="1">
      <c r="A785" s="81"/>
      <c r="B785" s="180"/>
      <c r="C785" s="181"/>
      <c r="D785" s="81"/>
      <c r="E785" s="81"/>
      <c r="F785" s="81"/>
      <c r="G785" s="81"/>
      <c r="H785" s="81"/>
      <c r="I785" s="81"/>
      <c r="J785" s="81"/>
      <c r="K785" s="81"/>
      <c r="L785" s="81"/>
      <c r="M785" s="81"/>
      <c r="N785" s="81"/>
      <c r="O785" s="81"/>
      <c r="P785" s="81"/>
      <c r="Q785" s="81"/>
      <c r="R785" s="81"/>
      <c r="S785" s="81"/>
      <c r="T785" s="81"/>
      <c r="U785" s="81"/>
      <c r="V785" s="81"/>
      <c r="W785" s="81"/>
      <c r="X785" s="81"/>
      <c r="Y785" s="81"/>
      <c r="Z785" s="81"/>
      <c r="AA785" s="80"/>
      <c r="AB785" s="80"/>
      <c r="AC785" s="81"/>
      <c r="AD785" s="81"/>
      <c r="AE785" s="81"/>
      <c r="AF785" s="81"/>
    </row>
    <row r="786" ht="15.75" customHeight="1">
      <c r="A786" s="81"/>
      <c r="B786" s="180"/>
      <c r="C786" s="181"/>
      <c r="D786" s="81"/>
      <c r="E786" s="81"/>
      <c r="F786" s="81"/>
      <c r="G786" s="81"/>
      <c r="H786" s="81"/>
      <c r="I786" s="81"/>
      <c r="J786" s="81"/>
      <c r="K786" s="81"/>
      <c r="L786" s="81"/>
      <c r="M786" s="81"/>
      <c r="N786" s="81"/>
      <c r="O786" s="81"/>
      <c r="P786" s="81"/>
      <c r="Q786" s="81"/>
      <c r="R786" s="81"/>
      <c r="S786" s="81"/>
      <c r="T786" s="81"/>
      <c r="U786" s="81"/>
      <c r="V786" s="81"/>
      <c r="W786" s="81"/>
      <c r="X786" s="81"/>
      <c r="Y786" s="81"/>
      <c r="Z786" s="81"/>
      <c r="AA786" s="80"/>
      <c r="AB786" s="80"/>
      <c r="AC786" s="81"/>
      <c r="AD786" s="81"/>
      <c r="AE786" s="81"/>
      <c r="AF786" s="81"/>
    </row>
    <row r="787" ht="15.75" customHeight="1">
      <c r="A787" s="81"/>
      <c r="B787" s="180"/>
      <c r="C787" s="181"/>
      <c r="D787" s="81"/>
      <c r="E787" s="81"/>
      <c r="F787" s="81"/>
      <c r="G787" s="81"/>
      <c r="H787" s="81"/>
      <c r="I787" s="81"/>
      <c r="J787" s="81"/>
      <c r="K787" s="81"/>
      <c r="L787" s="81"/>
      <c r="M787" s="81"/>
      <c r="N787" s="81"/>
      <c r="O787" s="81"/>
      <c r="P787" s="81"/>
      <c r="Q787" s="81"/>
      <c r="R787" s="81"/>
      <c r="S787" s="81"/>
      <c r="T787" s="81"/>
      <c r="U787" s="81"/>
      <c r="V787" s="81"/>
      <c r="W787" s="81"/>
      <c r="X787" s="81"/>
      <c r="Y787" s="81"/>
      <c r="Z787" s="81"/>
      <c r="AA787" s="80"/>
      <c r="AB787" s="80"/>
      <c r="AC787" s="81"/>
      <c r="AD787" s="81"/>
      <c r="AE787" s="81"/>
      <c r="AF787" s="81"/>
    </row>
    <row r="788" ht="15.75" customHeight="1">
      <c r="A788" s="81"/>
      <c r="B788" s="180"/>
      <c r="C788" s="181"/>
      <c r="D788" s="81"/>
      <c r="E788" s="81"/>
      <c r="F788" s="81"/>
      <c r="G788" s="81"/>
      <c r="H788" s="81"/>
      <c r="I788" s="81"/>
      <c r="J788" s="81"/>
      <c r="K788" s="81"/>
      <c r="L788" s="81"/>
      <c r="M788" s="81"/>
      <c r="N788" s="81"/>
      <c r="O788" s="81"/>
      <c r="P788" s="81"/>
      <c r="Q788" s="81"/>
      <c r="R788" s="81"/>
      <c r="S788" s="81"/>
      <c r="T788" s="81"/>
      <c r="U788" s="81"/>
      <c r="V788" s="81"/>
      <c r="W788" s="81"/>
      <c r="X788" s="81"/>
      <c r="Y788" s="81"/>
      <c r="Z788" s="81"/>
      <c r="AA788" s="80"/>
      <c r="AB788" s="80"/>
      <c r="AC788" s="81"/>
      <c r="AD788" s="81"/>
      <c r="AE788" s="81"/>
      <c r="AF788" s="81"/>
    </row>
    <row r="789" ht="15.75" customHeight="1">
      <c r="A789" s="81"/>
      <c r="B789" s="180"/>
      <c r="C789" s="181"/>
      <c r="D789" s="81"/>
      <c r="E789" s="81"/>
      <c r="F789" s="81"/>
      <c r="G789" s="81"/>
      <c r="H789" s="81"/>
      <c r="I789" s="81"/>
      <c r="J789" s="81"/>
      <c r="K789" s="81"/>
      <c r="L789" s="81"/>
      <c r="M789" s="81"/>
      <c r="N789" s="81"/>
      <c r="O789" s="81"/>
      <c r="P789" s="81"/>
      <c r="Q789" s="81"/>
      <c r="R789" s="81"/>
      <c r="S789" s="81"/>
      <c r="T789" s="81"/>
      <c r="U789" s="81"/>
      <c r="V789" s="81"/>
      <c r="W789" s="81"/>
      <c r="X789" s="81"/>
      <c r="Y789" s="81"/>
      <c r="Z789" s="81"/>
      <c r="AA789" s="80"/>
      <c r="AB789" s="80"/>
      <c r="AC789" s="81"/>
      <c r="AD789" s="81"/>
      <c r="AE789" s="81"/>
      <c r="AF789" s="81"/>
    </row>
    <row r="790" ht="15.75" customHeight="1">
      <c r="A790" s="81"/>
      <c r="B790" s="180"/>
      <c r="C790" s="181"/>
      <c r="D790" s="81"/>
      <c r="E790" s="81"/>
      <c r="F790" s="81"/>
      <c r="G790" s="81"/>
      <c r="H790" s="81"/>
      <c r="I790" s="81"/>
      <c r="J790" s="81"/>
      <c r="K790" s="81"/>
      <c r="L790" s="81"/>
      <c r="M790" s="81"/>
      <c r="N790" s="81"/>
      <c r="O790" s="81"/>
      <c r="P790" s="81"/>
      <c r="Q790" s="81"/>
      <c r="R790" s="81"/>
      <c r="S790" s="81"/>
      <c r="T790" s="81"/>
      <c r="U790" s="81"/>
      <c r="V790" s="81"/>
      <c r="W790" s="81"/>
      <c r="X790" s="81"/>
      <c r="Y790" s="81"/>
      <c r="Z790" s="81"/>
      <c r="AA790" s="80"/>
      <c r="AB790" s="80"/>
      <c r="AC790" s="81"/>
      <c r="AD790" s="81"/>
      <c r="AE790" s="81"/>
      <c r="AF790" s="81"/>
    </row>
    <row r="791" ht="15.75" customHeight="1">
      <c r="A791" s="81"/>
      <c r="B791" s="180"/>
      <c r="C791" s="181"/>
      <c r="D791" s="81"/>
      <c r="E791" s="81"/>
      <c r="F791" s="81"/>
      <c r="G791" s="81"/>
      <c r="H791" s="81"/>
      <c r="I791" s="81"/>
      <c r="J791" s="81"/>
      <c r="K791" s="81"/>
      <c r="L791" s="81"/>
      <c r="M791" s="81"/>
      <c r="N791" s="81"/>
      <c r="O791" s="81"/>
      <c r="P791" s="81"/>
      <c r="Q791" s="81"/>
      <c r="R791" s="81"/>
      <c r="S791" s="81"/>
      <c r="T791" s="81"/>
      <c r="U791" s="81"/>
      <c r="V791" s="81"/>
      <c r="W791" s="81"/>
      <c r="X791" s="81"/>
      <c r="Y791" s="81"/>
      <c r="Z791" s="81"/>
      <c r="AA791" s="80"/>
      <c r="AB791" s="80"/>
      <c r="AC791" s="81"/>
      <c r="AD791" s="81"/>
      <c r="AE791" s="81"/>
      <c r="AF791" s="81"/>
    </row>
    <row r="792" ht="15.75" customHeight="1">
      <c r="A792" s="81"/>
      <c r="B792" s="180"/>
      <c r="C792" s="181"/>
      <c r="D792" s="81"/>
      <c r="E792" s="81"/>
      <c r="F792" s="81"/>
      <c r="G792" s="81"/>
      <c r="H792" s="81"/>
      <c r="I792" s="81"/>
      <c r="J792" s="81"/>
      <c r="K792" s="81"/>
      <c r="L792" s="81"/>
      <c r="M792" s="81"/>
      <c r="N792" s="81"/>
      <c r="O792" s="81"/>
      <c r="P792" s="81"/>
      <c r="Q792" s="81"/>
      <c r="R792" s="81"/>
      <c r="S792" s="81"/>
      <c r="T792" s="81"/>
      <c r="U792" s="81"/>
      <c r="V792" s="81"/>
      <c r="W792" s="81"/>
      <c r="X792" s="81"/>
      <c r="Y792" s="81"/>
      <c r="Z792" s="81"/>
      <c r="AA792" s="80"/>
      <c r="AB792" s="80"/>
      <c r="AC792" s="81"/>
      <c r="AD792" s="81"/>
      <c r="AE792" s="81"/>
      <c r="AF792" s="81"/>
    </row>
    <row r="793" ht="15.75" customHeight="1">
      <c r="A793" s="81"/>
      <c r="B793" s="180"/>
      <c r="C793" s="181"/>
      <c r="D793" s="81"/>
      <c r="E793" s="81"/>
      <c r="F793" s="81"/>
      <c r="G793" s="81"/>
      <c r="H793" s="81"/>
      <c r="I793" s="81"/>
      <c r="J793" s="81"/>
      <c r="K793" s="81"/>
      <c r="L793" s="81"/>
      <c r="M793" s="81"/>
      <c r="N793" s="81"/>
      <c r="O793" s="81"/>
      <c r="P793" s="81"/>
      <c r="Q793" s="81"/>
      <c r="R793" s="81"/>
      <c r="S793" s="81"/>
      <c r="T793" s="81"/>
      <c r="U793" s="81"/>
      <c r="V793" s="81"/>
      <c r="W793" s="81"/>
      <c r="X793" s="81"/>
      <c r="Y793" s="81"/>
      <c r="Z793" s="81"/>
      <c r="AA793" s="80"/>
      <c r="AB793" s="80"/>
      <c r="AC793" s="81"/>
      <c r="AD793" s="81"/>
      <c r="AE793" s="81"/>
      <c r="AF793" s="81"/>
    </row>
    <row r="794" ht="15.75" customHeight="1">
      <c r="A794" s="81"/>
      <c r="B794" s="180"/>
      <c r="C794" s="181"/>
      <c r="D794" s="81"/>
      <c r="E794" s="81"/>
      <c r="F794" s="81"/>
      <c r="G794" s="81"/>
      <c r="H794" s="81"/>
      <c r="I794" s="81"/>
      <c r="J794" s="81"/>
      <c r="K794" s="81"/>
      <c r="L794" s="81"/>
      <c r="M794" s="81"/>
      <c r="N794" s="81"/>
      <c r="O794" s="81"/>
      <c r="P794" s="81"/>
      <c r="Q794" s="81"/>
      <c r="R794" s="81"/>
      <c r="S794" s="81"/>
      <c r="T794" s="81"/>
      <c r="U794" s="81"/>
      <c r="V794" s="81"/>
      <c r="W794" s="81"/>
      <c r="X794" s="81"/>
      <c r="Y794" s="81"/>
      <c r="Z794" s="81"/>
      <c r="AA794" s="80"/>
      <c r="AB794" s="80"/>
      <c r="AC794" s="81"/>
      <c r="AD794" s="81"/>
      <c r="AE794" s="81"/>
      <c r="AF794" s="81"/>
    </row>
    <row r="795" ht="15.75" customHeight="1">
      <c r="A795" s="81"/>
      <c r="B795" s="180"/>
      <c r="C795" s="181"/>
      <c r="D795" s="81"/>
      <c r="E795" s="81"/>
      <c r="F795" s="81"/>
      <c r="G795" s="81"/>
      <c r="H795" s="81"/>
      <c r="I795" s="81"/>
      <c r="J795" s="81"/>
      <c r="K795" s="81"/>
      <c r="L795" s="81"/>
      <c r="M795" s="81"/>
      <c r="N795" s="81"/>
      <c r="O795" s="81"/>
      <c r="P795" s="81"/>
      <c r="Q795" s="81"/>
      <c r="R795" s="81"/>
      <c r="S795" s="81"/>
      <c r="T795" s="81"/>
      <c r="U795" s="81"/>
      <c r="V795" s="81"/>
      <c r="W795" s="81"/>
      <c r="X795" s="81"/>
      <c r="Y795" s="81"/>
      <c r="Z795" s="81"/>
      <c r="AA795" s="80"/>
      <c r="AB795" s="80"/>
      <c r="AC795" s="81"/>
      <c r="AD795" s="81"/>
      <c r="AE795" s="81"/>
      <c r="AF795" s="81"/>
    </row>
    <row r="796" ht="15.75" customHeight="1">
      <c r="A796" s="81"/>
      <c r="B796" s="180"/>
      <c r="C796" s="181"/>
      <c r="D796" s="81"/>
      <c r="E796" s="81"/>
      <c r="F796" s="81"/>
      <c r="G796" s="81"/>
      <c r="H796" s="81"/>
      <c r="I796" s="81"/>
      <c r="J796" s="81"/>
      <c r="K796" s="81"/>
      <c r="L796" s="81"/>
      <c r="M796" s="81"/>
      <c r="N796" s="81"/>
      <c r="O796" s="81"/>
      <c r="P796" s="81"/>
      <c r="Q796" s="81"/>
      <c r="R796" s="81"/>
      <c r="S796" s="81"/>
      <c r="T796" s="81"/>
      <c r="U796" s="81"/>
      <c r="V796" s="81"/>
      <c r="W796" s="81"/>
      <c r="X796" s="81"/>
      <c r="Y796" s="81"/>
      <c r="Z796" s="81"/>
      <c r="AA796" s="80"/>
      <c r="AB796" s="80"/>
      <c r="AC796" s="81"/>
      <c r="AD796" s="81"/>
      <c r="AE796" s="81"/>
      <c r="AF796" s="81"/>
    </row>
    <row r="797" ht="15.75" customHeight="1">
      <c r="A797" s="81"/>
      <c r="B797" s="180"/>
      <c r="C797" s="181"/>
      <c r="D797" s="81"/>
      <c r="E797" s="81"/>
      <c r="F797" s="81"/>
      <c r="G797" s="81"/>
      <c r="H797" s="81"/>
      <c r="I797" s="81"/>
      <c r="J797" s="81"/>
      <c r="K797" s="81"/>
      <c r="L797" s="81"/>
      <c r="M797" s="81"/>
      <c r="N797" s="81"/>
      <c r="O797" s="81"/>
      <c r="P797" s="81"/>
      <c r="Q797" s="81"/>
      <c r="R797" s="81"/>
      <c r="S797" s="81"/>
      <c r="T797" s="81"/>
      <c r="U797" s="81"/>
      <c r="V797" s="81"/>
      <c r="W797" s="81"/>
      <c r="X797" s="81"/>
      <c r="Y797" s="81"/>
      <c r="Z797" s="81"/>
      <c r="AA797" s="80"/>
      <c r="AB797" s="80"/>
      <c r="AC797" s="81"/>
      <c r="AD797" s="81"/>
      <c r="AE797" s="81"/>
      <c r="AF797" s="81"/>
    </row>
    <row r="798" ht="15.75" customHeight="1">
      <c r="A798" s="81"/>
      <c r="B798" s="180"/>
      <c r="C798" s="181"/>
      <c r="D798" s="81"/>
      <c r="E798" s="81"/>
      <c r="F798" s="81"/>
      <c r="G798" s="81"/>
      <c r="H798" s="81"/>
      <c r="I798" s="81"/>
      <c r="J798" s="81"/>
      <c r="K798" s="81"/>
      <c r="L798" s="81"/>
      <c r="M798" s="81"/>
      <c r="N798" s="81"/>
      <c r="O798" s="81"/>
      <c r="P798" s="81"/>
      <c r="Q798" s="81"/>
      <c r="R798" s="81"/>
      <c r="S798" s="81"/>
      <c r="T798" s="81"/>
      <c r="U798" s="81"/>
      <c r="V798" s="81"/>
      <c r="W798" s="81"/>
      <c r="X798" s="81"/>
      <c r="Y798" s="81"/>
      <c r="Z798" s="81"/>
      <c r="AA798" s="80"/>
      <c r="AB798" s="80"/>
      <c r="AC798" s="81"/>
      <c r="AD798" s="81"/>
      <c r="AE798" s="81"/>
      <c r="AF798" s="81"/>
    </row>
    <row r="799" ht="15.75" customHeight="1">
      <c r="A799" s="81"/>
      <c r="B799" s="180"/>
      <c r="C799" s="181"/>
      <c r="D799" s="81"/>
      <c r="E799" s="81"/>
      <c r="F799" s="81"/>
      <c r="G799" s="81"/>
      <c r="H799" s="81"/>
      <c r="I799" s="81"/>
      <c r="J799" s="81"/>
      <c r="K799" s="81"/>
      <c r="L799" s="81"/>
      <c r="M799" s="81"/>
      <c r="N799" s="81"/>
      <c r="O799" s="81"/>
      <c r="P799" s="81"/>
      <c r="Q799" s="81"/>
      <c r="R799" s="81"/>
      <c r="S799" s="81"/>
      <c r="T799" s="81"/>
      <c r="U799" s="81"/>
      <c r="V799" s="81"/>
      <c r="W799" s="81"/>
      <c r="X799" s="81"/>
      <c r="Y799" s="81"/>
      <c r="Z799" s="81"/>
      <c r="AA799" s="80"/>
      <c r="AB799" s="80"/>
      <c r="AC799" s="81"/>
      <c r="AD799" s="81"/>
      <c r="AE799" s="81"/>
      <c r="AF799" s="81"/>
    </row>
    <row r="800" ht="15.75" customHeight="1">
      <c r="A800" s="81"/>
      <c r="B800" s="180"/>
      <c r="C800" s="181"/>
      <c r="D800" s="81"/>
      <c r="E800" s="81"/>
      <c r="F800" s="81"/>
      <c r="G800" s="81"/>
      <c r="H800" s="81"/>
      <c r="I800" s="81"/>
      <c r="J800" s="81"/>
      <c r="K800" s="81"/>
      <c r="L800" s="81"/>
      <c r="M800" s="81"/>
      <c r="N800" s="81"/>
      <c r="O800" s="81"/>
      <c r="P800" s="81"/>
      <c r="Q800" s="81"/>
      <c r="R800" s="81"/>
      <c r="S800" s="81"/>
      <c r="T800" s="81"/>
      <c r="U800" s="81"/>
      <c r="V800" s="81"/>
      <c r="W800" s="81"/>
      <c r="X800" s="81"/>
      <c r="Y800" s="81"/>
      <c r="Z800" s="81"/>
      <c r="AA800" s="80"/>
      <c r="AB800" s="80"/>
      <c r="AC800" s="81"/>
      <c r="AD800" s="81"/>
      <c r="AE800" s="81"/>
      <c r="AF800" s="81"/>
    </row>
    <row r="801" ht="15.75" customHeight="1">
      <c r="A801" s="81"/>
      <c r="B801" s="180"/>
      <c r="C801" s="181"/>
      <c r="D801" s="81"/>
      <c r="E801" s="81"/>
      <c r="F801" s="81"/>
      <c r="G801" s="81"/>
      <c r="H801" s="81"/>
      <c r="I801" s="81"/>
      <c r="J801" s="81"/>
      <c r="K801" s="81"/>
      <c r="L801" s="81"/>
      <c r="M801" s="81"/>
      <c r="N801" s="81"/>
      <c r="O801" s="81"/>
      <c r="P801" s="81"/>
      <c r="Q801" s="81"/>
      <c r="R801" s="81"/>
      <c r="S801" s="81"/>
      <c r="T801" s="81"/>
      <c r="U801" s="81"/>
      <c r="V801" s="81"/>
      <c r="W801" s="81"/>
      <c r="X801" s="81"/>
      <c r="Y801" s="81"/>
      <c r="Z801" s="81"/>
      <c r="AA801" s="80"/>
      <c r="AB801" s="80"/>
      <c r="AC801" s="81"/>
      <c r="AD801" s="81"/>
      <c r="AE801" s="81"/>
      <c r="AF801" s="81"/>
    </row>
    <row r="802" ht="15.75" customHeight="1">
      <c r="A802" s="81"/>
      <c r="B802" s="180"/>
      <c r="C802" s="181"/>
      <c r="D802" s="81"/>
      <c r="E802" s="81"/>
      <c r="F802" s="81"/>
      <c r="G802" s="81"/>
      <c r="H802" s="81"/>
      <c r="I802" s="81"/>
      <c r="J802" s="81"/>
      <c r="K802" s="81"/>
      <c r="L802" s="81"/>
      <c r="M802" s="81"/>
      <c r="N802" s="81"/>
      <c r="O802" s="81"/>
      <c r="P802" s="81"/>
      <c r="Q802" s="81"/>
      <c r="R802" s="81"/>
      <c r="S802" s="81"/>
      <c r="T802" s="81"/>
      <c r="U802" s="81"/>
      <c r="V802" s="81"/>
      <c r="W802" s="81"/>
      <c r="X802" s="81"/>
      <c r="Y802" s="81"/>
      <c r="Z802" s="81"/>
      <c r="AA802" s="80"/>
      <c r="AB802" s="80"/>
      <c r="AC802" s="81"/>
      <c r="AD802" s="81"/>
      <c r="AE802" s="81"/>
      <c r="AF802" s="81"/>
    </row>
    <row r="803" ht="15.75" customHeight="1">
      <c r="A803" s="81"/>
      <c r="B803" s="180"/>
      <c r="C803" s="181"/>
      <c r="D803" s="81"/>
      <c r="E803" s="81"/>
      <c r="F803" s="81"/>
      <c r="G803" s="81"/>
      <c r="H803" s="81"/>
      <c r="I803" s="81"/>
      <c r="J803" s="81"/>
      <c r="K803" s="81"/>
      <c r="L803" s="81"/>
      <c r="M803" s="81"/>
      <c r="N803" s="81"/>
      <c r="O803" s="81"/>
      <c r="P803" s="81"/>
      <c r="Q803" s="81"/>
      <c r="R803" s="81"/>
      <c r="S803" s="81"/>
      <c r="T803" s="81"/>
      <c r="U803" s="81"/>
      <c r="V803" s="81"/>
      <c r="W803" s="81"/>
      <c r="X803" s="81"/>
      <c r="Y803" s="81"/>
      <c r="Z803" s="81"/>
      <c r="AA803" s="80"/>
      <c r="AB803" s="80"/>
      <c r="AC803" s="81"/>
      <c r="AD803" s="81"/>
      <c r="AE803" s="81"/>
      <c r="AF803" s="81"/>
    </row>
    <row r="804" ht="15.75" customHeight="1">
      <c r="A804" s="81"/>
      <c r="B804" s="180"/>
      <c r="C804" s="181"/>
      <c r="D804" s="81"/>
      <c r="E804" s="81"/>
      <c r="F804" s="81"/>
      <c r="G804" s="81"/>
      <c r="H804" s="81"/>
      <c r="I804" s="81"/>
      <c r="J804" s="81"/>
      <c r="K804" s="81"/>
      <c r="L804" s="81"/>
      <c r="M804" s="81"/>
      <c r="N804" s="81"/>
      <c r="O804" s="81"/>
      <c r="P804" s="81"/>
      <c r="Q804" s="81"/>
      <c r="R804" s="81"/>
      <c r="S804" s="81"/>
      <c r="T804" s="81"/>
      <c r="U804" s="81"/>
      <c r="V804" s="81"/>
      <c r="W804" s="81"/>
      <c r="X804" s="81"/>
      <c r="Y804" s="81"/>
      <c r="Z804" s="81"/>
      <c r="AA804" s="80"/>
      <c r="AB804" s="80"/>
      <c r="AC804" s="81"/>
      <c r="AD804" s="81"/>
      <c r="AE804" s="81"/>
      <c r="AF804" s="81"/>
    </row>
    <row r="805" ht="15.75" customHeight="1">
      <c r="A805" s="81"/>
      <c r="B805" s="180"/>
      <c r="C805" s="181"/>
      <c r="D805" s="81"/>
      <c r="E805" s="81"/>
      <c r="F805" s="81"/>
      <c r="G805" s="81"/>
      <c r="H805" s="81"/>
      <c r="I805" s="81"/>
      <c r="J805" s="81"/>
      <c r="K805" s="81"/>
      <c r="L805" s="81"/>
      <c r="M805" s="81"/>
      <c r="N805" s="81"/>
      <c r="O805" s="81"/>
      <c r="P805" s="81"/>
      <c r="Q805" s="81"/>
      <c r="R805" s="81"/>
      <c r="S805" s="81"/>
      <c r="T805" s="81"/>
      <c r="U805" s="81"/>
      <c r="V805" s="81"/>
      <c r="W805" s="81"/>
      <c r="X805" s="81"/>
      <c r="Y805" s="81"/>
      <c r="Z805" s="81"/>
      <c r="AA805" s="80"/>
      <c r="AB805" s="80"/>
      <c r="AC805" s="81"/>
      <c r="AD805" s="81"/>
      <c r="AE805" s="81"/>
      <c r="AF805" s="81"/>
    </row>
    <row r="806" ht="15.75" customHeight="1">
      <c r="A806" s="81"/>
      <c r="B806" s="180"/>
      <c r="C806" s="181"/>
      <c r="D806" s="81"/>
      <c r="E806" s="81"/>
      <c r="F806" s="81"/>
      <c r="G806" s="81"/>
      <c r="H806" s="81"/>
      <c r="I806" s="81"/>
      <c r="J806" s="81"/>
      <c r="K806" s="81"/>
      <c r="L806" s="81"/>
      <c r="M806" s="81"/>
      <c r="N806" s="81"/>
      <c r="O806" s="81"/>
      <c r="P806" s="81"/>
      <c r="Q806" s="81"/>
      <c r="R806" s="81"/>
      <c r="S806" s="81"/>
      <c r="T806" s="81"/>
      <c r="U806" s="81"/>
      <c r="V806" s="81"/>
      <c r="W806" s="81"/>
      <c r="X806" s="81"/>
      <c r="Y806" s="81"/>
      <c r="Z806" s="81"/>
      <c r="AA806" s="80"/>
      <c r="AB806" s="80"/>
      <c r="AC806" s="81"/>
      <c r="AD806" s="81"/>
      <c r="AE806" s="81"/>
      <c r="AF806" s="81"/>
    </row>
    <row r="807" ht="15.75" customHeight="1">
      <c r="A807" s="81"/>
      <c r="B807" s="180"/>
      <c r="C807" s="181"/>
      <c r="D807" s="81"/>
      <c r="E807" s="81"/>
      <c r="F807" s="81"/>
      <c r="G807" s="81"/>
      <c r="H807" s="81"/>
      <c r="I807" s="81"/>
      <c r="J807" s="81"/>
      <c r="K807" s="81"/>
      <c r="L807" s="81"/>
      <c r="M807" s="81"/>
      <c r="N807" s="81"/>
      <c r="O807" s="81"/>
      <c r="P807" s="81"/>
      <c r="Q807" s="81"/>
      <c r="R807" s="81"/>
      <c r="S807" s="81"/>
      <c r="T807" s="81"/>
      <c r="U807" s="81"/>
      <c r="V807" s="81"/>
      <c r="W807" s="81"/>
      <c r="X807" s="81"/>
      <c r="Y807" s="81"/>
      <c r="Z807" s="81"/>
      <c r="AA807" s="80"/>
      <c r="AB807" s="80"/>
      <c r="AC807" s="81"/>
      <c r="AD807" s="81"/>
      <c r="AE807" s="81"/>
      <c r="AF807" s="81"/>
    </row>
    <row r="808" ht="15.75" customHeight="1">
      <c r="A808" s="81"/>
      <c r="B808" s="180"/>
      <c r="C808" s="1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0"/>
      <c r="AB808" s="80"/>
      <c r="AC808" s="81"/>
      <c r="AD808" s="81"/>
      <c r="AE808" s="81"/>
      <c r="AF808" s="81"/>
    </row>
    <row r="809" ht="15.75" customHeight="1">
      <c r="A809" s="81"/>
      <c r="B809" s="180"/>
      <c r="C809" s="1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0"/>
      <c r="AB809" s="80"/>
      <c r="AC809" s="81"/>
      <c r="AD809" s="81"/>
      <c r="AE809" s="81"/>
      <c r="AF809" s="81"/>
    </row>
    <row r="810" ht="15.75" customHeight="1">
      <c r="A810" s="81"/>
      <c r="B810" s="180"/>
      <c r="C810" s="1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0"/>
      <c r="AB810" s="80"/>
      <c r="AC810" s="81"/>
      <c r="AD810" s="81"/>
      <c r="AE810" s="81"/>
      <c r="AF810" s="81"/>
    </row>
    <row r="811" ht="15.75" customHeight="1">
      <c r="A811" s="81"/>
      <c r="B811" s="180"/>
      <c r="C811" s="1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0"/>
      <c r="AB811" s="80"/>
      <c r="AC811" s="81"/>
      <c r="AD811" s="81"/>
      <c r="AE811" s="81"/>
      <c r="AF811" s="81"/>
    </row>
    <row r="812" ht="15.75" customHeight="1">
      <c r="A812" s="81"/>
      <c r="B812" s="180"/>
      <c r="C812" s="1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0"/>
      <c r="AB812" s="80"/>
      <c r="AC812" s="81"/>
      <c r="AD812" s="81"/>
      <c r="AE812" s="81"/>
      <c r="AF812" s="81"/>
    </row>
    <row r="813" ht="15.75" customHeight="1">
      <c r="A813" s="81"/>
      <c r="B813" s="180"/>
      <c r="C813" s="1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0"/>
      <c r="AB813" s="80"/>
      <c r="AC813" s="81"/>
      <c r="AD813" s="81"/>
      <c r="AE813" s="81"/>
      <c r="AF813" s="81"/>
    </row>
    <row r="814" ht="15.75" customHeight="1">
      <c r="A814" s="81"/>
      <c r="B814" s="180"/>
      <c r="C814" s="1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0"/>
      <c r="AB814" s="80"/>
      <c r="AC814" s="81"/>
      <c r="AD814" s="81"/>
      <c r="AE814" s="81"/>
      <c r="AF814" s="81"/>
    </row>
    <row r="815" ht="15.75" customHeight="1">
      <c r="A815" s="81"/>
      <c r="B815" s="180"/>
      <c r="C815" s="1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0"/>
      <c r="AB815" s="80"/>
      <c r="AC815" s="81"/>
      <c r="AD815" s="81"/>
      <c r="AE815" s="81"/>
      <c r="AF815" s="81"/>
    </row>
    <row r="816" ht="15.75" customHeight="1">
      <c r="A816" s="81"/>
      <c r="B816" s="180"/>
      <c r="C816" s="1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0"/>
      <c r="AB816" s="80"/>
      <c r="AC816" s="81"/>
      <c r="AD816" s="81"/>
      <c r="AE816" s="81"/>
      <c r="AF816" s="81"/>
    </row>
    <row r="817" ht="15.75" customHeight="1">
      <c r="A817" s="81"/>
      <c r="B817" s="180"/>
      <c r="C817" s="1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0"/>
      <c r="AB817" s="80"/>
      <c r="AC817" s="81"/>
      <c r="AD817" s="81"/>
      <c r="AE817" s="81"/>
      <c r="AF817" s="81"/>
    </row>
    <row r="818" ht="15.75" customHeight="1">
      <c r="A818" s="81"/>
      <c r="B818" s="180"/>
      <c r="C818" s="1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0"/>
      <c r="AB818" s="80"/>
      <c r="AC818" s="81"/>
      <c r="AD818" s="81"/>
      <c r="AE818" s="81"/>
      <c r="AF818" s="81"/>
    </row>
    <row r="819" ht="15.75" customHeight="1">
      <c r="A819" s="81"/>
      <c r="B819" s="180"/>
      <c r="C819" s="1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0"/>
      <c r="AB819" s="80"/>
      <c r="AC819" s="81"/>
      <c r="AD819" s="81"/>
      <c r="AE819" s="81"/>
      <c r="AF819" s="81"/>
    </row>
    <row r="820" ht="15.75" customHeight="1">
      <c r="A820" s="81"/>
      <c r="B820" s="180"/>
      <c r="C820" s="1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0"/>
      <c r="AB820" s="80"/>
      <c r="AC820" s="81"/>
      <c r="AD820" s="81"/>
      <c r="AE820" s="81"/>
      <c r="AF820" s="81"/>
    </row>
    <row r="821" ht="15.75" customHeight="1">
      <c r="A821" s="81"/>
      <c r="B821" s="180"/>
      <c r="C821" s="1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0"/>
      <c r="AB821" s="80"/>
      <c r="AC821" s="81"/>
      <c r="AD821" s="81"/>
      <c r="AE821" s="81"/>
      <c r="AF821" s="81"/>
    </row>
    <row r="822" ht="15.75" customHeight="1">
      <c r="A822" s="81"/>
      <c r="B822" s="180"/>
      <c r="C822" s="1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0"/>
      <c r="AB822" s="80"/>
      <c r="AC822" s="81"/>
      <c r="AD822" s="81"/>
      <c r="AE822" s="81"/>
      <c r="AF822" s="81"/>
    </row>
    <row r="823" ht="15.75" customHeight="1">
      <c r="A823" s="81"/>
      <c r="B823" s="180"/>
      <c r="C823" s="1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0"/>
      <c r="AB823" s="80"/>
      <c r="AC823" s="81"/>
      <c r="AD823" s="81"/>
      <c r="AE823" s="81"/>
      <c r="AF823" s="81"/>
    </row>
    <row r="824" ht="15.75" customHeight="1">
      <c r="A824" s="81"/>
      <c r="B824" s="180"/>
      <c r="C824" s="1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0"/>
      <c r="AB824" s="80"/>
      <c r="AC824" s="81"/>
      <c r="AD824" s="81"/>
      <c r="AE824" s="81"/>
      <c r="AF824" s="81"/>
    </row>
    <row r="825" ht="15.75" customHeight="1">
      <c r="A825" s="81"/>
      <c r="B825" s="180"/>
      <c r="C825" s="1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0"/>
      <c r="AB825" s="80"/>
      <c r="AC825" s="81"/>
      <c r="AD825" s="81"/>
      <c r="AE825" s="81"/>
      <c r="AF825" s="81"/>
    </row>
    <row r="826" ht="15.75" customHeight="1">
      <c r="A826" s="81"/>
      <c r="B826" s="180"/>
      <c r="C826" s="1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0"/>
      <c r="AB826" s="80"/>
      <c r="AC826" s="81"/>
      <c r="AD826" s="81"/>
      <c r="AE826" s="81"/>
      <c r="AF826" s="81"/>
    </row>
    <row r="827" ht="15.75" customHeight="1">
      <c r="A827" s="81"/>
      <c r="B827" s="180"/>
      <c r="C827" s="1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0"/>
      <c r="AB827" s="80"/>
      <c r="AC827" s="81"/>
      <c r="AD827" s="81"/>
      <c r="AE827" s="81"/>
      <c r="AF827" s="81"/>
    </row>
    <row r="828" ht="15.75" customHeight="1">
      <c r="A828" s="81"/>
      <c r="B828" s="180"/>
      <c r="C828" s="1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0"/>
      <c r="AB828" s="80"/>
      <c r="AC828" s="81"/>
      <c r="AD828" s="81"/>
      <c r="AE828" s="81"/>
      <c r="AF828" s="81"/>
    </row>
    <row r="829" ht="15.75" customHeight="1">
      <c r="A829" s="81"/>
      <c r="B829" s="180"/>
      <c r="C829" s="1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0"/>
      <c r="AB829" s="80"/>
      <c r="AC829" s="81"/>
      <c r="AD829" s="81"/>
      <c r="AE829" s="81"/>
      <c r="AF829" s="81"/>
    </row>
    <row r="830" ht="15.75" customHeight="1">
      <c r="A830" s="81"/>
      <c r="B830" s="180"/>
      <c r="C830" s="1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0"/>
      <c r="AB830" s="80"/>
      <c r="AC830" s="81"/>
      <c r="AD830" s="81"/>
      <c r="AE830" s="81"/>
      <c r="AF830" s="81"/>
    </row>
    <row r="831" ht="15.75" customHeight="1">
      <c r="A831" s="81"/>
      <c r="B831" s="180"/>
      <c r="C831" s="181"/>
      <c r="D831" s="81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  <c r="R831" s="81"/>
      <c r="S831" s="81"/>
      <c r="T831" s="81"/>
      <c r="U831" s="81"/>
      <c r="V831" s="81"/>
      <c r="W831" s="81"/>
      <c r="X831" s="81"/>
      <c r="Y831" s="81"/>
      <c r="Z831" s="81"/>
      <c r="AA831" s="80"/>
      <c r="AB831" s="80"/>
      <c r="AC831" s="81"/>
      <c r="AD831" s="81"/>
      <c r="AE831" s="81"/>
      <c r="AF831" s="81"/>
    </row>
    <row r="832" ht="15.75" customHeight="1">
      <c r="A832" s="81"/>
      <c r="B832" s="180"/>
      <c r="C832" s="181"/>
      <c r="D832" s="81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  <c r="R832" s="81"/>
      <c r="S832" s="81"/>
      <c r="T832" s="81"/>
      <c r="U832" s="81"/>
      <c r="V832" s="81"/>
      <c r="W832" s="81"/>
      <c r="X832" s="81"/>
      <c r="Y832" s="81"/>
      <c r="Z832" s="81"/>
      <c r="AA832" s="80"/>
      <c r="AB832" s="80"/>
      <c r="AC832" s="81"/>
      <c r="AD832" s="81"/>
      <c r="AE832" s="81"/>
      <c r="AF832" s="81"/>
    </row>
    <row r="833" ht="15.75" customHeight="1">
      <c r="A833" s="81"/>
      <c r="B833" s="180"/>
      <c r="C833" s="181"/>
      <c r="D833" s="81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  <c r="R833" s="81"/>
      <c r="S833" s="81"/>
      <c r="T833" s="81"/>
      <c r="U833" s="81"/>
      <c r="V833" s="81"/>
      <c r="W833" s="81"/>
      <c r="X833" s="81"/>
      <c r="Y833" s="81"/>
      <c r="Z833" s="81"/>
      <c r="AA833" s="80"/>
      <c r="AB833" s="80"/>
      <c r="AC833" s="81"/>
      <c r="AD833" s="81"/>
      <c r="AE833" s="81"/>
      <c r="AF833" s="81"/>
    </row>
    <row r="834" ht="15.75" customHeight="1">
      <c r="A834" s="81"/>
      <c r="B834" s="180"/>
      <c r="C834" s="181"/>
      <c r="D834" s="81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0"/>
      <c r="AB834" s="80"/>
      <c r="AC834" s="81"/>
      <c r="AD834" s="81"/>
      <c r="AE834" s="81"/>
      <c r="AF834" s="81"/>
    </row>
    <row r="835" ht="15.75" customHeight="1">
      <c r="A835" s="81"/>
      <c r="B835" s="180"/>
      <c r="C835" s="181"/>
      <c r="D835" s="81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  <c r="R835" s="81"/>
      <c r="S835" s="81"/>
      <c r="T835" s="81"/>
      <c r="U835" s="81"/>
      <c r="V835" s="81"/>
      <c r="W835" s="81"/>
      <c r="X835" s="81"/>
      <c r="Y835" s="81"/>
      <c r="Z835" s="81"/>
      <c r="AA835" s="80"/>
      <c r="AB835" s="80"/>
      <c r="AC835" s="81"/>
      <c r="AD835" s="81"/>
      <c r="AE835" s="81"/>
      <c r="AF835" s="81"/>
    </row>
    <row r="836" ht="15.75" customHeight="1">
      <c r="A836" s="81"/>
      <c r="B836" s="180"/>
      <c r="C836" s="181"/>
      <c r="D836" s="81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  <c r="R836" s="81"/>
      <c r="S836" s="81"/>
      <c r="T836" s="81"/>
      <c r="U836" s="81"/>
      <c r="V836" s="81"/>
      <c r="W836" s="81"/>
      <c r="X836" s="81"/>
      <c r="Y836" s="81"/>
      <c r="Z836" s="81"/>
      <c r="AA836" s="80"/>
      <c r="AB836" s="80"/>
      <c r="AC836" s="81"/>
      <c r="AD836" s="81"/>
      <c r="AE836" s="81"/>
      <c r="AF836" s="81"/>
    </row>
    <row r="837" ht="15.75" customHeight="1">
      <c r="A837" s="81"/>
      <c r="B837" s="180"/>
      <c r="C837" s="181"/>
      <c r="D837" s="81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  <c r="R837" s="81"/>
      <c r="S837" s="81"/>
      <c r="T837" s="81"/>
      <c r="U837" s="81"/>
      <c r="V837" s="81"/>
      <c r="W837" s="81"/>
      <c r="X837" s="81"/>
      <c r="Y837" s="81"/>
      <c r="Z837" s="81"/>
      <c r="AA837" s="80"/>
      <c r="AB837" s="80"/>
      <c r="AC837" s="81"/>
      <c r="AD837" s="81"/>
      <c r="AE837" s="81"/>
      <c r="AF837" s="81"/>
    </row>
    <row r="838" ht="15.75" customHeight="1">
      <c r="A838" s="81"/>
      <c r="B838" s="180"/>
      <c r="C838" s="181"/>
      <c r="D838" s="81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  <c r="R838" s="81"/>
      <c r="S838" s="81"/>
      <c r="T838" s="81"/>
      <c r="U838" s="81"/>
      <c r="V838" s="81"/>
      <c r="W838" s="81"/>
      <c r="X838" s="81"/>
      <c r="Y838" s="81"/>
      <c r="Z838" s="81"/>
      <c r="AA838" s="80"/>
      <c r="AB838" s="80"/>
      <c r="AC838" s="81"/>
      <c r="AD838" s="81"/>
      <c r="AE838" s="81"/>
      <c r="AF838" s="81"/>
    </row>
    <row r="839" ht="15.75" customHeight="1">
      <c r="A839" s="81"/>
      <c r="B839" s="180"/>
      <c r="C839" s="181"/>
      <c r="D839" s="81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  <c r="R839" s="81"/>
      <c r="S839" s="81"/>
      <c r="T839" s="81"/>
      <c r="U839" s="81"/>
      <c r="V839" s="81"/>
      <c r="W839" s="81"/>
      <c r="X839" s="81"/>
      <c r="Y839" s="81"/>
      <c r="Z839" s="81"/>
      <c r="AA839" s="80"/>
      <c r="AB839" s="80"/>
      <c r="AC839" s="81"/>
      <c r="AD839" s="81"/>
      <c r="AE839" s="81"/>
      <c r="AF839" s="81"/>
    </row>
    <row r="840" ht="15.75" customHeight="1">
      <c r="A840" s="81"/>
      <c r="B840" s="180"/>
      <c r="C840" s="181"/>
      <c r="D840" s="81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  <c r="R840" s="81"/>
      <c r="S840" s="81"/>
      <c r="T840" s="81"/>
      <c r="U840" s="81"/>
      <c r="V840" s="81"/>
      <c r="W840" s="81"/>
      <c r="X840" s="81"/>
      <c r="Y840" s="81"/>
      <c r="Z840" s="81"/>
      <c r="AA840" s="80"/>
      <c r="AB840" s="80"/>
      <c r="AC840" s="81"/>
      <c r="AD840" s="81"/>
      <c r="AE840" s="81"/>
      <c r="AF840" s="81"/>
    </row>
    <row r="841" ht="15.75" customHeight="1">
      <c r="A841" s="81"/>
      <c r="B841" s="180"/>
      <c r="C841" s="181"/>
      <c r="D841" s="81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  <c r="R841" s="81"/>
      <c r="S841" s="81"/>
      <c r="T841" s="81"/>
      <c r="U841" s="81"/>
      <c r="V841" s="81"/>
      <c r="W841" s="81"/>
      <c r="X841" s="81"/>
      <c r="Y841" s="81"/>
      <c r="Z841" s="81"/>
      <c r="AA841" s="80"/>
      <c r="AB841" s="80"/>
      <c r="AC841" s="81"/>
      <c r="AD841" s="81"/>
      <c r="AE841" s="81"/>
      <c r="AF841" s="81"/>
    </row>
    <row r="842" ht="15.75" customHeight="1">
      <c r="A842" s="81"/>
      <c r="B842" s="180"/>
      <c r="C842" s="181"/>
      <c r="D842" s="81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  <c r="R842" s="81"/>
      <c r="S842" s="81"/>
      <c r="T842" s="81"/>
      <c r="U842" s="81"/>
      <c r="V842" s="81"/>
      <c r="W842" s="81"/>
      <c r="X842" s="81"/>
      <c r="Y842" s="81"/>
      <c r="Z842" s="81"/>
      <c r="AA842" s="80"/>
      <c r="AB842" s="80"/>
      <c r="AC842" s="81"/>
      <c r="AD842" s="81"/>
      <c r="AE842" s="81"/>
      <c r="AF842" s="81"/>
    </row>
    <row r="843" ht="15.75" customHeight="1">
      <c r="A843" s="81"/>
      <c r="B843" s="180"/>
      <c r="C843" s="1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  <c r="R843" s="81"/>
      <c r="S843" s="81"/>
      <c r="T843" s="81"/>
      <c r="U843" s="81"/>
      <c r="V843" s="81"/>
      <c r="W843" s="81"/>
      <c r="X843" s="81"/>
      <c r="Y843" s="81"/>
      <c r="Z843" s="81"/>
      <c r="AA843" s="80"/>
      <c r="AB843" s="80"/>
      <c r="AC843" s="81"/>
      <c r="AD843" s="81"/>
      <c r="AE843" s="81"/>
      <c r="AF843" s="81"/>
    </row>
    <row r="844" ht="15.75" customHeight="1">
      <c r="A844" s="81"/>
      <c r="B844" s="180"/>
      <c r="C844" s="1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  <c r="R844" s="81"/>
      <c r="S844" s="81"/>
      <c r="T844" s="81"/>
      <c r="U844" s="81"/>
      <c r="V844" s="81"/>
      <c r="W844" s="81"/>
      <c r="X844" s="81"/>
      <c r="Y844" s="81"/>
      <c r="Z844" s="81"/>
      <c r="AA844" s="80"/>
      <c r="AB844" s="80"/>
      <c r="AC844" s="81"/>
      <c r="AD844" s="81"/>
      <c r="AE844" s="81"/>
      <c r="AF844" s="81"/>
    </row>
    <row r="845" ht="15.75" customHeight="1">
      <c r="A845" s="81"/>
      <c r="B845" s="180"/>
      <c r="C845" s="1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  <c r="R845" s="81"/>
      <c r="S845" s="81"/>
      <c r="T845" s="81"/>
      <c r="U845" s="81"/>
      <c r="V845" s="81"/>
      <c r="W845" s="81"/>
      <c r="X845" s="81"/>
      <c r="Y845" s="81"/>
      <c r="Z845" s="81"/>
      <c r="AA845" s="80"/>
      <c r="AB845" s="80"/>
      <c r="AC845" s="81"/>
      <c r="AD845" s="81"/>
      <c r="AE845" s="81"/>
      <c r="AF845" s="81"/>
    </row>
    <row r="846" ht="15.75" customHeight="1">
      <c r="A846" s="81"/>
      <c r="B846" s="180"/>
      <c r="C846" s="1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  <c r="R846" s="81"/>
      <c r="S846" s="81"/>
      <c r="T846" s="81"/>
      <c r="U846" s="81"/>
      <c r="V846" s="81"/>
      <c r="W846" s="81"/>
      <c r="X846" s="81"/>
      <c r="Y846" s="81"/>
      <c r="Z846" s="81"/>
      <c r="AA846" s="80"/>
      <c r="AB846" s="80"/>
      <c r="AC846" s="81"/>
      <c r="AD846" s="81"/>
      <c r="AE846" s="81"/>
      <c r="AF846" s="81"/>
    </row>
    <row r="847" ht="15.75" customHeight="1">
      <c r="A847" s="81"/>
      <c r="B847" s="180"/>
      <c r="C847" s="1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  <c r="R847" s="81"/>
      <c r="S847" s="81"/>
      <c r="T847" s="81"/>
      <c r="U847" s="81"/>
      <c r="V847" s="81"/>
      <c r="W847" s="81"/>
      <c r="X847" s="81"/>
      <c r="Y847" s="81"/>
      <c r="Z847" s="81"/>
      <c r="AA847" s="80"/>
      <c r="AB847" s="80"/>
      <c r="AC847" s="81"/>
      <c r="AD847" s="81"/>
      <c r="AE847" s="81"/>
      <c r="AF847" s="81"/>
    </row>
    <row r="848" ht="15.75" customHeight="1">
      <c r="A848" s="81"/>
      <c r="B848" s="180"/>
      <c r="C848" s="1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  <c r="R848" s="81"/>
      <c r="S848" s="81"/>
      <c r="T848" s="81"/>
      <c r="U848" s="81"/>
      <c r="V848" s="81"/>
      <c r="W848" s="81"/>
      <c r="X848" s="81"/>
      <c r="Y848" s="81"/>
      <c r="Z848" s="81"/>
      <c r="AA848" s="80"/>
      <c r="AB848" s="80"/>
      <c r="AC848" s="81"/>
      <c r="AD848" s="81"/>
      <c r="AE848" s="81"/>
      <c r="AF848" s="81"/>
    </row>
    <row r="849" ht="15.75" customHeight="1">
      <c r="A849" s="81"/>
      <c r="B849" s="180"/>
      <c r="C849" s="1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  <c r="R849" s="81"/>
      <c r="S849" s="81"/>
      <c r="T849" s="81"/>
      <c r="U849" s="81"/>
      <c r="V849" s="81"/>
      <c r="W849" s="81"/>
      <c r="X849" s="81"/>
      <c r="Y849" s="81"/>
      <c r="Z849" s="81"/>
      <c r="AA849" s="80"/>
      <c r="AB849" s="80"/>
      <c r="AC849" s="81"/>
      <c r="AD849" s="81"/>
      <c r="AE849" s="81"/>
      <c r="AF849" s="81"/>
    </row>
    <row r="850" ht="15.75" customHeight="1">
      <c r="A850" s="81"/>
      <c r="B850" s="180"/>
      <c r="C850" s="1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  <c r="R850" s="81"/>
      <c r="S850" s="81"/>
      <c r="T850" s="81"/>
      <c r="U850" s="81"/>
      <c r="V850" s="81"/>
      <c r="W850" s="81"/>
      <c r="X850" s="81"/>
      <c r="Y850" s="81"/>
      <c r="Z850" s="81"/>
      <c r="AA850" s="80"/>
      <c r="AB850" s="80"/>
      <c r="AC850" s="81"/>
      <c r="AD850" s="81"/>
      <c r="AE850" s="81"/>
      <c r="AF850" s="81"/>
    </row>
    <row r="851" ht="15.75" customHeight="1">
      <c r="A851" s="81"/>
      <c r="B851" s="180"/>
      <c r="C851" s="1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  <c r="R851" s="81"/>
      <c r="S851" s="81"/>
      <c r="T851" s="81"/>
      <c r="U851" s="81"/>
      <c r="V851" s="81"/>
      <c r="W851" s="81"/>
      <c r="X851" s="81"/>
      <c r="Y851" s="81"/>
      <c r="Z851" s="81"/>
      <c r="AA851" s="80"/>
      <c r="AB851" s="80"/>
      <c r="AC851" s="81"/>
      <c r="AD851" s="81"/>
      <c r="AE851" s="81"/>
      <c r="AF851" s="81"/>
    </row>
    <row r="852" ht="15.75" customHeight="1">
      <c r="A852" s="81"/>
      <c r="B852" s="180"/>
      <c r="C852" s="1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  <c r="R852" s="81"/>
      <c r="S852" s="81"/>
      <c r="T852" s="81"/>
      <c r="U852" s="81"/>
      <c r="V852" s="81"/>
      <c r="W852" s="81"/>
      <c r="X852" s="81"/>
      <c r="Y852" s="81"/>
      <c r="Z852" s="81"/>
      <c r="AA852" s="80"/>
      <c r="AB852" s="80"/>
      <c r="AC852" s="81"/>
      <c r="AD852" s="81"/>
      <c r="AE852" s="81"/>
      <c r="AF852" s="81"/>
    </row>
    <row r="853" ht="15.75" customHeight="1">
      <c r="A853" s="81"/>
      <c r="B853" s="180"/>
      <c r="C853" s="1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  <c r="R853" s="81"/>
      <c r="S853" s="81"/>
      <c r="T853" s="81"/>
      <c r="U853" s="81"/>
      <c r="V853" s="81"/>
      <c r="W853" s="81"/>
      <c r="X853" s="81"/>
      <c r="Y853" s="81"/>
      <c r="Z853" s="81"/>
      <c r="AA853" s="80"/>
      <c r="AB853" s="80"/>
      <c r="AC853" s="81"/>
      <c r="AD853" s="81"/>
      <c r="AE853" s="81"/>
      <c r="AF853" s="81"/>
    </row>
    <row r="854" ht="15.75" customHeight="1">
      <c r="A854" s="81"/>
      <c r="B854" s="180"/>
      <c r="C854" s="1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0"/>
      <c r="AB854" s="80"/>
      <c r="AC854" s="81"/>
      <c r="AD854" s="81"/>
      <c r="AE854" s="81"/>
      <c r="AF854" s="81"/>
    </row>
    <row r="855" ht="15.75" customHeight="1">
      <c r="A855" s="81"/>
      <c r="B855" s="180"/>
      <c r="C855" s="1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0"/>
      <c r="AB855" s="80"/>
      <c r="AC855" s="81"/>
      <c r="AD855" s="81"/>
      <c r="AE855" s="81"/>
      <c r="AF855" s="81"/>
    </row>
    <row r="856" ht="15.75" customHeight="1">
      <c r="A856" s="81"/>
      <c r="B856" s="180"/>
      <c r="C856" s="1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0"/>
      <c r="AB856" s="80"/>
      <c r="AC856" s="81"/>
      <c r="AD856" s="81"/>
      <c r="AE856" s="81"/>
      <c r="AF856" s="81"/>
    </row>
    <row r="857" ht="15.75" customHeight="1">
      <c r="A857" s="81"/>
      <c r="B857" s="180"/>
      <c r="C857" s="1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0"/>
      <c r="AB857" s="80"/>
      <c r="AC857" s="81"/>
      <c r="AD857" s="81"/>
      <c r="AE857" s="81"/>
      <c r="AF857" s="81"/>
    </row>
    <row r="858" ht="15.75" customHeight="1">
      <c r="A858" s="81"/>
      <c r="B858" s="180"/>
      <c r="C858" s="1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0"/>
      <c r="AB858" s="80"/>
      <c r="AC858" s="81"/>
      <c r="AD858" s="81"/>
      <c r="AE858" s="81"/>
      <c r="AF858" s="81"/>
    </row>
    <row r="859" ht="15.75" customHeight="1">
      <c r="A859" s="81"/>
      <c r="B859" s="180"/>
      <c r="C859" s="1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0"/>
      <c r="AB859" s="80"/>
      <c r="AC859" s="81"/>
      <c r="AD859" s="81"/>
      <c r="AE859" s="81"/>
      <c r="AF859" s="81"/>
    </row>
    <row r="860" ht="15.75" customHeight="1">
      <c r="A860" s="81"/>
      <c r="B860" s="180"/>
      <c r="C860" s="1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0"/>
      <c r="AB860" s="80"/>
      <c r="AC860" s="81"/>
      <c r="AD860" s="81"/>
      <c r="AE860" s="81"/>
      <c r="AF860" s="81"/>
    </row>
    <row r="861" ht="15.75" customHeight="1">
      <c r="A861" s="81"/>
      <c r="B861" s="180"/>
      <c r="C861" s="1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0"/>
      <c r="AB861" s="80"/>
      <c r="AC861" s="81"/>
      <c r="AD861" s="81"/>
      <c r="AE861" s="81"/>
      <c r="AF861" s="81"/>
    </row>
    <row r="862" ht="15.75" customHeight="1">
      <c r="A862" s="81"/>
      <c r="B862" s="180"/>
      <c r="C862" s="1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0"/>
      <c r="AB862" s="80"/>
      <c r="AC862" s="81"/>
      <c r="AD862" s="81"/>
      <c r="AE862" s="81"/>
      <c r="AF862" s="81"/>
    </row>
    <row r="863" ht="15.75" customHeight="1">
      <c r="A863" s="81"/>
      <c r="B863" s="180"/>
      <c r="C863" s="1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0"/>
      <c r="AB863" s="80"/>
      <c r="AC863" s="81"/>
      <c r="AD863" s="81"/>
      <c r="AE863" s="81"/>
      <c r="AF863" s="81"/>
    </row>
    <row r="864" ht="15.75" customHeight="1">
      <c r="A864" s="81"/>
      <c r="B864" s="180"/>
      <c r="C864" s="1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0"/>
      <c r="AB864" s="80"/>
      <c r="AC864" s="81"/>
      <c r="AD864" s="81"/>
      <c r="AE864" s="81"/>
      <c r="AF864" s="81"/>
    </row>
    <row r="865" ht="15.75" customHeight="1">
      <c r="A865" s="81"/>
      <c r="B865" s="180"/>
      <c r="C865" s="1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0"/>
      <c r="AB865" s="80"/>
      <c r="AC865" s="81"/>
      <c r="AD865" s="81"/>
      <c r="AE865" s="81"/>
      <c r="AF865" s="81"/>
    </row>
    <row r="866" ht="15.75" customHeight="1">
      <c r="A866" s="81"/>
      <c r="B866" s="180"/>
      <c r="C866" s="1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0"/>
      <c r="AB866" s="80"/>
      <c r="AC866" s="81"/>
      <c r="AD866" s="81"/>
      <c r="AE866" s="81"/>
      <c r="AF866" s="81"/>
    </row>
    <row r="867" ht="15.75" customHeight="1">
      <c r="A867" s="81"/>
      <c r="B867" s="180"/>
      <c r="C867" s="1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0"/>
      <c r="AB867" s="80"/>
      <c r="AC867" s="81"/>
      <c r="AD867" s="81"/>
      <c r="AE867" s="81"/>
      <c r="AF867" s="81"/>
    </row>
    <row r="868" ht="15.75" customHeight="1">
      <c r="A868" s="81"/>
      <c r="B868" s="180"/>
      <c r="C868" s="1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0"/>
      <c r="AB868" s="80"/>
      <c r="AC868" s="81"/>
      <c r="AD868" s="81"/>
      <c r="AE868" s="81"/>
      <c r="AF868" s="81"/>
    </row>
    <row r="869" ht="15.75" customHeight="1">
      <c r="A869" s="81"/>
      <c r="B869" s="180"/>
      <c r="C869" s="1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0"/>
      <c r="AB869" s="80"/>
      <c r="AC869" s="81"/>
      <c r="AD869" s="81"/>
      <c r="AE869" s="81"/>
      <c r="AF869" s="81"/>
    </row>
    <row r="870" ht="15.75" customHeight="1">
      <c r="A870" s="81"/>
      <c r="B870" s="180"/>
      <c r="C870" s="1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0"/>
      <c r="AB870" s="80"/>
      <c r="AC870" s="81"/>
      <c r="AD870" s="81"/>
      <c r="AE870" s="81"/>
      <c r="AF870" s="81"/>
    </row>
    <row r="871" ht="15.75" customHeight="1">
      <c r="A871" s="81"/>
      <c r="B871" s="180"/>
      <c r="C871" s="1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0"/>
      <c r="AB871" s="80"/>
      <c r="AC871" s="81"/>
      <c r="AD871" s="81"/>
      <c r="AE871" s="81"/>
      <c r="AF871" s="81"/>
    </row>
    <row r="872" ht="15.75" customHeight="1">
      <c r="A872" s="81"/>
      <c r="B872" s="180"/>
      <c r="C872" s="1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0"/>
      <c r="AB872" s="80"/>
      <c r="AC872" s="81"/>
      <c r="AD872" s="81"/>
      <c r="AE872" s="81"/>
      <c r="AF872" s="81"/>
    </row>
    <row r="873" ht="15.75" customHeight="1">
      <c r="A873" s="81"/>
      <c r="B873" s="180"/>
      <c r="C873" s="1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0"/>
      <c r="AB873" s="80"/>
      <c r="AC873" s="81"/>
      <c r="AD873" s="81"/>
      <c r="AE873" s="81"/>
      <c r="AF873" s="81"/>
    </row>
    <row r="874" ht="15.75" customHeight="1">
      <c r="A874" s="81"/>
      <c r="B874" s="180"/>
      <c r="C874" s="1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0"/>
      <c r="AB874" s="80"/>
      <c r="AC874" s="81"/>
      <c r="AD874" s="81"/>
      <c r="AE874" s="81"/>
      <c r="AF874" s="81"/>
    </row>
    <row r="875" ht="15.75" customHeight="1">
      <c r="A875" s="81"/>
      <c r="B875" s="180"/>
      <c r="C875" s="1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0"/>
      <c r="AB875" s="80"/>
      <c r="AC875" s="81"/>
      <c r="AD875" s="81"/>
      <c r="AE875" s="81"/>
      <c r="AF875" s="81"/>
    </row>
    <row r="876" ht="15.75" customHeight="1">
      <c r="A876" s="81"/>
      <c r="B876" s="180"/>
      <c r="C876" s="1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0"/>
      <c r="AB876" s="80"/>
      <c r="AC876" s="81"/>
      <c r="AD876" s="81"/>
      <c r="AE876" s="81"/>
      <c r="AF876" s="81"/>
    </row>
    <row r="877" ht="15.75" customHeight="1">
      <c r="A877" s="81"/>
      <c r="B877" s="180"/>
      <c r="C877" s="1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/>
      <c r="O877" s="81"/>
      <c r="P877" s="81"/>
      <c r="Q877" s="81"/>
      <c r="R877" s="81"/>
      <c r="S877" s="81"/>
      <c r="T877" s="81"/>
      <c r="U877" s="81"/>
      <c r="V877" s="81"/>
      <c r="W877" s="81"/>
      <c r="X877" s="81"/>
      <c r="Y877" s="81"/>
      <c r="Z877" s="81"/>
      <c r="AA877" s="80"/>
      <c r="AB877" s="80"/>
      <c r="AC877" s="81"/>
      <c r="AD877" s="81"/>
      <c r="AE877" s="81"/>
      <c r="AF877" s="81"/>
    </row>
    <row r="878" ht="15.75" customHeight="1">
      <c r="A878" s="81"/>
      <c r="B878" s="180"/>
      <c r="C878" s="181"/>
      <c r="D878" s="81"/>
      <c r="E878" s="81"/>
      <c r="F878" s="81"/>
      <c r="G878" s="81"/>
      <c r="H878" s="81"/>
      <c r="I878" s="81"/>
      <c r="J878" s="81"/>
      <c r="K878" s="81"/>
      <c r="L878" s="81"/>
      <c r="M878" s="81"/>
      <c r="N878" s="81"/>
      <c r="O878" s="81"/>
      <c r="P878" s="81"/>
      <c r="Q878" s="81"/>
      <c r="R878" s="81"/>
      <c r="S878" s="81"/>
      <c r="T878" s="81"/>
      <c r="U878" s="81"/>
      <c r="V878" s="81"/>
      <c r="W878" s="81"/>
      <c r="X878" s="81"/>
      <c r="Y878" s="81"/>
      <c r="Z878" s="81"/>
      <c r="AA878" s="80"/>
      <c r="AB878" s="80"/>
      <c r="AC878" s="81"/>
      <c r="AD878" s="81"/>
      <c r="AE878" s="81"/>
      <c r="AF878" s="81"/>
    </row>
    <row r="879" ht="15.75" customHeight="1">
      <c r="A879" s="81"/>
      <c r="B879" s="180"/>
      <c r="C879" s="1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/>
      <c r="O879" s="81"/>
      <c r="P879" s="81"/>
      <c r="Q879" s="81"/>
      <c r="R879" s="81"/>
      <c r="S879" s="81"/>
      <c r="T879" s="81"/>
      <c r="U879" s="81"/>
      <c r="V879" s="81"/>
      <c r="W879" s="81"/>
      <c r="X879" s="81"/>
      <c r="Y879" s="81"/>
      <c r="Z879" s="81"/>
      <c r="AA879" s="80"/>
      <c r="AB879" s="80"/>
      <c r="AC879" s="81"/>
      <c r="AD879" s="81"/>
      <c r="AE879" s="81"/>
      <c r="AF879" s="81"/>
    </row>
    <row r="880" ht="15.75" customHeight="1">
      <c r="A880" s="81"/>
      <c r="B880" s="180"/>
      <c r="C880" s="181"/>
      <c r="D880" s="81"/>
      <c r="E880" s="81"/>
      <c r="F880" s="81"/>
      <c r="G880" s="81"/>
      <c r="H880" s="81"/>
      <c r="I880" s="81"/>
      <c r="J880" s="81"/>
      <c r="K880" s="81"/>
      <c r="L880" s="81"/>
      <c r="M880" s="81"/>
      <c r="N880" s="81"/>
      <c r="O880" s="81"/>
      <c r="P880" s="81"/>
      <c r="Q880" s="81"/>
      <c r="R880" s="81"/>
      <c r="S880" s="81"/>
      <c r="T880" s="81"/>
      <c r="U880" s="81"/>
      <c r="V880" s="81"/>
      <c r="W880" s="81"/>
      <c r="X880" s="81"/>
      <c r="Y880" s="81"/>
      <c r="Z880" s="81"/>
      <c r="AA880" s="80"/>
      <c r="AB880" s="80"/>
      <c r="AC880" s="81"/>
      <c r="AD880" s="81"/>
      <c r="AE880" s="81"/>
      <c r="AF880" s="81"/>
    </row>
    <row r="881" ht="15.75" customHeight="1">
      <c r="A881" s="81"/>
      <c r="B881" s="180"/>
      <c r="C881" s="181"/>
      <c r="D881" s="81"/>
      <c r="E881" s="81"/>
      <c r="F881" s="81"/>
      <c r="G881" s="81"/>
      <c r="H881" s="81"/>
      <c r="I881" s="81"/>
      <c r="J881" s="81"/>
      <c r="K881" s="81"/>
      <c r="L881" s="81"/>
      <c r="M881" s="81"/>
      <c r="N881" s="81"/>
      <c r="O881" s="81"/>
      <c r="P881" s="81"/>
      <c r="Q881" s="81"/>
      <c r="R881" s="81"/>
      <c r="S881" s="81"/>
      <c r="T881" s="81"/>
      <c r="U881" s="81"/>
      <c r="V881" s="81"/>
      <c r="W881" s="81"/>
      <c r="X881" s="81"/>
      <c r="Y881" s="81"/>
      <c r="Z881" s="81"/>
      <c r="AA881" s="80"/>
      <c r="AB881" s="80"/>
      <c r="AC881" s="81"/>
      <c r="AD881" s="81"/>
      <c r="AE881" s="81"/>
      <c r="AF881" s="81"/>
    </row>
    <row r="882" ht="15.75" customHeight="1">
      <c r="A882" s="81"/>
      <c r="B882" s="180"/>
      <c r="C882" s="181"/>
      <c r="D882" s="81"/>
      <c r="E882" s="81"/>
      <c r="F882" s="81"/>
      <c r="G882" s="81"/>
      <c r="H882" s="81"/>
      <c r="I882" s="81"/>
      <c r="J882" s="81"/>
      <c r="K882" s="81"/>
      <c r="L882" s="81"/>
      <c r="M882" s="81"/>
      <c r="N882" s="81"/>
      <c r="O882" s="81"/>
      <c r="P882" s="81"/>
      <c r="Q882" s="81"/>
      <c r="R882" s="81"/>
      <c r="S882" s="81"/>
      <c r="T882" s="81"/>
      <c r="U882" s="81"/>
      <c r="V882" s="81"/>
      <c r="W882" s="81"/>
      <c r="X882" s="81"/>
      <c r="Y882" s="81"/>
      <c r="Z882" s="81"/>
      <c r="AA882" s="80"/>
      <c r="AB882" s="80"/>
      <c r="AC882" s="81"/>
      <c r="AD882" s="81"/>
      <c r="AE882" s="81"/>
      <c r="AF882" s="81"/>
    </row>
    <row r="883" ht="15.75" customHeight="1">
      <c r="A883" s="81"/>
      <c r="B883" s="180"/>
      <c r="C883" s="181"/>
      <c r="D883" s="81"/>
      <c r="E883" s="81"/>
      <c r="F883" s="81"/>
      <c r="G883" s="81"/>
      <c r="H883" s="81"/>
      <c r="I883" s="81"/>
      <c r="J883" s="81"/>
      <c r="K883" s="81"/>
      <c r="L883" s="81"/>
      <c r="M883" s="81"/>
      <c r="N883" s="81"/>
      <c r="O883" s="81"/>
      <c r="P883" s="81"/>
      <c r="Q883" s="81"/>
      <c r="R883" s="81"/>
      <c r="S883" s="81"/>
      <c r="T883" s="81"/>
      <c r="U883" s="81"/>
      <c r="V883" s="81"/>
      <c r="W883" s="81"/>
      <c r="X883" s="81"/>
      <c r="Y883" s="81"/>
      <c r="Z883" s="81"/>
      <c r="AA883" s="80"/>
      <c r="AB883" s="80"/>
      <c r="AC883" s="81"/>
      <c r="AD883" s="81"/>
      <c r="AE883" s="81"/>
      <c r="AF883" s="81"/>
    </row>
    <row r="884" ht="15.75" customHeight="1">
      <c r="A884" s="81"/>
      <c r="B884" s="180"/>
      <c r="C884" s="181"/>
      <c r="D884" s="81"/>
      <c r="E884" s="81"/>
      <c r="F884" s="81"/>
      <c r="G884" s="81"/>
      <c r="H884" s="81"/>
      <c r="I884" s="81"/>
      <c r="J884" s="81"/>
      <c r="K884" s="81"/>
      <c r="L884" s="81"/>
      <c r="M884" s="81"/>
      <c r="N884" s="81"/>
      <c r="O884" s="81"/>
      <c r="P884" s="81"/>
      <c r="Q884" s="81"/>
      <c r="R884" s="81"/>
      <c r="S884" s="81"/>
      <c r="T884" s="81"/>
      <c r="U884" s="81"/>
      <c r="V884" s="81"/>
      <c r="W884" s="81"/>
      <c r="X884" s="81"/>
      <c r="Y884" s="81"/>
      <c r="Z884" s="81"/>
      <c r="AA884" s="80"/>
      <c r="AB884" s="80"/>
      <c r="AC884" s="81"/>
      <c r="AD884" s="81"/>
      <c r="AE884" s="81"/>
      <c r="AF884" s="81"/>
    </row>
    <row r="885" ht="15.75" customHeight="1">
      <c r="A885" s="81"/>
      <c r="B885" s="180"/>
      <c r="C885" s="181"/>
      <c r="D885" s="81"/>
      <c r="E885" s="81"/>
      <c r="F885" s="81"/>
      <c r="G885" s="81"/>
      <c r="H885" s="81"/>
      <c r="I885" s="81"/>
      <c r="J885" s="81"/>
      <c r="K885" s="81"/>
      <c r="L885" s="81"/>
      <c r="M885" s="81"/>
      <c r="N885" s="81"/>
      <c r="O885" s="81"/>
      <c r="P885" s="81"/>
      <c r="Q885" s="81"/>
      <c r="R885" s="81"/>
      <c r="S885" s="81"/>
      <c r="T885" s="81"/>
      <c r="U885" s="81"/>
      <c r="V885" s="81"/>
      <c r="W885" s="81"/>
      <c r="X885" s="81"/>
      <c r="Y885" s="81"/>
      <c r="Z885" s="81"/>
      <c r="AA885" s="80"/>
      <c r="AB885" s="80"/>
      <c r="AC885" s="81"/>
      <c r="AD885" s="81"/>
      <c r="AE885" s="81"/>
      <c r="AF885" s="81"/>
    </row>
    <row r="886" ht="15.75" customHeight="1">
      <c r="A886" s="81"/>
      <c r="B886" s="180"/>
      <c r="C886" s="181"/>
      <c r="D886" s="81"/>
      <c r="E886" s="81"/>
      <c r="F886" s="81"/>
      <c r="G886" s="81"/>
      <c r="H886" s="81"/>
      <c r="I886" s="81"/>
      <c r="J886" s="81"/>
      <c r="K886" s="81"/>
      <c r="L886" s="81"/>
      <c r="M886" s="81"/>
      <c r="N886" s="81"/>
      <c r="O886" s="81"/>
      <c r="P886" s="81"/>
      <c r="Q886" s="81"/>
      <c r="R886" s="81"/>
      <c r="S886" s="81"/>
      <c r="T886" s="81"/>
      <c r="U886" s="81"/>
      <c r="V886" s="81"/>
      <c r="W886" s="81"/>
      <c r="X886" s="81"/>
      <c r="Y886" s="81"/>
      <c r="Z886" s="81"/>
      <c r="AA886" s="80"/>
      <c r="AB886" s="80"/>
      <c r="AC886" s="81"/>
      <c r="AD886" s="81"/>
      <c r="AE886" s="81"/>
      <c r="AF886" s="81"/>
    </row>
    <row r="887" ht="15.75" customHeight="1">
      <c r="A887" s="81"/>
      <c r="B887" s="180"/>
      <c r="C887" s="181"/>
      <c r="D887" s="81"/>
      <c r="E887" s="81"/>
      <c r="F887" s="81"/>
      <c r="G887" s="81"/>
      <c r="H887" s="81"/>
      <c r="I887" s="81"/>
      <c r="J887" s="81"/>
      <c r="K887" s="81"/>
      <c r="L887" s="81"/>
      <c r="M887" s="81"/>
      <c r="N887" s="81"/>
      <c r="O887" s="81"/>
      <c r="P887" s="81"/>
      <c r="Q887" s="81"/>
      <c r="R887" s="81"/>
      <c r="S887" s="81"/>
      <c r="T887" s="81"/>
      <c r="U887" s="81"/>
      <c r="V887" s="81"/>
      <c r="W887" s="81"/>
      <c r="X887" s="81"/>
      <c r="Y887" s="81"/>
      <c r="Z887" s="81"/>
      <c r="AA887" s="80"/>
      <c r="AB887" s="80"/>
      <c r="AC887" s="81"/>
      <c r="AD887" s="81"/>
      <c r="AE887" s="81"/>
      <c r="AF887" s="81"/>
    </row>
    <row r="888" ht="15.75" customHeight="1">
      <c r="A888" s="81"/>
      <c r="B888" s="180"/>
      <c r="C888" s="181"/>
      <c r="D888" s="81"/>
      <c r="E888" s="81"/>
      <c r="F888" s="81"/>
      <c r="G888" s="81"/>
      <c r="H888" s="81"/>
      <c r="I888" s="81"/>
      <c r="J888" s="81"/>
      <c r="K888" s="81"/>
      <c r="L888" s="81"/>
      <c r="M888" s="81"/>
      <c r="N888" s="81"/>
      <c r="O888" s="81"/>
      <c r="P888" s="81"/>
      <c r="Q888" s="81"/>
      <c r="R888" s="81"/>
      <c r="S888" s="81"/>
      <c r="T888" s="81"/>
      <c r="U888" s="81"/>
      <c r="V888" s="81"/>
      <c r="W888" s="81"/>
      <c r="X888" s="81"/>
      <c r="Y888" s="81"/>
      <c r="Z888" s="81"/>
      <c r="AA888" s="80"/>
      <c r="AB888" s="80"/>
      <c r="AC888" s="81"/>
      <c r="AD888" s="81"/>
      <c r="AE888" s="81"/>
      <c r="AF888" s="81"/>
    </row>
    <row r="889" ht="15.75" customHeight="1">
      <c r="A889" s="81"/>
      <c r="B889" s="180"/>
      <c r="C889" s="181"/>
      <c r="D889" s="81"/>
      <c r="E889" s="81"/>
      <c r="F889" s="81"/>
      <c r="G889" s="81"/>
      <c r="H889" s="81"/>
      <c r="I889" s="81"/>
      <c r="J889" s="81"/>
      <c r="K889" s="81"/>
      <c r="L889" s="81"/>
      <c r="M889" s="81"/>
      <c r="N889" s="81"/>
      <c r="O889" s="81"/>
      <c r="P889" s="81"/>
      <c r="Q889" s="81"/>
      <c r="R889" s="81"/>
      <c r="S889" s="81"/>
      <c r="T889" s="81"/>
      <c r="U889" s="81"/>
      <c r="V889" s="81"/>
      <c r="W889" s="81"/>
      <c r="X889" s="81"/>
      <c r="Y889" s="81"/>
      <c r="Z889" s="81"/>
      <c r="AA889" s="80"/>
      <c r="AB889" s="80"/>
      <c r="AC889" s="81"/>
      <c r="AD889" s="81"/>
      <c r="AE889" s="81"/>
      <c r="AF889" s="81"/>
    </row>
    <row r="890" ht="15.75" customHeight="1">
      <c r="A890" s="81"/>
      <c r="B890" s="180"/>
      <c r="C890" s="181"/>
      <c r="D890" s="81"/>
      <c r="E890" s="81"/>
      <c r="F890" s="81"/>
      <c r="G890" s="81"/>
      <c r="H890" s="81"/>
      <c r="I890" s="81"/>
      <c r="J890" s="81"/>
      <c r="K890" s="81"/>
      <c r="L890" s="81"/>
      <c r="M890" s="81"/>
      <c r="N890" s="81"/>
      <c r="O890" s="81"/>
      <c r="P890" s="81"/>
      <c r="Q890" s="81"/>
      <c r="R890" s="81"/>
      <c r="S890" s="81"/>
      <c r="T890" s="81"/>
      <c r="U890" s="81"/>
      <c r="V890" s="81"/>
      <c r="W890" s="81"/>
      <c r="X890" s="81"/>
      <c r="Y890" s="81"/>
      <c r="Z890" s="81"/>
      <c r="AA890" s="80"/>
      <c r="AB890" s="80"/>
      <c r="AC890" s="81"/>
      <c r="AD890" s="81"/>
      <c r="AE890" s="81"/>
      <c r="AF890" s="81"/>
    </row>
    <row r="891" ht="15.75" customHeight="1">
      <c r="A891" s="81"/>
      <c r="B891" s="180"/>
      <c r="C891" s="181"/>
      <c r="D891" s="81"/>
      <c r="E891" s="81"/>
      <c r="F891" s="81"/>
      <c r="G891" s="81"/>
      <c r="H891" s="81"/>
      <c r="I891" s="81"/>
      <c r="J891" s="81"/>
      <c r="K891" s="81"/>
      <c r="L891" s="81"/>
      <c r="M891" s="81"/>
      <c r="N891" s="81"/>
      <c r="O891" s="81"/>
      <c r="P891" s="81"/>
      <c r="Q891" s="81"/>
      <c r="R891" s="81"/>
      <c r="S891" s="81"/>
      <c r="T891" s="81"/>
      <c r="U891" s="81"/>
      <c r="V891" s="81"/>
      <c r="W891" s="81"/>
      <c r="X891" s="81"/>
      <c r="Y891" s="81"/>
      <c r="Z891" s="81"/>
      <c r="AA891" s="80"/>
      <c r="AB891" s="80"/>
      <c r="AC891" s="81"/>
      <c r="AD891" s="81"/>
      <c r="AE891" s="81"/>
      <c r="AF891" s="81"/>
    </row>
    <row r="892" ht="15.75" customHeight="1">
      <c r="A892" s="81"/>
      <c r="B892" s="180"/>
      <c r="C892" s="181"/>
      <c r="D892" s="81"/>
      <c r="E892" s="81"/>
      <c r="F892" s="81"/>
      <c r="G892" s="81"/>
      <c r="H892" s="81"/>
      <c r="I892" s="81"/>
      <c r="J892" s="81"/>
      <c r="K892" s="81"/>
      <c r="L892" s="81"/>
      <c r="M892" s="81"/>
      <c r="N892" s="81"/>
      <c r="O892" s="81"/>
      <c r="P892" s="81"/>
      <c r="Q892" s="81"/>
      <c r="R892" s="81"/>
      <c r="S892" s="81"/>
      <c r="T892" s="81"/>
      <c r="U892" s="81"/>
      <c r="V892" s="81"/>
      <c r="W892" s="81"/>
      <c r="X892" s="81"/>
      <c r="Y892" s="81"/>
      <c r="Z892" s="81"/>
      <c r="AA892" s="80"/>
      <c r="AB892" s="80"/>
      <c r="AC892" s="81"/>
      <c r="AD892" s="81"/>
      <c r="AE892" s="81"/>
      <c r="AF892" s="81"/>
    </row>
    <row r="893" ht="15.75" customHeight="1">
      <c r="A893" s="81"/>
      <c r="B893" s="180"/>
      <c r="C893" s="181"/>
      <c r="D893" s="81"/>
      <c r="E893" s="81"/>
      <c r="F893" s="81"/>
      <c r="G893" s="81"/>
      <c r="H893" s="81"/>
      <c r="I893" s="81"/>
      <c r="J893" s="81"/>
      <c r="K893" s="81"/>
      <c r="L893" s="81"/>
      <c r="M893" s="81"/>
      <c r="N893" s="81"/>
      <c r="O893" s="81"/>
      <c r="P893" s="81"/>
      <c r="Q893" s="81"/>
      <c r="R893" s="81"/>
      <c r="S893" s="81"/>
      <c r="T893" s="81"/>
      <c r="U893" s="81"/>
      <c r="V893" s="81"/>
      <c r="W893" s="81"/>
      <c r="X893" s="81"/>
      <c r="Y893" s="81"/>
      <c r="Z893" s="81"/>
      <c r="AA893" s="80"/>
      <c r="AB893" s="80"/>
      <c r="AC893" s="81"/>
      <c r="AD893" s="81"/>
      <c r="AE893" s="81"/>
      <c r="AF893" s="81"/>
    </row>
    <row r="894" ht="15.75" customHeight="1">
      <c r="A894" s="81"/>
      <c r="B894" s="180"/>
      <c r="C894" s="181"/>
      <c r="D894" s="81"/>
      <c r="E894" s="81"/>
      <c r="F894" s="81"/>
      <c r="G894" s="81"/>
      <c r="H894" s="81"/>
      <c r="I894" s="81"/>
      <c r="J894" s="81"/>
      <c r="K894" s="81"/>
      <c r="L894" s="81"/>
      <c r="M894" s="81"/>
      <c r="N894" s="81"/>
      <c r="O894" s="81"/>
      <c r="P894" s="81"/>
      <c r="Q894" s="81"/>
      <c r="R894" s="81"/>
      <c r="S894" s="81"/>
      <c r="T894" s="81"/>
      <c r="U894" s="81"/>
      <c r="V894" s="81"/>
      <c r="W894" s="81"/>
      <c r="X894" s="81"/>
      <c r="Y894" s="81"/>
      <c r="Z894" s="81"/>
      <c r="AA894" s="80"/>
      <c r="AB894" s="80"/>
      <c r="AC894" s="81"/>
      <c r="AD894" s="81"/>
      <c r="AE894" s="81"/>
      <c r="AF894" s="81"/>
    </row>
    <row r="895" ht="15.75" customHeight="1">
      <c r="A895" s="81"/>
      <c r="B895" s="180"/>
      <c r="C895" s="181"/>
      <c r="D895" s="81"/>
      <c r="E895" s="81"/>
      <c r="F895" s="81"/>
      <c r="G895" s="81"/>
      <c r="H895" s="81"/>
      <c r="I895" s="81"/>
      <c r="J895" s="81"/>
      <c r="K895" s="81"/>
      <c r="L895" s="81"/>
      <c r="M895" s="81"/>
      <c r="N895" s="81"/>
      <c r="O895" s="81"/>
      <c r="P895" s="81"/>
      <c r="Q895" s="81"/>
      <c r="R895" s="81"/>
      <c r="S895" s="81"/>
      <c r="T895" s="81"/>
      <c r="U895" s="81"/>
      <c r="V895" s="81"/>
      <c r="W895" s="81"/>
      <c r="X895" s="81"/>
      <c r="Y895" s="81"/>
      <c r="Z895" s="81"/>
      <c r="AA895" s="80"/>
      <c r="AB895" s="80"/>
      <c r="AC895" s="81"/>
      <c r="AD895" s="81"/>
      <c r="AE895" s="81"/>
      <c r="AF895" s="81"/>
    </row>
    <row r="896" ht="15.75" customHeight="1">
      <c r="A896" s="81"/>
      <c r="B896" s="180"/>
      <c r="C896" s="181"/>
      <c r="D896" s="81"/>
      <c r="E896" s="81"/>
      <c r="F896" s="81"/>
      <c r="G896" s="81"/>
      <c r="H896" s="81"/>
      <c r="I896" s="81"/>
      <c r="J896" s="81"/>
      <c r="K896" s="81"/>
      <c r="L896" s="81"/>
      <c r="M896" s="81"/>
      <c r="N896" s="81"/>
      <c r="O896" s="81"/>
      <c r="P896" s="81"/>
      <c r="Q896" s="81"/>
      <c r="R896" s="81"/>
      <c r="S896" s="81"/>
      <c r="T896" s="81"/>
      <c r="U896" s="81"/>
      <c r="V896" s="81"/>
      <c r="W896" s="81"/>
      <c r="X896" s="81"/>
      <c r="Y896" s="81"/>
      <c r="Z896" s="81"/>
      <c r="AA896" s="80"/>
      <c r="AB896" s="80"/>
      <c r="AC896" s="81"/>
      <c r="AD896" s="81"/>
      <c r="AE896" s="81"/>
      <c r="AF896" s="81"/>
    </row>
    <row r="897" ht="15.75" customHeight="1">
      <c r="A897" s="81"/>
      <c r="B897" s="180"/>
      <c r="C897" s="181"/>
      <c r="D897" s="81"/>
      <c r="E897" s="81"/>
      <c r="F897" s="81"/>
      <c r="G897" s="81"/>
      <c r="H897" s="81"/>
      <c r="I897" s="81"/>
      <c r="J897" s="81"/>
      <c r="K897" s="81"/>
      <c r="L897" s="81"/>
      <c r="M897" s="81"/>
      <c r="N897" s="81"/>
      <c r="O897" s="81"/>
      <c r="P897" s="81"/>
      <c r="Q897" s="81"/>
      <c r="R897" s="81"/>
      <c r="S897" s="81"/>
      <c r="T897" s="81"/>
      <c r="U897" s="81"/>
      <c r="V897" s="81"/>
      <c r="W897" s="81"/>
      <c r="X897" s="81"/>
      <c r="Y897" s="81"/>
      <c r="Z897" s="81"/>
      <c r="AA897" s="80"/>
      <c r="AB897" s="80"/>
      <c r="AC897" s="81"/>
      <c r="AD897" s="81"/>
      <c r="AE897" s="81"/>
      <c r="AF897" s="81"/>
    </row>
    <row r="898" ht="15.75" customHeight="1">
      <c r="A898" s="81"/>
      <c r="B898" s="180"/>
      <c r="C898" s="181"/>
      <c r="D898" s="81"/>
      <c r="E898" s="81"/>
      <c r="F898" s="81"/>
      <c r="G898" s="81"/>
      <c r="H898" s="81"/>
      <c r="I898" s="81"/>
      <c r="J898" s="81"/>
      <c r="K898" s="81"/>
      <c r="L898" s="81"/>
      <c r="M898" s="81"/>
      <c r="N898" s="81"/>
      <c r="O898" s="81"/>
      <c r="P898" s="81"/>
      <c r="Q898" s="81"/>
      <c r="R898" s="81"/>
      <c r="S898" s="81"/>
      <c r="T898" s="81"/>
      <c r="U898" s="81"/>
      <c r="V898" s="81"/>
      <c r="W898" s="81"/>
      <c r="X898" s="81"/>
      <c r="Y898" s="81"/>
      <c r="Z898" s="81"/>
      <c r="AA898" s="80"/>
      <c r="AB898" s="80"/>
      <c r="AC898" s="81"/>
      <c r="AD898" s="81"/>
      <c r="AE898" s="81"/>
      <c r="AF898" s="81"/>
    </row>
    <row r="899" ht="15.75" customHeight="1">
      <c r="A899" s="81"/>
      <c r="B899" s="180"/>
      <c r="C899" s="181"/>
      <c r="D899" s="81"/>
      <c r="E899" s="81"/>
      <c r="F899" s="81"/>
      <c r="G899" s="81"/>
      <c r="H899" s="81"/>
      <c r="I899" s="81"/>
      <c r="J899" s="81"/>
      <c r="K899" s="81"/>
      <c r="L899" s="81"/>
      <c r="M899" s="81"/>
      <c r="N899" s="81"/>
      <c r="O899" s="81"/>
      <c r="P899" s="81"/>
      <c r="Q899" s="81"/>
      <c r="R899" s="81"/>
      <c r="S899" s="81"/>
      <c r="T899" s="81"/>
      <c r="U899" s="81"/>
      <c r="V899" s="81"/>
      <c r="W899" s="81"/>
      <c r="X899" s="81"/>
      <c r="Y899" s="81"/>
      <c r="Z899" s="81"/>
      <c r="AA899" s="80"/>
      <c r="AB899" s="80"/>
      <c r="AC899" s="81"/>
      <c r="AD899" s="81"/>
      <c r="AE899" s="81"/>
      <c r="AF899" s="81"/>
    </row>
    <row r="900" ht="15.75" customHeight="1">
      <c r="A900" s="81"/>
      <c r="B900" s="180"/>
      <c r="C900" s="1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0"/>
      <c r="AB900" s="80"/>
      <c r="AC900" s="81"/>
      <c r="AD900" s="81"/>
      <c r="AE900" s="81"/>
      <c r="AF900" s="81"/>
    </row>
    <row r="901" ht="15.75" customHeight="1">
      <c r="A901" s="81"/>
      <c r="B901" s="180"/>
      <c r="C901" s="1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0"/>
      <c r="AB901" s="80"/>
      <c r="AC901" s="81"/>
      <c r="AD901" s="81"/>
      <c r="AE901" s="81"/>
      <c r="AF901" s="81"/>
    </row>
    <row r="902" ht="15.75" customHeight="1">
      <c r="A902" s="81"/>
      <c r="B902" s="180"/>
      <c r="C902" s="1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0"/>
      <c r="AB902" s="80"/>
      <c r="AC902" s="81"/>
      <c r="AD902" s="81"/>
      <c r="AE902" s="81"/>
      <c r="AF902" s="81"/>
    </row>
    <row r="903" ht="15.75" customHeight="1">
      <c r="A903" s="81"/>
      <c r="B903" s="180"/>
      <c r="C903" s="1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0"/>
      <c r="AB903" s="80"/>
      <c r="AC903" s="81"/>
      <c r="AD903" s="81"/>
      <c r="AE903" s="81"/>
      <c r="AF903" s="81"/>
    </row>
    <row r="904" ht="15.75" customHeight="1">
      <c r="A904" s="81"/>
      <c r="B904" s="180"/>
      <c r="C904" s="1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0"/>
      <c r="AB904" s="80"/>
      <c r="AC904" s="81"/>
      <c r="AD904" s="81"/>
      <c r="AE904" s="81"/>
      <c r="AF904" s="81"/>
    </row>
    <row r="905" ht="15.75" customHeight="1">
      <c r="A905" s="81"/>
      <c r="B905" s="180"/>
      <c r="C905" s="1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0"/>
      <c r="AB905" s="80"/>
      <c r="AC905" s="81"/>
      <c r="AD905" s="81"/>
      <c r="AE905" s="81"/>
      <c r="AF905" s="81"/>
    </row>
    <row r="906" ht="15.75" customHeight="1">
      <c r="A906" s="81"/>
      <c r="B906" s="180"/>
      <c r="C906" s="1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0"/>
      <c r="AB906" s="80"/>
      <c r="AC906" s="81"/>
      <c r="AD906" s="81"/>
      <c r="AE906" s="81"/>
      <c r="AF906" s="81"/>
    </row>
    <row r="907" ht="15.75" customHeight="1">
      <c r="A907" s="81"/>
      <c r="B907" s="180"/>
      <c r="C907" s="1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0"/>
      <c r="AB907" s="80"/>
      <c r="AC907" s="81"/>
      <c r="AD907" s="81"/>
      <c r="AE907" s="81"/>
      <c r="AF907" s="81"/>
    </row>
    <row r="908" ht="15.75" customHeight="1">
      <c r="A908" s="81"/>
      <c r="B908" s="180"/>
      <c r="C908" s="1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0"/>
      <c r="AB908" s="80"/>
      <c r="AC908" s="81"/>
      <c r="AD908" s="81"/>
      <c r="AE908" s="81"/>
      <c r="AF908" s="81"/>
    </row>
    <row r="909" ht="15.75" customHeight="1">
      <c r="A909" s="81"/>
      <c r="B909" s="180"/>
      <c r="C909" s="1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0"/>
      <c r="AB909" s="80"/>
      <c r="AC909" s="81"/>
      <c r="AD909" s="81"/>
      <c r="AE909" s="81"/>
      <c r="AF909" s="81"/>
    </row>
    <row r="910" ht="15.75" customHeight="1">
      <c r="A910" s="81"/>
      <c r="B910" s="180"/>
      <c r="C910" s="1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0"/>
      <c r="AB910" s="80"/>
      <c r="AC910" s="81"/>
      <c r="AD910" s="81"/>
      <c r="AE910" s="81"/>
      <c r="AF910" s="81"/>
    </row>
    <row r="911" ht="15.75" customHeight="1">
      <c r="A911" s="81"/>
      <c r="B911" s="180"/>
      <c r="C911" s="1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0"/>
      <c r="AB911" s="80"/>
      <c r="AC911" s="81"/>
      <c r="AD911" s="81"/>
      <c r="AE911" s="81"/>
      <c r="AF911" s="81"/>
    </row>
    <row r="912" ht="15.75" customHeight="1">
      <c r="A912" s="81"/>
      <c r="B912" s="180"/>
      <c r="C912" s="1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0"/>
      <c r="AB912" s="80"/>
      <c r="AC912" s="81"/>
      <c r="AD912" s="81"/>
      <c r="AE912" s="81"/>
      <c r="AF912" s="81"/>
    </row>
    <row r="913" ht="15.75" customHeight="1">
      <c r="A913" s="81"/>
      <c r="B913" s="180"/>
      <c r="C913" s="1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0"/>
      <c r="AB913" s="80"/>
      <c r="AC913" s="81"/>
      <c r="AD913" s="81"/>
      <c r="AE913" s="81"/>
      <c r="AF913" s="81"/>
    </row>
    <row r="914" ht="15.75" customHeight="1">
      <c r="A914" s="81"/>
      <c r="B914" s="180"/>
      <c r="C914" s="1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0"/>
      <c r="AB914" s="80"/>
      <c r="AC914" s="81"/>
      <c r="AD914" s="81"/>
      <c r="AE914" s="81"/>
      <c r="AF914" s="81"/>
    </row>
    <row r="915" ht="15.75" customHeight="1">
      <c r="A915" s="81"/>
      <c r="B915" s="180"/>
      <c r="C915" s="1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0"/>
      <c r="AB915" s="80"/>
      <c r="AC915" s="81"/>
      <c r="AD915" s="81"/>
      <c r="AE915" s="81"/>
      <c r="AF915" s="81"/>
    </row>
    <row r="916" ht="15.75" customHeight="1">
      <c r="A916" s="81"/>
      <c r="B916" s="180"/>
      <c r="C916" s="1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0"/>
      <c r="AB916" s="80"/>
      <c r="AC916" s="81"/>
      <c r="AD916" s="81"/>
      <c r="AE916" s="81"/>
      <c r="AF916" s="81"/>
    </row>
    <row r="917" ht="15.75" customHeight="1">
      <c r="A917" s="81"/>
      <c r="B917" s="180"/>
      <c r="C917" s="1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0"/>
      <c r="AB917" s="80"/>
      <c r="AC917" s="81"/>
      <c r="AD917" s="81"/>
      <c r="AE917" s="81"/>
      <c r="AF917" s="81"/>
    </row>
    <row r="918" ht="15.75" customHeight="1">
      <c r="A918" s="81"/>
      <c r="B918" s="180"/>
      <c r="C918" s="1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0"/>
      <c r="AB918" s="80"/>
      <c r="AC918" s="81"/>
      <c r="AD918" s="81"/>
      <c r="AE918" s="81"/>
      <c r="AF918" s="81"/>
    </row>
    <row r="919" ht="15.75" customHeight="1">
      <c r="A919" s="81"/>
      <c r="B919" s="180"/>
      <c r="C919" s="1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0"/>
      <c r="AB919" s="80"/>
      <c r="AC919" s="81"/>
      <c r="AD919" s="81"/>
      <c r="AE919" s="81"/>
      <c r="AF919" s="81"/>
    </row>
    <row r="920" ht="15.75" customHeight="1">
      <c r="A920" s="81"/>
      <c r="B920" s="180"/>
      <c r="C920" s="1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0"/>
      <c r="AB920" s="80"/>
      <c r="AC920" s="81"/>
      <c r="AD920" s="81"/>
      <c r="AE920" s="81"/>
      <c r="AF920" s="81"/>
    </row>
    <row r="921" ht="15.75" customHeight="1">
      <c r="A921" s="81"/>
      <c r="B921" s="180"/>
      <c r="C921" s="1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0"/>
      <c r="AB921" s="80"/>
      <c r="AC921" s="81"/>
      <c r="AD921" s="81"/>
      <c r="AE921" s="81"/>
      <c r="AF921" s="81"/>
    </row>
    <row r="922" ht="15.75" customHeight="1">
      <c r="A922" s="81"/>
      <c r="B922" s="180"/>
      <c r="C922" s="1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0"/>
      <c r="AB922" s="80"/>
      <c r="AC922" s="81"/>
      <c r="AD922" s="81"/>
      <c r="AE922" s="81"/>
      <c r="AF922" s="81"/>
    </row>
    <row r="923" ht="15.75" customHeight="1">
      <c r="A923" s="81"/>
      <c r="B923" s="180"/>
      <c r="C923" s="181"/>
      <c r="D923" s="81"/>
      <c r="E923" s="81"/>
      <c r="F923" s="81"/>
      <c r="G923" s="81"/>
      <c r="H923" s="81"/>
      <c r="I923" s="81"/>
      <c r="J923" s="81"/>
      <c r="K923" s="81"/>
      <c r="L923" s="81"/>
      <c r="M923" s="81"/>
      <c r="N923" s="81"/>
      <c r="O923" s="81"/>
      <c r="P923" s="81"/>
      <c r="Q923" s="81"/>
      <c r="R923" s="81"/>
      <c r="S923" s="81"/>
      <c r="T923" s="81"/>
      <c r="U923" s="81"/>
      <c r="V923" s="81"/>
      <c r="W923" s="81"/>
      <c r="X923" s="81"/>
      <c r="Y923" s="81"/>
      <c r="Z923" s="81"/>
      <c r="AA923" s="80"/>
      <c r="AB923" s="80"/>
      <c r="AC923" s="81"/>
      <c r="AD923" s="81"/>
      <c r="AE923" s="81"/>
      <c r="AF923" s="81"/>
    </row>
    <row r="924" ht="15.75" customHeight="1">
      <c r="A924" s="81"/>
      <c r="B924" s="180"/>
      <c r="C924" s="181"/>
      <c r="D924" s="81"/>
      <c r="E924" s="81"/>
      <c r="F924" s="81"/>
      <c r="G924" s="81"/>
      <c r="H924" s="81"/>
      <c r="I924" s="81"/>
      <c r="J924" s="81"/>
      <c r="K924" s="81"/>
      <c r="L924" s="81"/>
      <c r="M924" s="81"/>
      <c r="N924" s="81"/>
      <c r="O924" s="81"/>
      <c r="P924" s="81"/>
      <c r="Q924" s="81"/>
      <c r="R924" s="81"/>
      <c r="S924" s="81"/>
      <c r="T924" s="81"/>
      <c r="U924" s="81"/>
      <c r="V924" s="81"/>
      <c r="W924" s="81"/>
      <c r="X924" s="81"/>
      <c r="Y924" s="81"/>
      <c r="Z924" s="81"/>
      <c r="AA924" s="80"/>
      <c r="AB924" s="80"/>
      <c r="AC924" s="81"/>
      <c r="AD924" s="81"/>
      <c r="AE924" s="81"/>
      <c r="AF924" s="81"/>
    </row>
    <row r="925" ht="15.75" customHeight="1">
      <c r="A925" s="81"/>
      <c r="B925" s="180"/>
      <c r="C925" s="181"/>
      <c r="D925" s="81"/>
      <c r="E925" s="81"/>
      <c r="F925" s="81"/>
      <c r="G925" s="81"/>
      <c r="H925" s="81"/>
      <c r="I925" s="81"/>
      <c r="J925" s="81"/>
      <c r="K925" s="81"/>
      <c r="L925" s="81"/>
      <c r="M925" s="81"/>
      <c r="N925" s="81"/>
      <c r="O925" s="81"/>
      <c r="P925" s="81"/>
      <c r="Q925" s="81"/>
      <c r="R925" s="81"/>
      <c r="S925" s="81"/>
      <c r="T925" s="81"/>
      <c r="U925" s="81"/>
      <c r="V925" s="81"/>
      <c r="W925" s="81"/>
      <c r="X925" s="81"/>
      <c r="Y925" s="81"/>
      <c r="Z925" s="81"/>
      <c r="AA925" s="80"/>
      <c r="AB925" s="80"/>
      <c r="AC925" s="81"/>
      <c r="AD925" s="81"/>
      <c r="AE925" s="81"/>
      <c r="AF925" s="81"/>
    </row>
    <row r="926" ht="15.75" customHeight="1">
      <c r="A926" s="81"/>
      <c r="B926" s="180"/>
      <c r="C926" s="181"/>
      <c r="D926" s="81"/>
      <c r="E926" s="81"/>
      <c r="F926" s="81"/>
      <c r="G926" s="81"/>
      <c r="H926" s="81"/>
      <c r="I926" s="81"/>
      <c r="J926" s="81"/>
      <c r="K926" s="81"/>
      <c r="L926" s="81"/>
      <c r="M926" s="81"/>
      <c r="N926" s="81"/>
      <c r="O926" s="81"/>
      <c r="P926" s="81"/>
      <c r="Q926" s="81"/>
      <c r="R926" s="81"/>
      <c r="S926" s="81"/>
      <c r="T926" s="81"/>
      <c r="U926" s="81"/>
      <c r="V926" s="81"/>
      <c r="W926" s="81"/>
      <c r="X926" s="81"/>
      <c r="Y926" s="81"/>
      <c r="Z926" s="81"/>
      <c r="AA926" s="80"/>
      <c r="AB926" s="80"/>
      <c r="AC926" s="81"/>
      <c r="AD926" s="81"/>
      <c r="AE926" s="81"/>
      <c r="AF926" s="81"/>
    </row>
    <row r="927" ht="15.75" customHeight="1">
      <c r="A927" s="81"/>
      <c r="B927" s="180"/>
      <c r="C927" s="181"/>
      <c r="D927" s="81"/>
      <c r="E927" s="81"/>
      <c r="F927" s="81"/>
      <c r="G927" s="81"/>
      <c r="H927" s="81"/>
      <c r="I927" s="81"/>
      <c r="J927" s="81"/>
      <c r="K927" s="81"/>
      <c r="L927" s="81"/>
      <c r="M927" s="81"/>
      <c r="N927" s="81"/>
      <c r="O927" s="81"/>
      <c r="P927" s="81"/>
      <c r="Q927" s="81"/>
      <c r="R927" s="81"/>
      <c r="S927" s="81"/>
      <c r="T927" s="81"/>
      <c r="U927" s="81"/>
      <c r="V927" s="81"/>
      <c r="W927" s="81"/>
      <c r="X927" s="81"/>
      <c r="Y927" s="81"/>
      <c r="Z927" s="81"/>
      <c r="AA927" s="80"/>
      <c r="AB927" s="80"/>
      <c r="AC927" s="81"/>
      <c r="AD927" s="81"/>
      <c r="AE927" s="81"/>
      <c r="AF927" s="81"/>
    </row>
    <row r="928" ht="15.75" customHeight="1">
      <c r="A928" s="81"/>
      <c r="B928" s="180"/>
      <c r="C928" s="181"/>
      <c r="D928" s="81"/>
      <c r="E928" s="81"/>
      <c r="F928" s="81"/>
      <c r="G928" s="81"/>
      <c r="H928" s="81"/>
      <c r="I928" s="81"/>
      <c r="J928" s="81"/>
      <c r="K928" s="81"/>
      <c r="L928" s="81"/>
      <c r="M928" s="81"/>
      <c r="N928" s="81"/>
      <c r="O928" s="81"/>
      <c r="P928" s="81"/>
      <c r="Q928" s="81"/>
      <c r="R928" s="81"/>
      <c r="S928" s="81"/>
      <c r="T928" s="81"/>
      <c r="U928" s="81"/>
      <c r="V928" s="81"/>
      <c r="W928" s="81"/>
      <c r="X928" s="81"/>
      <c r="Y928" s="81"/>
      <c r="Z928" s="81"/>
      <c r="AA928" s="80"/>
      <c r="AB928" s="80"/>
      <c r="AC928" s="81"/>
      <c r="AD928" s="81"/>
      <c r="AE928" s="81"/>
      <c r="AF928" s="81"/>
    </row>
    <row r="929" ht="15.75" customHeight="1">
      <c r="A929" s="81"/>
      <c r="B929" s="180"/>
      <c r="C929" s="181"/>
      <c r="D929" s="81"/>
      <c r="E929" s="81"/>
      <c r="F929" s="81"/>
      <c r="G929" s="81"/>
      <c r="H929" s="81"/>
      <c r="I929" s="81"/>
      <c r="J929" s="81"/>
      <c r="K929" s="81"/>
      <c r="L929" s="81"/>
      <c r="M929" s="81"/>
      <c r="N929" s="81"/>
      <c r="O929" s="81"/>
      <c r="P929" s="81"/>
      <c r="Q929" s="81"/>
      <c r="R929" s="81"/>
      <c r="S929" s="81"/>
      <c r="T929" s="81"/>
      <c r="U929" s="81"/>
      <c r="V929" s="81"/>
      <c r="W929" s="81"/>
      <c r="X929" s="81"/>
      <c r="Y929" s="81"/>
      <c r="Z929" s="81"/>
      <c r="AA929" s="80"/>
      <c r="AB929" s="80"/>
      <c r="AC929" s="81"/>
      <c r="AD929" s="81"/>
      <c r="AE929" s="81"/>
      <c r="AF929" s="81"/>
    </row>
    <row r="930" ht="15.75" customHeight="1">
      <c r="A930" s="81"/>
      <c r="B930" s="180"/>
      <c r="C930" s="181"/>
      <c r="D930" s="81"/>
      <c r="E930" s="81"/>
      <c r="F930" s="81"/>
      <c r="G930" s="81"/>
      <c r="H930" s="81"/>
      <c r="I930" s="81"/>
      <c r="J930" s="81"/>
      <c r="K930" s="81"/>
      <c r="L930" s="81"/>
      <c r="M930" s="81"/>
      <c r="N930" s="81"/>
      <c r="O930" s="81"/>
      <c r="P930" s="81"/>
      <c r="Q930" s="81"/>
      <c r="R930" s="81"/>
      <c r="S930" s="81"/>
      <c r="T930" s="81"/>
      <c r="U930" s="81"/>
      <c r="V930" s="81"/>
      <c r="W930" s="81"/>
      <c r="X930" s="81"/>
      <c r="Y930" s="81"/>
      <c r="Z930" s="81"/>
      <c r="AA930" s="80"/>
      <c r="AB930" s="80"/>
      <c r="AC930" s="81"/>
      <c r="AD930" s="81"/>
      <c r="AE930" s="81"/>
      <c r="AF930" s="81"/>
    </row>
    <row r="931" ht="15.75" customHeight="1">
      <c r="A931" s="81"/>
      <c r="B931" s="180"/>
      <c r="C931" s="181"/>
      <c r="D931" s="81"/>
      <c r="E931" s="81"/>
      <c r="F931" s="81"/>
      <c r="G931" s="81"/>
      <c r="H931" s="81"/>
      <c r="I931" s="81"/>
      <c r="J931" s="81"/>
      <c r="K931" s="81"/>
      <c r="L931" s="81"/>
      <c r="M931" s="81"/>
      <c r="N931" s="81"/>
      <c r="O931" s="81"/>
      <c r="P931" s="81"/>
      <c r="Q931" s="81"/>
      <c r="R931" s="81"/>
      <c r="S931" s="81"/>
      <c r="T931" s="81"/>
      <c r="U931" s="81"/>
      <c r="V931" s="81"/>
      <c r="W931" s="81"/>
      <c r="X931" s="81"/>
      <c r="Y931" s="81"/>
      <c r="Z931" s="81"/>
      <c r="AA931" s="80"/>
      <c r="AB931" s="80"/>
      <c r="AC931" s="81"/>
      <c r="AD931" s="81"/>
      <c r="AE931" s="81"/>
      <c r="AF931" s="81"/>
    </row>
    <row r="932" ht="15.75" customHeight="1">
      <c r="A932" s="81"/>
      <c r="B932" s="180"/>
      <c r="C932" s="181"/>
      <c r="D932" s="81"/>
      <c r="E932" s="81"/>
      <c r="F932" s="81"/>
      <c r="G932" s="81"/>
      <c r="H932" s="81"/>
      <c r="I932" s="81"/>
      <c r="J932" s="81"/>
      <c r="K932" s="81"/>
      <c r="L932" s="81"/>
      <c r="M932" s="81"/>
      <c r="N932" s="81"/>
      <c r="O932" s="81"/>
      <c r="P932" s="81"/>
      <c r="Q932" s="81"/>
      <c r="R932" s="81"/>
      <c r="S932" s="81"/>
      <c r="T932" s="81"/>
      <c r="U932" s="81"/>
      <c r="V932" s="81"/>
      <c r="W932" s="81"/>
      <c r="X932" s="81"/>
      <c r="Y932" s="81"/>
      <c r="Z932" s="81"/>
      <c r="AA932" s="80"/>
      <c r="AB932" s="80"/>
      <c r="AC932" s="81"/>
      <c r="AD932" s="81"/>
      <c r="AE932" s="81"/>
      <c r="AF932" s="81"/>
    </row>
    <row r="933" ht="15.75" customHeight="1">
      <c r="A933" s="81"/>
      <c r="B933" s="180"/>
      <c r="C933" s="1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  <c r="R933" s="81"/>
      <c r="S933" s="81"/>
      <c r="T933" s="81"/>
      <c r="U933" s="81"/>
      <c r="V933" s="81"/>
      <c r="W933" s="81"/>
      <c r="X933" s="81"/>
      <c r="Y933" s="81"/>
      <c r="Z933" s="81"/>
      <c r="AA933" s="80"/>
      <c r="AB933" s="80"/>
      <c r="AC933" s="81"/>
      <c r="AD933" s="81"/>
      <c r="AE933" s="81"/>
      <c r="AF933" s="81"/>
    </row>
    <row r="934" ht="15.75" customHeight="1">
      <c r="A934" s="81"/>
      <c r="B934" s="180"/>
      <c r="C934" s="1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  <c r="R934" s="81"/>
      <c r="S934" s="81"/>
      <c r="T934" s="81"/>
      <c r="U934" s="81"/>
      <c r="V934" s="81"/>
      <c r="W934" s="81"/>
      <c r="X934" s="81"/>
      <c r="Y934" s="81"/>
      <c r="Z934" s="81"/>
      <c r="AA934" s="80"/>
      <c r="AB934" s="80"/>
      <c r="AC934" s="81"/>
      <c r="AD934" s="81"/>
      <c r="AE934" s="81"/>
      <c r="AF934" s="81"/>
    </row>
    <row r="935" ht="15.75" customHeight="1">
      <c r="A935" s="81"/>
      <c r="B935" s="180"/>
      <c r="C935" s="1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  <c r="R935" s="81"/>
      <c r="S935" s="81"/>
      <c r="T935" s="81"/>
      <c r="U935" s="81"/>
      <c r="V935" s="81"/>
      <c r="W935" s="81"/>
      <c r="X935" s="81"/>
      <c r="Y935" s="81"/>
      <c r="Z935" s="81"/>
      <c r="AA935" s="80"/>
      <c r="AB935" s="80"/>
      <c r="AC935" s="81"/>
      <c r="AD935" s="81"/>
      <c r="AE935" s="81"/>
      <c r="AF935" s="81"/>
    </row>
    <row r="936" ht="15.75" customHeight="1">
      <c r="A936" s="81"/>
      <c r="B936" s="180"/>
      <c r="C936" s="1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  <c r="R936" s="81"/>
      <c r="S936" s="81"/>
      <c r="T936" s="81"/>
      <c r="U936" s="81"/>
      <c r="V936" s="81"/>
      <c r="W936" s="81"/>
      <c r="X936" s="81"/>
      <c r="Y936" s="81"/>
      <c r="Z936" s="81"/>
      <c r="AA936" s="80"/>
      <c r="AB936" s="80"/>
      <c r="AC936" s="81"/>
      <c r="AD936" s="81"/>
      <c r="AE936" s="81"/>
      <c r="AF936" s="81"/>
    </row>
    <row r="937" ht="15.75" customHeight="1">
      <c r="A937" s="81"/>
      <c r="B937" s="180"/>
      <c r="C937" s="1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  <c r="R937" s="81"/>
      <c r="S937" s="81"/>
      <c r="T937" s="81"/>
      <c r="U937" s="81"/>
      <c r="V937" s="81"/>
      <c r="W937" s="81"/>
      <c r="X937" s="81"/>
      <c r="Y937" s="81"/>
      <c r="Z937" s="81"/>
      <c r="AA937" s="80"/>
      <c r="AB937" s="80"/>
      <c r="AC937" s="81"/>
      <c r="AD937" s="81"/>
      <c r="AE937" s="81"/>
      <c r="AF937" s="81"/>
    </row>
    <row r="938" ht="15.75" customHeight="1">
      <c r="A938" s="81"/>
      <c r="B938" s="180"/>
      <c r="C938" s="1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  <c r="R938" s="81"/>
      <c r="S938" s="81"/>
      <c r="T938" s="81"/>
      <c r="U938" s="81"/>
      <c r="V938" s="81"/>
      <c r="W938" s="81"/>
      <c r="X938" s="81"/>
      <c r="Y938" s="81"/>
      <c r="Z938" s="81"/>
      <c r="AA938" s="80"/>
      <c r="AB938" s="80"/>
      <c r="AC938" s="81"/>
      <c r="AD938" s="81"/>
      <c r="AE938" s="81"/>
      <c r="AF938" s="81"/>
    </row>
    <row r="939" ht="15.75" customHeight="1">
      <c r="A939" s="81"/>
      <c r="B939" s="180"/>
      <c r="C939" s="1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  <c r="R939" s="81"/>
      <c r="S939" s="81"/>
      <c r="T939" s="81"/>
      <c r="U939" s="81"/>
      <c r="V939" s="81"/>
      <c r="W939" s="81"/>
      <c r="X939" s="81"/>
      <c r="Y939" s="81"/>
      <c r="Z939" s="81"/>
      <c r="AA939" s="80"/>
      <c r="AB939" s="80"/>
      <c r="AC939" s="81"/>
      <c r="AD939" s="81"/>
      <c r="AE939" s="81"/>
      <c r="AF939" s="81"/>
    </row>
    <row r="940" ht="15.75" customHeight="1">
      <c r="A940" s="81"/>
      <c r="B940" s="180"/>
      <c r="C940" s="1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  <c r="R940" s="81"/>
      <c r="S940" s="81"/>
      <c r="T940" s="81"/>
      <c r="U940" s="81"/>
      <c r="V940" s="81"/>
      <c r="W940" s="81"/>
      <c r="X940" s="81"/>
      <c r="Y940" s="81"/>
      <c r="Z940" s="81"/>
      <c r="AA940" s="80"/>
      <c r="AB940" s="80"/>
      <c r="AC940" s="81"/>
      <c r="AD940" s="81"/>
      <c r="AE940" s="81"/>
      <c r="AF940" s="81"/>
    </row>
    <row r="941" ht="15.75" customHeight="1">
      <c r="A941" s="81"/>
      <c r="B941" s="180"/>
      <c r="C941" s="1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  <c r="R941" s="81"/>
      <c r="S941" s="81"/>
      <c r="T941" s="81"/>
      <c r="U941" s="81"/>
      <c r="V941" s="81"/>
      <c r="W941" s="81"/>
      <c r="X941" s="81"/>
      <c r="Y941" s="81"/>
      <c r="Z941" s="81"/>
      <c r="AA941" s="80"/>
      <c r="AB941" s="80"/>
      <c r="AC941" s="81"/>
      <c r="AD941" s="81"/>
      <c r="AE941" s="81"/>
      <c r="AF941" s="81"/>
    </row>
    <row r="942" ht="15.75" customHeight="1">
      <c r="A942" s="81"/>
      <c r="B942" s="180"/>
      <c r="C942" s="1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  <c r="R942" s="81"/>
      <c r="S942" s="81"/>
      <c r="T942" s="81"/>
      <c r="U942" s="81"/>
      <c r="V942" s="81"/>
      <c r="W942" s="81"/>
      <c r="X942" s="81"/>
      <c r="Y942" s="81"/>
      <c r="Z942" s="81"/>
      <c r="AA942" s="80"/>
      <c r="AB942" s="80"/>
      <c r="AC942" s="81"/>
      <c r="AD942" s="81"/>
      <c r="AE942" s="81"/>
      <c r="AF942" s="81"/>
    </row>
    <row r="943" ht="15.75" customHeight="1">
      <c r="A943" s="81"/>
      <c r="B943" s="180"/>
      <c r="C943" s="1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  <c r="R943" s="81"/>
      <c r="S943" s="81"/>
      <c r="T943" s="81"/>
      <c r="U943" s="81"/>
      <c r="V943" s="81"/>
      <c r="W943" s="81"/>
      <c r="X943" s="81"/>
      <c r="Y943" s="81"/>
      <c r="Z943" s="81"/>
      <c r="AA943" s="80"/>
      <c r="AB943" s="80"/>
      <c r="AC943" s="81"/>
      <c r="AD943" s="81"/>
      <c r="AE943" s="81"/>
      <c r="AF943" s="81"/>
    </row>
    <row r="944" ht="15.75" customHeight="1">
      <c r="A944" s="81"/>
      <c r="B944" s="180"/>
      <c r="C944" s="1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  <c r="R944" s="81"/>
      <c r="S944" s="81"/>
      <c r="T944" s="81"/>
      <c r="U944" s="81"/>
      <c r="V944" s="81"/>
      <c r="W944" s="81"/>
      <c r="X944" s="81"/>
      <c r="Y944" s="81"/>
      <c r="Z944" s="81"/>
      <c r="AA944" s="80"/>
      <c r="AB944" s="80"/>
      <c r="AC944" s="81"/>
      <c r="AD944" s="81"/>
      <c r="AE944" s="81"/>
      <c r="AF944" s="81"/>
    </row>
    <row r="945" ht="15.75" customHeight="1">
      <c r="A945" s="81"/>
      <c r="B945" s="180"/>
      <c r="C945" s="1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  <c r="R945" s="81"/>
      <c r="S945" s="81"/>
      <c r="T945" s="81"/>
      <c r="U945" s="81"/>
      <c r="V945" s="81"/>
      <c r="W945" s="81"/>
      <c r="X945" s="81"/>
      <c r="Y945" s="81"/>
      <c r="Z945" s="81"/>
      <c r="AA945" s="80"/>
      <c r="AB945" s="80"/>
      <c r="AC945" s="81"/>
      <c r="AD945" s="81"/>
      <c r="AE945" s="81"/>
      <c r="AF945" s="81"/>
    </row>
    <row r="946" ht="15.75" customHeight="1">
      <c r="A946" s="81"/>
      <c r="B946" s="180"/>
      <c r="C946" s="1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0"/>
      <c r="AB946" s="80"/>
      <c r="AC946" s="81"/>
      <c r="AD946" s="81"/>
      <c r="AE946" s="81"/>
      <c r="AF946" s="81"/>
    </row>
    <row r="947" ht="15.75" customHeight="1">
      <c r="A947" s="81"/>
      <c r="B947" s="180"/>
      <c r="C947" s="1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0"/>
      <c r="AB947" s="80"/>
      <c r="AC947" s="81"/>
      <c r="AD947" s="81"/>
      <c r="AE947" s="81"/>
      <c r="AF947" s="81"/>
    </row>
    <row r="948" ht="15.75" customHeight="1">
      <c r="A948" s="81"/>
      <c r="B948" s="180"/>
      <c r="C948" s="1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0"/>
      <c r="AB948" s="80"/>
      <c r="AC948" s="81"/>
      <c r="AD948" s="81"/>
      <c r="AE948" s="81"/>
      <c r="AF948" s="81"/>
    </row>
    <row r="949" ht="15.75" customHeight="1">
      <c r="A949" s="81"/>
      <c r="B949" s="180"/>
      <c r="C949" s="1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0"/>
      <c r="AB949" s="80"/>
      <c r="AC949" s="81"/>
      <c r="AD949" s="81"/>
      <c r="AE949" s="81"/>
      <c r="AF949" s="81"/>
    </row>
    <row r="950" ht="15.75" customHeight="1">
      <c r="A950" s="81"/>
      <c r="B950" s="180"/>
      <c r="C950" s="1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0"/>
      <c r="AB950" s="80"/>
      <c r="AC950" s="81"/>
      <c r="AD950" s="81"/>
      <c r="AE950" s="81"/>
      <c r="AF950" s="81"/>
    </row>
    <row r="951" ht="15.75" customHeight="1">
      <c r="A951" s="81"/>
      <c r="B951" s="180"/>
      <c r="C951" s="1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0"/>
      <c r="AB951" s="80"/>
      <c r="AC951" s="81"/>
      <c r="AD951" s="81"/>
      <c r="AE951" s="81"/>
      <c r="AF951" s="81"/>
    </row>
    <row r="952" ht="15.75" customHeight="1">
      <c r="A952" s="81"/>
      <c r="B952" s="180"/>
      <c r="C952" s="1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0"/>
      <c r="AB952" s="80"/>
      <c r="AC952" s="81"/>
      <c r="AD952" s="81"/>
      <c r="AE952" s="81"/>
      <c r="AF952" s="81"/>
    </row>
    <row r="953" ht="15.75" customHeight="1">
      <c r="A953" s="81"/>
      <c r="B953" s="180"/>
      <c r="C953" s="1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0"/>
      <c r="AB953" s="80"/>
      <c r="AC953" s="81"/>
      <c r="AD953" s="81"/>
      <c r="AE953" s="81"/>
      <c r="AF953" s="81"/>
    </row>
    <row r="954" ht="15.75" customHeight="1">
      <c r="A954" s="81"/>
      <c r="B954" s="180"/>
      <c r="C954" s="1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0"/>
      <c r="AB954" s="80"/>
      <c r="AC954" s="81"/>
      <c r="AD954" s="81"/>
      <c r="AE954" s="81"/>
      <c r="AF954" s="81"/>
    </row>
    <row r="955" ht="15.75" customHeight="1">
      <c r="A955" s="81"/>
      <c r="B955" s="180"/>
      <c r="C955" s="1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0"/>
      <c r="AB955" s="80"/>
      <c r="AC955" s="81"/>
      <c r="AD955" s="81"/>
      <c r="AE955" s="81"/>
      <c r="AF955" s="81"/>
    </row>
    <row r="956" ht="15.75" customHeight="1">
      <c r="A956" s="81"/>
      <c r="B956" s="180"/>
      <c r="C956" s="1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0"/>
      <c r="AB956" s="80"/>
      <c r="AC956" s="81"/>
      <c r="AD956" s="81"/>
      <c r="AE956" s="81"/>
      <c r="AF956" s="81"/>
    </row>
    <row r="957" ht="15.75" customHeight="1">
      <c r="A957" s="81"/>
      <c r="B957" s="180"/>
      <c r="C957" s="1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0"/>
      <c r="AB957" s="80"/>
      <c r="AC957" s="81"/>
      <c r="AD957" s="81"/>
      <c r="AE957" s="81"/>
      <c r="AF957" s="81"/>
    </row>
    <row r="958" ht="15.75" customHeight="1">
      <c r="A958" s="81"/>
      <c r="B958" s="180"/>
      <c r="C958" s="1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0"/>
      <c r="AB958" s="80"/>
      <c r="AC958" s="81"/>
      <c r="AD958" s="81"/>
      <c r="AE958" s="81"/>
      <c r="AF958" s="81"/>
    </row>
    <row r="959" ht="15.75" customHeight="1">
      <c r="A959" s="81"/>
      <c r="B959" s="180"/>
      <c r="C959" s="1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0"/>
      <c r="AB959" s="80"/>
      <c r="AC959" s="81"/>
      <c r="AD959" s="81"/>
      <c r="AE959" s="81"/>
      <c r="AF959" s="81"/>
    </row>
    <row r="960" ht="15.75" customHeight="1">
      <c r="A960" s="81"/>
      <c r="B960" s="180"/>
      <c r="C960" s="1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0"/>
      <c r="AB960" s="80"/>
      <c r="AC960" s="81"/>
      <c r="AD960" s="81"/>
      <c r="AE960" s="81"/>
      <c r="AF960" s="81"/>
    </row>
    <row r="961" ht="15.75" customHeight="1">
      <c r="A961" s="81"/>
      <c r="B961" s="180"/>
      <c r="C961" s="1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0"/>
      <c r="AB961" s="80"/>
      <c r="AC961" s="81"/>
      <c r="AD961" s="81"/>
      <c r="AE961" s="81"/>
      <c r="AF961" s="81"/>
    </row>
    <row r="962" ht="15.75" customHeight="1">
      <c r="A962" s="81"/>
      <c r="B962" s="180"/>
      <c r="C962" s="1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0"/>
      <c r="AB962" s="80"/>
      <c r="AC962" s="81"/>
      <c r="AD962" s="81"/>
      <c r="AE962" s="81"/>
      <c r="AF962" s="81"/>
    </row>
    <row r="963" ht="15.75" customHeight="1">
      <c r="A963" s="81"/>
      <c r="B963" s="180"/>
      <c r="C963" s="1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0"/>
      <c r="AB963" s="80"/>
      <c r="AC963" s="81"/>
      <c r="AD963" s="81"/>
      <c r="AE963" s="81"/>
      <c r="AF963" s="81"/>
    </row>
    <row r="964" ht="15.75" customHeight="1">
      <c r="A964" s="81"/>
      <c r="B964" s="180"/>
      <c r="C964" s="1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0"/>
      <c r="AB964" s="80"/>
      <c r="AC964" s="81"/>
      <c r="AD964" s="81"/>
      <c r="AE964" s="81"/>
      <c r="AF964" s="81"/>
    </row>
    <row r="965" ht="15.75" customHeight="1">
      <c r="A965" s="81"/>
      <c r="B965" s="180"/>
      <c r="C965" s="1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0"/>
      <c r="AB965" s="80"/>
      <c r="AC965" s="81"/>
      <c r="AD965" s="81"/>
      <c r="AE965" s="81"/>
      <c r="AF965" s="81"/>
    </row>
    <row r="966" ht="15.75" customHeight="1">
      <c r="A966" s="81"/>
      <c r="B966" s="180"/>
      <c r="C966" s="1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0"/>
      <c r="AB966" s="80"/>
      <c r="AC966" s="81"/>
      <c r="AD966" s="81"/>
      <c r="AE966" s="81"/>
      <c r="AF966" s="81"/>
    </row>
    <row r="967" ht="15.75" customHeight="1">
      <c r="A967" s="81"/>
      <c r="B967" s="180"/>
      <c r="C967" s="1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0"/>
      <c r="AB967" s="80"/>
      <c r="AC967" s="81"/>
      <c r="AD967" s="81"/>
      <c r="AE967" s="81"/>
      <c r="AF967" s="81"/>
    </row>
    <row r="968" ht="15.75" customHeight="1">
      <c r="A968" s="81"/>
      <c r="B968" s="180"/>
      <c r="C968" s="1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0"/>
      <c r="AB968" s="80"/>
      <c r="AC968" s="81"/>
      <c r="AD968" s="81"/>
      <c r="AE968" s="81"/>
      <c r="AF968" s="81"/>
    </row>
    <row r="969" ht="15.75" customHeight="1">
      <c r="A969" s="81"/>
      <c r="B969" s="180"/>
      <c r="C969" s="181"/>
      <c r="D969" s="81"/>
      <c r="E969" s="81"/>
      <c r="F969" s="81"/>
      <c r="G969" s="81"/>
      <c r="H969" s="81"/>
      <c r="I969" s="81"/>
      <c r="J969" s="81"/>
      <c r="K969" s="81"/>
      <c r="L969" s="81"/>
      <c r="M969" s="81"/>
      <c r="N969" s="81"/>
      <c r="O969" s="81"/>
      <c r="P969" s="81"/>
      <c r="Q969" s="81"/>
      <c r="R969" s="81"/>
      <c r="S969" s="81"/>
      <c r="T969" s="81"/>
      <c r="U969" s="81"/>
      <c r="V969" s="81"/>
      <c r="W969" s="81"/>
      <c r="X969" s="81"/>
      <c r="Y969" s="81"/>
      <c r="Z969" s="81"/>
      <c r="AA969" s="80"/>
      <c r="AB969" s="80"/>
      <c r="AC969" s="81"/>
      <c r="AD969" s="81"/>
      <c r="AE969" s="81"/>
      <c r="AF969" s="81"/>
    </row>
    <row r="970" ht="15.75" customHeight="1">
      <c r="A970" s="81"/>
      <c r="B970" s="180"/>
      <c r="C970" s="181"/>
      <c r="D970" s="81"/>
      <c r="E970" s="81"/>
      <c r="F970" s="81"/>
      <c r="G970" s="81"/>
      <c r="H970" s="81"/>
      <c r="I970" s="81"/>
      <c r="J970" s="81"/>
      <c r="K970" s="81"/>
      <c r="L970" s="81"/>
      <c r="M970" s="81"/>
      <c r="N970" s="81"/>
      <c r="O970" s="81"/>
      <c r="P970" s="81"/>
      <c r="Q970" s="81"/>
      <c r="R970" s="81"/>
      <c r="S970" s="81"/>
      <c r="T970" s="81"/>
      <c r="U970" s="81"/>
      <c r="V970" s="81"/>
      <c r="W970" s="81"/>
      <c r="X970" s="81"/>
      <c r="Y970" s="81"/>
      <c r="Z970" s="81"/>
      <c r="AA970" s="80"/>
      <c r="AB970" s="80"/>
      <c r="AC970" s="81"/>
      <c r="AD970" s="81"/>
      <c r="AE970" s="81"/>
      <c r="AF970" s="81"/>
    </row>
    <row r="971" ht="15.75" customHeight="1">
      <c r="A971" s="81"/>
      <c r="B971" s="180"/>
      <c r="C971" s="181"/>
      <c r="D971" s="81"/>
      <c r="E971" s="81"/>
      <c r="F971" s="81"/>
      <c r="G971" s="81"/>
      <c r="H971" s="81"/>
      <c r="I971" s="81"/>
      <c r="J971" s="81"/>
      <c r="K971" s="81"/>
      <c r="L971" s="81"/>
      <c r="M971" s="81"/>
      <c r="N971" s="81"/>
      <c r="O971" s="81"/>
      <c r="P971" s="81"/>
      <c r="Q971" s="81"/>
      <c r="R971" s="81"/>
      <c r="S971" s="81"/>
      <c r="T971" s="81"/>
      <c r="U971" s="81"/>
      <c r="V971" s="81"/>
      <c r="W971" s="81"/>
      <c r="X971" s="81"/>
      <c r="Y971" s="81"/>
      <c r="Z971" s="81"/>
      <c r="AA971" s="80"/>
      <c r="AB971" s="80"/>
      <c r="AC971" s="81"/>
      <c r="AD971" s="81"/>
      <c r="AE971" s="81"/>
      <c r="AF971" s="81"/>
    </row>
    <row r="972" ht="15.75" customHeight="1">
      <c r="A972" s="81"/>
      <c r="B972" s="180"/>
      <c r="C972" s="181"/>
      <c r="D972" s="81"/>
      <c r="E972" s="81"/>
      <c r="F972" s="81"/>
      <c r="G972" s="81"/>
      <c r="H972" s="81"/>
      <c r="I972" s="81"/>
      <c r="J972" s="81"/>
      <c r="K972" s="81"/>
      <c r="L972" s="81"/>
      <c r="M972" s="81"/>
      <c r="N972" s="81"/>
      <c r="O972" s="81"/>
      <c r="P972" s="81"/>
      <c r="Q972" s="81"/>
      <c r="R972" s="81"/>
      <c r="S972" s="81"/>
      <c r="T972" s="81"/>
      <c r="U972" s="81"/>
      <c r="V972" s="81"/>
      <c r="W972" s="81"/>
      <c r="X972" s="81"/>
      <c r="Y972" s="81"/>
      <c r="Z972" s="81"/>
      <c r="AA972" s="80"/>
      <c r="AB972" s="80"/>
      <c r="AC972" s="81"/>
      <c r="AD972" s="81"/>
      <c r="AE972" s="81"/>
      <c r="AF972" s="81"/>
    </row>
    <row r="973" ht="15.75" customHeight="1">
      <c r="A973" s="81"/>
      <c r="B973" s="180"/>
      <c r="C973" s="181"/>
      <c r="D973" s="81"/>
      <c r="E973" s="81"/>
      <c r="F973" s="81"/>
      <c r="G973" s="81"/>
      <c r="H973" s="81"/>
      <c r="I973" s="81"/>
      <c r="J973" s="81"/>
      <c r="K973" s="81"/>
      <c r="L973" s="81"/>
      <c r="M973" s="81"/>
      <c r="N973" s="81"/>
      <c r="O973" s="81"/>
      <c r="P973" s="81"/>
      <c r="Q973" s="81"/>
      <c r="R973" s="81"/>
      <c r="S973" s="81"/>
      <c r="T973" s="81"/>
      <c r="U973" s="81"/>
      <c r="V973" s="81"/>
      <c r="W973" s="81"/>
      <c r="X973" s="81"/>
      <c r="Y973" s="81"/>
      <c r="Z973" s="81"/>
      <c r="AA973" s="80"/>
      <c r="AB973" s="80"/>
      <c r="AC973" s="81"/>
      <c r="AD973" s="81"/>
      <c r="AE973" s="81"/>
      <c r="AF973" s="81"/>
    </row>
    <row r="974" ht="15.75" customHeight="1">
      <c r="A974" s="81"/>
      <c r="B974" s="180"/>
      <c r="C974" s="181"/>
      <c r="D974" s="81"/>
      <c r="E974" s="81"/>
      <c r="F974" s="81"/>
      <c r="G974" s="81"/>
      <c r="H974" s="81"/>
      <c r="I974" s="81"/>
      <c r="J974" s="81"/>
      <c r="K974" s="81"/>
      <c r="L974" s="81"/>
      <c r="M974" s="81"/>
      <c r="N974" s="81"/>
      <c r="O974" s="81"/>
      <c r="P974" s="81"/>
      <c r="Q974" s="81"/>
      <c r="R974" s="81"/>
      <c r="S974" s="81"/>
      <c r="T974" s="81"/>
      <c r="U974" s="81"/>
      <c r="V974" s="81"/>
      <c r="W974" s="81"/>
      <c r="X974" s="81"/>
      <c r="Y974" s="81"/>
      <c r="Z974" s="81"/>
      <c r="AA974" s="80"/>
      <c r="AB974" s="80"/>
      <c r="AC974" s="81"/>
      <c r="AD974" s="81"/>
      <c r="AE974" s="81"/>
      <c r="AF974" s="81"/>
    </row>
    <row r="975" ht="15.75" customHeight="1">
      <c r="A975" s="81"/>
      <c r="B975" s="180"/>
      <c r="C975" s="181"/>
      <c r="D975" s="81"/>
      <c r="E975" s="81"/>
      <c r="F975" s="81"/>
      <c r="G975" s="81"/>
      <c r="H975" s="81"/>
      <c r="I975" s="81"/>
      <c r="J975" s="81"/>
      <c r="K975" s="81"/>
      <c r="L975" s="81"/>
      <c r="M975" s="81"/>
      <c r="N975" s="81"/>
      <c r="O975" s="81"/>
      <c r="P975" s="81"/>
      <c r="Q975" s="81"/>
      <c r="R975" s="81"/>
      <c r="S975" s="81"/>
      <c r="T975" s="81"/>
      <c r="U975" s="81"/>
      <c r="V975" s="81"/>
      <c r="W975" s="81"/>
      <c r="X975" s="81"/>
      <c r="Y975" s="81"/>
      <c r="Z975" s="81"/>
      <c r="AA975" s="80"/>
      <c r="AB975" s="80"/>
      <c r="AC975" s="81"/>
      <c r="AD975" s="81"/>
      <c r="AE975" s="81"/>
      <c r="AF975" s="81"/>
    </row>
    <row r="976" ht="15.75" customHeight="1">
      <c r="A976" s="81"/>
      <c r="B976" s="180"/>
      <c r="C976" s="181"/>
      <c r="D976" s="81"/>
      <c r="E976" s="81"/>
      <c r="F976" s="81"/>
      <c r="G976" s="81"/>
      <c r="H976" s="81"/>
      <c r="I976" s="81"/>
      <c r="J976" s="81"/>
      <c r="K976" s="81"/>
      <c r="L976" s="81"/>
      <c r="M976" s="81"/>
      <c r="N976" s="81"/>
      <c r="O976" s="81"/>
      <c r="P976" s="81"/>
      <c r="Q976" s="81"/>
      <c r="R976" s="81"/>
      <c r="S976" s="81"/>
      <c r="T976" s="81"/>
      <c r="U976" s="81"/>
      <c r="V976" s="81"/>
      <c r="W976" s="81"/>
      <c r="X976" s="81"/>
      <c r="Y976" s="81"/>
      <c r="Z976" s="81"/>
      <c r="AA976" s="80"/>
      <c r="AB976" s="80"/>
      <c r="AC976" s="81"/>
      <c r="AD976" s="81"/>
      <c r="AE976" s="81"/>
      <c r="AF976" s="81"/>
    </row>
    <row r="977" ht="15.75" customHeight="1">
      <c r="A977" s="81"/>
      <c r="B977" s="180"/>
      <c r="C977" s="181"/>
      <c r="D977" s="81"/>
      <c r="E977" s="81"/>
      <c r="F977" s="81"/>
      <c r="G977" s="81"/>
      <c r="H977" s="81"/>
      <c r="I977" s="81"/>
      <c r="J977" s="81"/>
      <c r="K977" s="81"/>
      <c r="L977" s="81"/>
      <c r="M977" s="81"/>
      <c r="N977" s="81"/>
      <c r="O977" s="81"/>
      <c r="P977" s="81"/>
      <c r="Q977" s="81"/>
      <c r="R977" s="81"/>
      <c r="S977" s="81"/>
      <c r="T977" s="81"/>
      <c r="U977" s="81"/>
      <c r="V977" s="81"/>
      <c r="W977" s="81"/>
      <c r="X977" s="81"/>
      <c r="Y977" s="81"/>
      <c r="Z977" s="81"/>
      <c r="AA977" s="80"/>
      <c r="AB977" s="80"/>
      <c r="AC977" s="81"/>
      <c r="AD977" s="81"/>
      <c r="AE977" s="81"/>
      <c r="AF977" s="81"/>
    </row>
    <row r="978" ht="15.75" customHeight="1">
      <c r="A978" s="81"/>
      <c r="B978" s="180"/>
      <c r="C978" s="181"/>
      <c r="D978" s="81"/>
      <c r="E978" s="81"/>
      <c r="F978" s="81"/>
      <c r="G978" s="81"/>
      <c r="H978" s="81"/>
      <c r="I978" s="81"/>
      <c r="J978" s="81"/>
      <c r="K978" s="81"/>
      <c r="L978" s="81"/>
      <c r="M978" s="81"/>
      <c r="N978" s="81"/>
      <c r="O978" s="81"/>
      <c r="P978" s="81"/>
      <c r="Q978" s="81"/>
      <c r="R978" s="81"/>
      <c r="S978" s="81"/>
      <c r="T978" s="81"/>
      <c r="U978" s="81"/>
      <c r="V978" s="81"/>
      <c r="W978" s="81"/>
      <c r="X978" s="81"/>
      <c r="Y978" s="81"/>
      <c r="Z978" s="81"/>
      <c r="AA978" s="80"/>
      <c r="AB978" s="80"/>
      <c r="AC978" s="81"/>
      <c r="AD978" s="81"/>
      <c r="AE978" s="81"/>
      <c r="AF978" s="81"/>
    </row>
    <row r="979" ht="15.75" customHeight="1">
      <c r="A979" s="81"/>
      <c r="B979" s="180"/>
      <c r="C979" s="181"/>
      <c r="D979" s="81"/>
      <c r="E979" s="81"/>
      <c r="F979" s="81"/>
      <c r="G979" s="81"/>
      <c r="H979" s="81"/>
      <c r="I979" s="81"/>
      <c r="J979" s="81"/>
      <c r="K979" s="81"/>
      <c r="L979" s="81"/>
      <c r="M979" s="81"/>
      <c r="N979" s="81"/>
      <c r="O979" s="81"/>
      <c r="P979" s="81"/>
      <c r="Q979" s="81"/>
      <c r="R979" s="81"/>
      <c r="S979" s="81"/>
      <c r="T979" s="81"/>
      <c r="U979" s="81"/>
      <c r="V979" s="81"/>
      <c r="W979" s="81"/>
      <c r="X979" s="81"/>
      <c r="Y979" s="81"/>
      <c r="Z979" s="81"/>
      <c r="AA979" s="80"/>
      <c r="AB979" s="80"/>
      <c r="AC979" s="81"/>
      <c r="AD979" s="81"/>
      <c r="AE979" s="81"/>
      <c r="AF979" s="81"/>
    </row>
    <row r="980" ht="15.75" customHeight="1">
      <c r="A980" s="81"/>
      <c r="B980" s="180"/>
      <c r="C980" s="181"/>
      <c r="D980" s="81"/>
      <c r="E980" s="81"/>
      <c r="F980" s="81"/>
      <c r="G980" s="81"/>
      <c r="H980" s="81"/>
      <c r="I980" s="81"/>
      <c r="J980" s="81"/>
      <c r="K980" s="81"/>
      <c r="L980" s="81"/>
      <c r="M980" s="81"/>
      <c r="N980" s="81"/>
      <c r="O980" s="81"/>
      <c r="P980" s="81"/>
      <c r="Q980" s="81"/>
      <c r="R980" s="81"/>
      <c r="S980" s="81"/>
      <c r="T980" s="81"/>
      <c r="U980" s="81"/>
      <c r="V980" s="81"/>
      <c r="W980" s="81"/>
      <c r="X980" s="81"/>
      <c r="Y980" s="81"/>
      <c r="Z980" s="81"/>
      <c r="AA980" s="80"/>
      <c r="AB980" s="80"/>
      <c r="AC980" s="81"/>
      <c r="AD980" s="81"/>
      <c r="AE980" s="81"/>
      <c r="AF980" s="81"/>
    </row>
    <row r="981" ht="15.75" customHeight="1">
      <c r="A981" s="81"/>
      <c r="B981" s="180"/>
      <c r="C981" s="181"/>
      <c r="D981" s="81"/>
      <c r="E981" s="81"/>
      <c r="F981" s="81"/>
      <c r="G981" s="81"/>
      <c r="H981" s="81"/>
      <c r="I981" s="81"/>
      <c r="J981" s="81"/>
      <c r="K981" s="81"/>
      <c r="L981" s="81"/>
      <c r="M981" s="81"/>
      <c r="N981" s="81"/>
      <c r="O981" s="81"/>
      <c r="P981" s="81"/>
      <c r="Q981" s="81"/>
      <c r="R981" s="81"/>
      <c r="S981" s="81"/>
      <c r="T981" s="81"/>
      <c r="U981" s="81"/>
      <c r="V981" s="81"/>
      <c r="W981" s="81"/>
      <c r="X981" s="81"/>
      <c r="Y981" s="81"/>
      <c r="Z981" s="81"/>
      <c r="AA981" s="80"/>
      <c r="AB981" s="80"/>
      <c r="AC981" s="81"/>
      <c r="AD981" s="81"/>
      <c r="AE981" s="81"/>
      <c r="AF981" s="81"/>
    </row>
    <row r="982" ht="15.75" customHeight="1">
      <c r="A982" s="81"/>
      <c r="B982" s="180"/>
      <c r="C982" s="181"/>
      <c r="D982" s="81"/>
      <c r="E982" s="81"/>
      <c r="F982" s="81"/>
      <c r="G982" s="81"/>
      <c r="H982" s="81"/>
      <c r="I982" s="81"/>
      <c r="J982" s="81"/>
      <c r="K982" s="81"/>
      <c r="L982" s="81"/>
      <c r="M982" s="81"/>
      <c r="N982" s="81"/>
      <c r="O982" s="81"/>
      <c r="P982" s="81"/>
      <c r="Q982" s="81"/>
      <c r="R982" s="81"/>
      <c r="S982" s="81"/>
      <c r="T982" s="81"/>
      <c r="U982" s="81"/>
      <c r="V982" s="81"/>
      <c r="W982" s="81"/>
      <c r="X982" s="81"/>
      <c r="Y982" s="81"/>
      <c r="Z982" s="81"/>
      <c r="AA982" s="80"/>
      <c r="AB982" s="80"/>
      <c r="AC982" s="81"/>
      <c r="AD982" s="81"/>
      <c r="AE982" s="81"/>
      <c r="AF982" s="81"/>
    </row>
    <row r="983" ht="15.75" customHeight="1">
      <c r="A983" s="81"/>
      <c r="B983" s="180"/>
      <c r="C983" s="181"/>
      <c r="D983" s="81"/>
      <c r="E983" s="81"/>
      <c r="F983" s="81"/>
      <c r="G983" s="81"/>
      <c r="H983" s="81"/>
      <c r="I983" s="81"/>
      <c r="J983" s="81"/>
      <c r="K983" s="81"/>
      <c r="L983" s="81"/>
      <c r="M983" s="81"/>
      <c r="N983" s="81"/>
      <c r="O983" s="81"/>
      <c r="P983" s="81"/>
      <c r="Q983" s="81"/>
      <c r="R983" s="81"/>
      <c r="S983" s="81"/>
      <c r="T983" s="81"/>
      <c r="U983" s="81"/>
      <c r="V983" s="81"/>
      <c r="W983" s="81"/>
      <c r="X983" s="81"/>
      <c r="Y983" s="81"/>
      <c r="Z983" s="81"/>
      <c r="AA983" s="80"/>
      <c r="AB983" s="80"/>
      <c r="AC983" s="81"/>
      <c r="AD983" s="81"/>
      <c r="AE983" s="81"/>
      <c r="AF983" s="81"/>
    </row>
    <row r="984" ht="15.75" customHeight="1">
      <c r="A984" s="81"/>
      <c r="B984" s="180"/>
      <c r="C984" s="181"/>
      <c r="D984" s="81"/>
      <c r="E984" s="81"/>
      <c r="F984" s="81"/>
      <c r="G984" s="81"/>
      <c r="H984" s="81"/>
      <c r="I984" s="81"/>
      <c r="J984" s="81"/>
      <c r="K984" s="81"/>
      <c r="L984" s="81"/>
      <c r="M984" s="81"/>
      <c r="N984" s="81"/>
      <c r="O984" s="81"/>
      <c r="P984" s="81"/>
      <c r="Q984" s="81"/>
      <c r="R984" s="81"/>
      <c r="S984" s="81"/>
      <c r="T984" s="81"/>
      <c r="U984" s="81"/>
      <c r="V984" s="81"/>
      <c r="W984" s="81"/>
      <c r="X984" s="81"/>
      <c r="Y984" s="81"/>
      <c r="Z984" s="81"/>
      <c r="AA984" s="80"/>
      <c r="AB984" s="80"/>
      <c r="AC984" s="81"/>
      <c r="AD984" s="81"/>
      <c r="AE984" s="81"/>
      <c r="AF984" s="81"/>
    </row>
    <row r="985" ht="15.75" customHeight="1">
      <c r="A985" s="81"/>
      <c r="B985" s="180"/>
      <c r="C985" s="181"/>
      <c r="D985" s="81"/>
      <c r="E985" s="81"/>
      <c r="F985" s="81"/>
      <c r="G985" s="81"/>
      <c r="H985" s="81"/>
      <c r="I985" s="81"/>
      <c r="J985" s="81"/>
      <c r="K985" s="81"/>
      <c r="L985" s="81"/>
      <c r="M985" s="81"/>
      <c r="N985" s="81"/>
      <c r="O985" s="81"/>
      <c r="P985" s="81"/>
      <c r="Q985" s="81"/>
      <c r="R985" s="81"/>
      <c r="S985" s="81"/>
      <c r="T985" s="81"/>
      <c r="U985" s="81"/>
      <c r="V985" s="81"/>
      <c r="W985" s="81"/>
      <c r="X985" s="81"/>
      <c r="Y985" s="81"/>
      <c r="Z985" s="81"/>
      <c r="AA985" s="80"/>
      <c r="AB985" s="80"/>
      <c r="AC985" s="81"/>
      <c r="AD985" s="81"/>
      <c r="AE985" s="81"/>
      <c r="AF985" s="81"/>
    </row>
    <row r="986" ht="15.75" customHeight="1">
      <c r="A986" s="81"/>
      <c r="B986" s="180"/>
      <c r="C986" s="181"/>
      <c r="D986" s="81"/>
      <c r="E986" s="81"/>
      <c r="F986" s="81"/>
      <c r="G986" s="81"/>
      <c r="H986" s="81"/>
      <c r="I986" s="81"/>
      <c r="J986" s="81"/>
      <c r="K986" s="81"/>
      <c r="L986" s="81"/>
      <c r="M986" s="81"/>
      <c r="N986" s="81"/>
      <c r="O986" s="81"/>
      <c r="P986" s="81"/>
      <c r="Q986" s="81"/>
      <c r="R986" s="81"/>
      <c r="S986" s="81"/>
      <c r="T986" s="81"/>
      <c r="U986" s="81"/>
      <c r="V986" s="81"/>
      <c r="W986" s="81"/>
      <c r="X986" s="81"/>
      <c r="Y986" s="81"/>
      <c r="Z986" s="81"/>
      <c r="AA986" s="80"/>
      <c r="AB986" s="80"/>
      <c r="AC986" s="81"/>
      <c r="AD986" s="81"/>
      <c r="AE986" s="81"/>
      <c r="AF986" s="81"/>
    </row>
    <row r="987" ht="15.75" customHeight="1">
      <c r="A987" s="81"/>
      <c r="B987" s="180"/>
      <c r="C987" s="181"/>
      <c r="D987" s="81"/>
      <c r="E987" s="81"/>
      <c r="F987" s="81"/>
      <c r="G987" s="81"/>
      <c r="H987" s="81"/>
      <c r="I987" s="81"/>
      <c r="J987" s="81"/>
      <c r="K987" s="81"/>
      <c r="L987" s="81"/>
      <c r="M987" s="81"/>
      <c r="N987" s="81"/>
      <c r="O987" s="81"/>
      <c r="P987" s="81"/>
      <c r="Q987" s="81"/>
      <c r="R987" s="81"/>
      <c r="S987" s="81"/>
      <c r="T987" s="81"/>
      <c r="U987" s="81"/>
      <c r="V987" s="81"/>
      <c r="W987" s="81"/>
      <c r="X987" s="81"/>
      <c r="Y987" s="81"/>
      <c r="Z987" s="81"/>
      <c r="AA987" s="80"/>
      <c r="AB987" s="80"/>
      <c r="AC987" s="81"/>
      <c r="AD987" s="81"/>
      <c r="AE987" s="81"/>
      <c r="AF987" s="81"/>
    </row>
    <row r="988" ht="15.75" customHeight="1">
      <c r="A988" s="81"/>
      <c r="B988" s="180"/>
      <c r="C988" s="181"/>
      <c r="D988" s="81"/>
      <c r="E988" s="81"/>
      <c r="F988" s="81"/>
      <c r="G988" s="81"/>
      <c r="H988" s="81"/>
      <c r="I988" s="81"/>
      <c r="J988" s="81"/>
      <c r="K988" s="81"/>
      <c r="L988" s="81"/>
      <c r="M988" s="81"/>
      <c r="N988" s="81"/>
      <c r="O988" s="81"/>
      <c r="P988" s="81"/>
      <c r="Q988" s="81"/>
      <c r="R988" s="81"/>
      <c r="S988" s="81"/>
      <c r="T988" s="81"/>
      <c r="U988" s="81"/>
      <c r="V988" s="81"/>
      <c r="W988" s="81"/>
      <c r="X988" s="81"/>
      <c r="Y988" s="81"/>
      <c r="Z988" s="81"/>
      <c r="AA988" s="80"/>
      <c r="AB988" s="80"/>
      <c r="AC988" s="81"/>
      <c r="AD988" s="81"/>
      <c r="AE988" s="81"/>
      <c r="AF988" s="81"/>
    </row>
    <row r="989" ht="15.75" customHeight="1">
      <c r="A989" s="81"/>
      <c r="B989" s="180"/>
      <c r="C989" s="181"/>
      <c r="D989" s="81"/>
      <c r="E989" s="81"/>
      <c r="F989" s="81"/>
      <c r="G989" s="81"/>
      <c r="H989" s="81"/>
      <c r="I989" s="81"/>
      <c r="J989" s="81"/>
      <c r="K989" s="81"/>
      <c r="L989" s="81"/>
      <c r="M989" s="81"/>
      <c r="N989" s="81"/>
      <c r="O989" s="81"/>
      <c r="P989" s="81"/>
      <c r="Q989" s="81"/>
      <c r="R989" s="81"/>
      <c r="S989" s="81"/>
      <c r="T989" s="81"/>
      <c r="U989" s="81"/>
      <c r="V989" s="81"/>
      <c r="W989" s="81"/>
      <c r="X989" s="81"/>
      <c r="Y989" s="81"/>
      <c r="Z989" s="81"/>
      <c r="AA989" s="80"/>
      <c r="AB989" s="80"/>
      <c r="AC989" s="81"/>
      <c r="AD989" s="81"/>
      <c r="AE989" s="81"/>
      <c r="AF989" s="81"/>
    </row>
    <row r="990" ht="15.75" customHeight="1">
      <c r="A990" s="81"/>
      <c r="B990" s="180"/>
      <c r="C990" s="181"/>
      <c r="D990" s="81"/>
      <c r="E990" s="81"/>
      <c r="F990" s="81"/>
      <c r="G990" s="81"/>
      <c r="H990" s="81"/>
      <c r="I990" s="81"/>
      <c r="J990" s="81"/>
      <c r="K990" s="81"/>
      <c r="L990" s="81"/>
      <c r="M990" s="81"/>
      <c r="N990" s="81"/>
      <c r="O990" s="81"/>
      <c r="P990" s="81"/>
      <c r="Q990" s="81"/>
      <c r="R990" s="81"/>
      <c r="S990" s="81"/>
      <c r="T990" s="81"/>
      <c r="U990" s="81"/>
      <c r="V990" s="81"/>
      <c r="W990" s="81"/>
      <c r="X990" s="81"/>
      <c r="Y990" s="81"/>
      <c r="Z990" s="81"/>
      <c r="AA990" s="80"/>
      <c r="AB990" s="80"/>
      <c r="AC990" s="81"/>
      <c r="AD990" s="81"/>
      <c r="AE990" s="81"/>
      <c r="AF990" s="81"/>
    </row>
    <row r="991" ht="15.75" customHeight="1">
      <c r="A991" s="81"/>
      <c r="B991" s="180"/>
      <c r="C991" s="181"/>
      <c r="D991" s="81"/>
      <c r="E991" s="81"/>
      <c r="F991" s="81"/>
      <c r="G991" s="81"/>
      <c r="H991" s="81"/>
      <c r="I991" s="81"/>
      <c r="J991" s="81"/>
      <c r="K991" s="81"/>
      <c r="L991" s="81"/>
      <c r="M991" s="81"/>
      <c r="N991" s="81"/>
      <c r="O991" s="81"/>
      <c r="P991" s="81"/>
      <c r="Q991" s="81"/>
      <c r="R991" s="81"/>
      <c r="S991" s="81"/>
      <c r="T991" s="81"/>
      <c r="U991" s="81"/>
      <c r="V991" s="81"/>
      <c r="W991" s="81"/>
      <c r="X991" s="81"/>
      <c r="Y991" s="81"/>
      <c r="Z991" s="81"/>
      <c r="AA991" s="80"/>
      <c r="AB991" s="80"/>
      <c r="AC991" s="81"/>
      <c r="AD991" s="81"/>
      <c r="AE991" s="81"/>
      <c r="AF991" s="81"/>
    </row>
    <row r="992" ht="15.75" customHeight="1">
      <c r="A992" s="81"/>
      <c r="B992" s="180"/>
      <c r="C992" s="1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0"/>
      <c r="AB992" s="80"/>
      <c r="AC992" s="81"/>
      <c r="AD992" s="81"/>
      <c r="AE992" s="81"/>
      <c r="AF992" s="81"/>
    </row>
    <row r="993" ht="15.75" customHeight="1">
      <c r="A993" s="81"/>
      <c r="B993" s="180"/>
      <c r="C993" s="1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0"/>
      <c r="AB993" s="80"/>
      <c r="AC993" s="81"/>
      <c r="AD993" s="81"/>
      <c r="AE993" s="81"/>
      <c r="AF993" s="81"/>
    </row>
    <row r="994" ht="15.75" customHeight="1">
      <c r="A994" s="81"/>
      <c r="B994" s="180"/>
      <c r="C994" s="1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0"/>
      <c r="AB994" s="80"/>
      <c r="AC994" s="81"/>
      <c r="AD994" s="81"/>
      <c r="AE994" s="81"/>
      <c r="AF994" s="81"/>
    </row>
    <row r="995" ht="15.75" customHeight="1">
      <c r="A995" s="81"/>
      <c r="B995" s="180"/>
      <c r="C995" s="1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0"/>
      <c r="AB995" s="80"/>
      <c r="AC995" s="81"/>
      <c r="AD995" s="81"/>
      <c r="AE995" s="81"/>
      <c r="AF995" s="81"/>
    </row>
    <row r="996" ht="15.75" customHeight="1">
      <c r="A996" s="81"/>
      <c r="B996" s="180"/>
      <c r="C996" s="1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0"/>
      <c r="AB996" s="80"/>
      <c r="AC996" s="81"/>
      <c r="AD996" s="81"/>
      <c r="AE996" s="81"/>
      <c r="AF996" s="81"/>
    </row>
    <row r="997" ht="15.75" customHeight="1">
      <c r="A997" s="81"/>
      <c r="B997" s="180"/>
      <c r="C997" s="1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0"/>
      <c r="AB997" s="80"/>
      <c r="AC997" s="81"/>
      <c r="AD997" s="81"/>
      <c r="AE997" s="81"/>
      <c r="AF997" s="81"/>
    </row>
    <row r="998" ht="15.75" customHeight="1">
      <c r="A998" s="81"/>
      <c r="B998" s="180"/>
      <c r="C998" s="1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0"/>
      <c r="AB998" s="80"/>
      <c r="AC998" s="81"/>
      <c r="AD998" s="81"/>
      <c r="AE998" s="81"/>
      <c r="AF998" s="81"/>
    </row>
    <row r="999" ht="15.75" customHeight="1">
      <c r="A999" s="81"/>
      <c r="B999" s="180"/>
      <c r="C999" s="1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0"/>
      <c r="AB999" s="80"/>
      <c r="AC999" s="81"/>
      <c r="AD999" s="81"/>
      <c r="AE999" s="81"/>
      <c r="AF999" s="81"/>
    </row>
    <row r="1000" ht="15.75" customHeight="1">
      <c r="A1000" s="81"/>
      <c r="B1000" s="180"/>
      <c r="C1000" s="1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0"/>
      <c r="AB1000" s="80"/>
      <c r="AC1000" s="81"/>
      <c r="AD1000" s="81"/>
      <c r="AE1000" s="81"/>
      <c r="AF1000" s="81"/>
    </row>
  </sheetData>
  <mergeCells count="326">
    <mergeCell ref="R125:S125"/>
    <mergeCell ref="T125:U125"/>
    <mergeCell ref="B120:Y121"/>
    <mergeCell ref="B123:Y124"/>
    <mergeCell ref="D125:E125"/>
    <mergeCell ref="F125:G125"/>
    <mergeCell ref="H125:I125"/>
    <mergeCell ref="J125:K125"/>
    <mergeCell ref="L125:M125"/>
    <mergeCell ref="V125:W125"/>
    <mergeCell ref="N125:O125"/>
    <mergeCell ref="P125:Q125"/>
    <mergeCell ref="B126:B127"/>
    <mergeCell ref="C126:C127"/>
    <mergeCell ref="P126:P127"/>
    <mergeCell ref="Q126:Q127"/>
    <mergeCell ref="R126:R127"/>
    <mergeCell ref="S126:S127"/>
    <mergeCell ref="T126:T127"/>
    <mergeCell ref="U126:U127"/>
    <mergeCell ref="V126:V127"/>
    <mergeCell ref="W126:W127"/>
    <mergeCell ref="P128:P129"/>
    <mergeCell ref="Q128:Q129"/>
    <mergeCell ref="B134:B135"/>
    <mergeCell ref="B136:B137"/>
    <mergeCell ref="B128:B129"/>
    <mergeCell ref="C128:C129"/>
    <mergeCell ref="B130:B131"/>
    <mergeCell ref="C130:C131"/>
    <mergeCell ref="B132:B133"/>
    <mergeCell ref="C132:C133"/>
    <mergeCell ref="C134:C135"/>
    <mergeCell ref="C136:C137"/>
    <mergeCell ref="V128:V129"/>
    <mergeCell ref="W128:W129"/>
    <mergeCell ref="V130:V131"/>
    <mergeCell ref="W130:W131"/>
    <mergeCell ref="V132:V133"/>
    <mergeCell ref="W132:W133"/>
    <mergeCell ref="V134:V135"/>
    <mergeCell ref="W134:W135"/>
    <mergeCell ref="W136:W137"/>
    <mergeCell ref="A138:Y138"/>
    <mergeCell ref="B139:Y140"/>
    <mergeCell ref="B151:Y152"/>
    <mergeCell ref="B159:Y160"/>
    <mergeCell ref="Y163:Y164"/>
    <mergeCell ref="B163:W164"/>
    <mergeCell ref="A169:Y169"/>
    <mergeCell ref="A170:Y170"/>
    <mergeCell ref="B171:Y172"/>
    <mergeCell ref="B174:Y175"/>
    <mergeCell ref="B188:Y189"/>
    <mergeCell ref="B192:Y193"/>
    <mergeCell ref="B202:Y203"/>
    <mergeCell ref="B216:Y217"/>
    <mergeCell ref="B230:Y231"/>
    <mergeCell ref="A238:Y238"/>
    <mergeCell ref="B239:Y240"/>
    <mergeCell ref="B247:Y248"/>
    <mergeCell ref="B255:Y256"/>
    <mergeCell ref="B263:Y264"/>
    <mergeCell ref="B271:Y272"/>
    <mergeCell ref="B279:Y280"/>
    <mergeCell ref="B283:Y284"/>
    <mergeCell ref="B288:Y289"/>
    <mergeCell ref="B294:Y295"/>
    <mergeCell ref="B300:Y301"/>
    <mergeCell ref="R310:S310"/>
    <mergeCell ref="T310:U310"/>
    <mergeCell ref="A308:Y308"/>
    <mergeCell ref="A309:Y309"/>
    <mergeCell ref="D310:E310"/>
    <mergeCell ref="F310:G310"/>
    <mergeCell ref="H310:I310"/>
    <mergeCell ref="J310:K310"/>
    <mergeCell ref="L310:M310"/>
    <mergeCell ref="V310:W310"/>
    <mergeCell ref="J312:K312"/>
    <mergeCell ref="L312:M312"/>
    <mergeCell ref="N312:O312"/>
    <mergeCell ref="P312:Q312"/>
    <mergeCell ref="R312:S313"/>
    <mergeCell ref="T312:U313"/>
    <mergeCell ref="V312:W313"/>
    <mergeCell ref="N310:O310"/>
    <mergeCell ref="P310:Q310"/>
    <mergeCell ref="B311:B313"/>
    <mergeCell ref="C311:C313"/>
    <mergeCell ref="D312:E312"/>
    <mergeCell ref="F312:G312"/>
    <mergeCell ref="H312:I312"/>
    <mergeCell ref="R314:S314"/>
    <mergeCell ref="T314:U314"/>
    <mergeCell ref="V314:W314"/>
    <mergeCell ref="D314:E314"/>
    <mergeCell ref="F314:G314"/>
    <mergeCell ref="H314:I314"/>
    <mergeCell ref="J314:K314"/>
    <mergeCell ref="L314:M314"/>
    <mergeCell ref="N314:O314"/>
    <mergeCell ref="P314:Q314"/>
    <mergeCell ref="N316:O316"/>
    <mergeCell ref="P316:Q316"/>
    <mergeCell ref="R316:S317"/>
    <mergeCell ref="T316:U317"/>
    <mergeCell ref="V316:W317"/>
    <mergeCell ref="B315:B317"/>
    <mergeCell ref="C315:C317"/>
    <mergeCell ref="D316:E316"/>
    <mergeCell ref="F316:G316"/>
    <mergeCell ref="H316:I316"/>
    <mergeCell ref="J316:K316"/>
    <mergeCell ref="L316:M316"/>
    <mergeCell ref="R318:S318"/>
    <mergeCell ref="T318:U318"/>
    <mergeCell ref="V318:W318"/>
    <mergeCell ref="D318:E318"/>
    <mergeCell ref="F318:G318"/>
    <mergeCell ref="H318:I318"/>
    <mergeCell ref="J318:K318"/>
    <mergeCell ref="L318:M318"/>
    <mergeCell ref="N318:O318"/>
    <mergeCell ref="P318:Q318"/>
    <mergeCell ref="N320:O320"/>
    <mergeCell ref="P320:Q320"/>
    <mergeCell ref="R320:S321"/>
    <mergeCell ref="T320:U321"/>
    <mergeCell ref="V320:W321"/>
    <mergeCell ref="A322:Y322"/>
    <mergeCell ref="A323:Y323"/>
    <mergeCell ref="R324:S324"/>
    <mergeCell ref="T324:U324"/>
    <mergeCell ref="V324:W324"/>
    <mergeCell ref="D324:E324"/>
    <mergeCell ref="F324:G324"/>
    <mergeCell ref="H324:I324"/>
    <mergeCell ref="J324:K324"/>
    <mergeCell ref="L324:M324"/>
    <mergeCell ref="N324:O324"/>
    <mergeCell ref="P324:Q324"/>
    <mergeCell ref="B319:B321"/>
    <mergeCell ref="C319:C321"/>
    <mergeCell ref="D320:E320"/>
    <mergeCell ref="F320:G320"/>
    <mergeCell ref="H320:I320"/>
    <mergeCell ref="J320:K320"/>
    <mergeCell ref="L320:M320"/>
    <mergeCell ref="N326:O326"/>
    <mergeCell ref="P326:Q326"/>
    <mergeCell ref="R326:S326"/>
    <mergeCell ref="T326:U326"/>
    <mergeCell ref="V326:W326"/>
    <mergeCell ref="A21:A22"/>
    <mergeCell ref="A26:A27"/>
    <mergeCell ref="A31:A32"/>
    <mergeCell ref="A36:A37"/>
    <mergeCell ref="A41:A42"/>
    <mergeCell ref="A46:A47"/>
    <mergeCell ref="A51:A52"/>
    <mergeCell ref="A56:A57"/>
    <mergeCell ref="A62:A63"/>
    <mergeCell ref="A69:A70"/>
    <mergeCell ref="A74:A75"/>
    <mergeCell ref="A79:A80"/>
    <mergeCell ref="A84:A85"/>
    <mergeCell ref="A93:A94"/>
    <mergeCell ref="A99:A100"/>
    <mergeCell ref="A105:A106"/>
    <mergeCell ref="A108:A109"/>
    <mergeCell ref="A114:A115"/>
    <mergeCell ref="A117:A118"/>
    <mergeCell ref="A120:A121"/>
    <mergeCell ref="A123:A124"/>
    <mergeCell ref="A126:A127"/>
    <mergeCell ref="A128:A129"/>
    <mergeCell ref="A130:A131"/>
    <mergeCell ref="A132:A133"/>
    <mergeCell ref="A134:A135"/>
    <mergeCell ref="A136:A137"/>
    <mergeCell ref="A139:A140"/>
    <mergeCell ref="A151:A152"/>
    <mergeCell ref="A159:A160"/>
    <mergeCell ref="A163:A164"/>
    <mergeCell ref="A171:A172"/>
    <mergeCell ref="A174:A175"/>
    <mergeCell ref="A188:A189"/>
    <mergeCell ref="A192:A193"/>
    <mergeCell ref="A202:A203"/>
    <mergeCell ref="A216:A217"/>
    <mergeCell ref="A230:A231"/>
    <mergeCell ref="A239:A240"/>
    <mergeCell ref="A247:A248"/>
    <mergeCell ref="A255:A256"/>
    <mergeCell ref="A263:A264"/>
    <mergeCell ref="A315:A317"/>
    <mergeCell ref="A319:A321"/>
    <mergeCell ref="A325:A333"/>
    <mergeCell ref="A271:A272"/>
    <mergeCell ref="A279:A280"/>
    <mergeCell ref="A283:A284"/>
    <mergeCell ref="A288:A289"/>
    <mergeCell ref="A294:A295"/>
    <mergeCell ref="A300:A301"/>
    <mergeCell ref="A311:A313"/>
    <mergeCell ref="B31:Y32"/>
    <mergeCell ref="B36:Y37"/>
    <mergeCell ref="B41:Y42"/>
    <mergeCell ref="B46:Y47"/>
    <mergeCell ref="B51:Y52"/>
    <mergeCell ref="B56:Y57"/>
    <mergeCell ref="A61:Y61"/>
    <mergeCell ref="B62:Y63"/>
    <mergeCell ref="B69:Y70"/>
    <mergeCell ref="B74:Y75"/>
    <mergeCell ref="B79:Y80"/>
    <mergeCell ref="B84:Y85"/>
    <mergeCell ref="A92:Y92"/>
    <mergeCell ref="B93:Y94"/>
    <mergeCell ref="J4:K4"/>
    <mergeCell ref="L4:M4"/>
    <mergeCell ref="J5:K5"/>
    <mergeCell ref="L5:M5"/>
    <mergeCell ref="N4:O4"/>
    <mergeCell ref="P4:Q4"/>
    <mergeCell ref="N5:O5"/>
    <mergeCell ref="P5:Q5"/>
    <mergeCell ref="R4:S4"/>
    <mergeCell ref="T4:U4"/>
    <mergeCell ref="R5:S5"/>
    <mergeCell ref="T5:U5"/>
    <mergeCell ref="V5:W5"/>
    <mergeCell ref="N1:O1"/>
    <mergeCell ref="U1:Y1"/>
    <mergeCell ref="A3:A4"/>
    <mergeCell ref="B3:B4"/>
    <mergeCell ref="C3:C4"/>
    <mergeCell ref="D3:W3"/>
    <mergeCell ref="D4:E4"/>
    <mergeCell ref="F4:G4"/>
    <mergeCell ref="H4:I4"/>
    <mergeCell ref="D5:E5"/>
    <mergeCell ref="F5:G5"/>
    <mergeCell ref="H5:I5"/>
    <mergeCell ref="A8:A9"/>
    <mergeCell ref="A16:A17"/>
    <mergeCell ref="V4:W4"/>
    <mergeCell ref="A6:Y6"/>
    <mergeCell ref="A7:Y7"/>
    <mergeCell ref="B8:Y9"/>
    <mergeCell ref="B16:Y17"/>
    <mergeCell ref="B21:Y22"/>
    <mergeCell ref="B26:Y27"/>
    <mergeCell ref="B99:Y100"/>
    <mergeCell ref="A103:Y103"/>
    <mergeCell ref="A104:Y104"/>
    <mergeCell ref="B105:Y106"/>
    <mergeCell ref="B108:Y109"/>
    <mergeCell ref="B114:Y115"/>
    <mergeCell ref="B117:Y118"/>
    <mergeCell ref="Q132:Q133"/>
    <mergeCell ref="R132:R133"/>
    <mergeCell ref="R128:R129"/>
    <mergeCell ref="S128:S129"/>
    <mergeCell ref="P130:P131"/>
    <mergeCell ref="Q130:Q131"/>
    <mergeCell ref="R130:R131"/>
    <mergeCell ref="S130:S131"/>
    <mergeCell ref="P132:P133"/>
    <mergeCell ref="S132:S133"/>
    <mergeCell ref="S134:S135"/>
    <mergeCell ref="T134:T135"/>
    <mergeCell ref="T128:T129"/>
    <mergeCell ref="U128:U129"/>
    <mergeCell ref="T130:T131"/>
    <mergeCell ref="U130:U131"/>
    <mergeCell ref="T132:T133"/>
    <mergeCell ref="U132:U133"/>
    <mergeCell ref="P134:P135"/>
    <mergeCell ref="U134:U135"/>
    <mergeCell ref="U136:U137"/>
    <mergeCell ref="V136:V137"/>
    <mergeCell ref="Q134:Q135"/>
    <mergeCell ref="R134:R135"/>
    <mergeCell ref="P136:P137"/>
    <mergeCell ref="Q136:Q137"/>
    <mergeCell ref="R136:R137"/>
    <mergeCell ref="S136:S137"/>
    <mergeCell ref="T136:T137"/>
    <mergeCell ref="D328:E328"/>
    <mergeCell ref="F328:G328"/>
    <mergeCell ref="H328:I328"/>
    <mergeCell ref="J328:K328"/>
    <mergeCell ref="N328:O328"/>
    <mergeCell ref="P328:Q328"/>
    <mergeCell ref="R328:S328"/>
    <mergeCell ref="T328:U328"/>
    <mergeCell ref="V328:W328"/>
    <mergeCell ref="D326:E326"/>
    <mergeCell ref="D330:E330"/>
    <mergeCell ref="F330:G330"/>
    <mergeCell ref="H330:I330"/>
    <mergeCell ref="J330:K330"/>
    <mergeCell ref="L330:M330"/>
    <mergeCell ref="N330:O330"/>
    <mergeCell ref="P330:Q330"/>
    <mergeCell ref="R330:S330"/>
    <mergeCell ref="T330:U330"/>
    <mergeCell ref="V330:W330"/>
    <mergeCell ref="B325:B333"/>
    <mergeCell ref="C325:C333"/>
    <mergeCell ref="F326:G326"/>
    <mergeCell ref="H326:I326"/>
    <mergeCell ref="J326:K326"/>
    <mergeCell ref="L326:M326"/>
    <mergeCell ref="L328:M328"/>
    <mergeCell ref="P336:Q336"/>
    <mergeCell ref="R336:S336"/>
    <mergeCell ref="D332:E332"/>
    <mergeCell ref="F332:G332"/>
    <mergeCell ref="D334:E334"/>
    <mergeCell ref="B336:C336"/>
    <mergeCell ref="D336:E336"/>
    <mergeCell ref="F336:G336"/>
    <mergeCell ref="H336:O336"/>
  </mergeCells>
  <conditionalFormatting sqref="A10:Q12 A13:E13 A14:Q14 A15:C78 A79:B79 A81:A315 A318:A319 A322:A333 B81:B84 B86:K91 B93 B95:B99 B101:K102 B105 B107:B108 B110:B114 B116:B117 B119:B120 B122:B123 B125:K137 B139 B141:B151 B153:B159 B161:B163 B165:W165 B166:X168 B171 B173:B174 B176:B188 B190:B192 B194:B202 B204:B216 B218:B230 B232:K237 B239 B241:B247 B249:B255 B257:B263 B265:B271 B273:B279 B281:B283 B285:B288 B290:B294 B296:B300 B302:K307 B310:C321 B324:Y333 C81:G83 C95:K95 C96 C97:K98 C107:G107 C110:G113 C116:G116 C119:G119 C122:G122 C141:M150 C153:I158 C161:I162 C173:K173 C176:K187 C190:K191 C194:K201 C204:K215 C218:K229 C241:K246 C249:K254 C257:K262 C265:K270 C273:K278 C281:K282 C285:K287 C290:K293 C296:K299 D15:D24 D26:D32 D34:D42 D46:Y70 D72:I73 D74:Y75 D77:I78 D310:D312 E15:Q15 E16:Y42 E43:X43 E44:Y45 E311 F96:K96 F310:F312 G311 H13:Q13 H310:H312 I71 I76 I81:Y83 I107:Y107 I110:Y113 I116:Y116 I119:Y119 I122:Y122 I311 J310 J312 K71:Y73 K76:Y78 K153:Y158 K161:Y162 L125:L133 L135 L137:O137 L310 L312:L313 M86:X91 M95:Y98 M101:Y102 M125:O135 M173:Y173 M176:Y187 M190:Y191 M194:Y201 M204:Y215 M218:Y229 M232:Y237 M241:Y246 M249:Y254 M257:Y262 M265:Y270 M273:Y278 M281:Y282 M285:Y287 M290:Y293 M296:Y299 M302:Y307 M313 N136:Q136 N310 N312:N313 O141:Y150 O313 P125:S126 P128:S128 P130:S130 P132:S132 P310 P312:P313 Q134 Q313 R310 R312 S134 S136 T10:Y15 T310 T312 V310 V312 X125:Y125 X311 X315 X319:X321 Y87:Y91 Y126:Y137 Y163:Y164 Y310:Y321">
    <cfRule type="expression" dxfId="0" priority="1" stopIfTrue="1">
      <formula>NOT(ISERROR(SEARCH("КР",A10)))</formula>
    </cfRule>
  </conditionalFormatting>
  <conditionalFormatting sqref="A10:Q12 A13:E13 A14:Q14 A15:C78 A79:B79 A81:A315 A318:A319 A322:A333 B81:B84 B86:K91 B93 B95:B99 B101:K102 B105 B107:B108 B110:B114 B116:B117 B119:B120 B122:B123 B125:K137 B139 B141:B151 B153:B159 B161:B163 B165:W165 B166:X168 B171 B173:B174 B176:B188 B190:B192 B194:B202 B204:B216 B218:B230 B232:K237 B239 B241:B247 B249:B255 B257:B263 B265:B271 B273:B279 B281:B283 B285:B288 B290:B294 B296:B300 B302:K307 B310:C321 B324:Y333 C81:G83 C95:K95 C96 C97:K98 C107:G107 C110:G113 C116:G116 C119:G119 C122:G122 C141:M150 C153:I158 C161:I162 C173:K173 C176:K187 C190:K191 C194:K201 C204:K215 C218:K229 C241:K246 C249:K254 C257:K262 C265:K270 C273:K278 C281:K282 C285:K287 C290:K293 C296:K299 D15:D24 D26:D32 D34:D42 D46:Y70 D72:I73 D74:Y75 D77:I78 D310:D312 E15:Q15 E16:Y42 E43:X43 E44:Y45 E311 F96:K96 F310:F312 G311 H13:Q13 H310:H312 I71 I76 I81:Y83 I107:Y107 I110:Y113 I116:Y116 I119:Y119 I122:Y122 I311 J310 J312 K71:Y73 K76:Y78 K153:Y158 K161:Y162 L125:L133 L135 L137:O137 L310 L312:L313 M86:X91 M95:Y98 M101:Y102 M125:O135 M173:Y173 M176:Y187 M190:Y191 M194:Y201 M204:Y215 M218:Y229 M232:Y237 M241:Y246 M249:Y254 M257:Y262 M265:Y270 M273:Y278 M281:Y282 M285:Y287 M290:Y293 M296:Y299 M302:Y307 M313 N136:Q136 N310 N312:N313 O141:Y150 O313 P125:S126 P128:S128 P130:S130 P132:S132 P310 P312:P313 Q134 Q313 R310 R312 S134 S136 T10:Y15 T310 T312 V310 V312 X125:Y125 X311 X315 X319:X321 Y87:Y91 Y126:Y137 Y163:Y164 Y310:Y321">
    <cfRule type="expression" dxfId="1" priority="2" stopIfTrue="1">
      <formula>NOT(ISERROR(SEARCH(TODAY(),A10)))</formula>
    </cfRule>
  </conditionalFormatting>
  <conditionalFormatting sqref="T126:W126 T128:W128 T130:W130 T132:W132 T134:W134 T136:W136">
    <cfRule type="expression" dxfId="0" priority="3" stopIfTrue="1">
      <formula>NOT(ISERROR(SEARCH("КР",T126)))</formula>
    </cfRule>
  </conditionalFormatting>
  <conditionalFormatting sqref="T126:W126 T128:W128 T130:W130 T132:W132 T134:W134 T136:W136">
    <cfRule type="expression" dxfId="1" priority="4" stopIfTrue="1">
      <formula>NOT(ISERROR(SEARCH(TODAY(),T126)))</formula>
    </cfRule>
  </conditionalFormatting>
  <conditionalFormatting sqref="J311:W311">
    <cfRule type="expression" dxfId="0" priority="5" stopIfTrue="1">
      <formula>NOT(ISERROR(SEARCH("КР",J311)))</formula>
    </cfRule>
  </conditionalFormatting>
  <conditionalFormatting sqref="J311:W311">
    <cfRule type="expression" dxfId="1" priority="6" stopIfTrue="1">
      <formula>NOT(ISERROR(SEARCH(TODAY(),J311)))</formula>
    </cfRule>
  </conditionalFormatting>
  <conditionalFormatting sqref="D313:K313">
    <cfRule type="expression" dxfId="0" priority="7" stopIfTrue="1">
      <formula>NOT(ISERROR(SEARCH("КР",D313)))</formula>
    </cfRule>
  </conditionalFormatting>
  <conditionalFormatting sqref="D313:K313">
    <cfRule type="expression" dxfId="1" priority="8" stopIfTrue="1">
      <formula>NOT(ISERROR(SEARCH(TODAY(),D313)))</formula>
    </cfRule>
  </conditionalFormatting>
  <conditionalFormatting sqref="D71:H71">
    <cfRule type="expression" dxfId="0" priority="9" stopIfTrue="1">
      <formula>NOT(ISERROR(SEARCH("КР",D71)))</formula>
    </cfRule>
  </conditionalFormatting>
  <conditionalFormatting sqref="D71:H71">
    <cfRule type="expression" dxfId="1" priority="10" stopIfTrue="1">
      <formula>NOT(ISERROR(SEARCH(TODAY(),D71)))</formula>
    </cfRule>
  </conditionalFormatting>
  <conditionalFormatting sqref="D76:H76">
    <cfRule type="expression" dxfId="0" priority="11" stopIfTrue="1">
      <formula>NOT(ISERROR(SEARCH("КР",D76)))</formula>
    </cfRule>
  </conditionalFormatting>
  <conditionalFormatting sqref="D76:H76">
    <cfRule type="expression" dxfId="1" priority="12" stopIfTrue="1">
      <formula>NOT(ISERROR(SEARCH(TODAY(),D76)))</formula>
    </cfRule>
  </conditionalFormatting>
  <conditionalFormatting sqref="T125:U125">
    <cfRule type="expression" dxfId="0" priority="13" stopIfTrue="1">
      <formula>NOT(ISERROR(SEARCH("КР",T125)))</formula>
    </cfRule>
  </conditionalFormatting>
  <conditionalFormatting sqref="T125:U125">
    <cfRule type="expression" dxfId="1" priority="14" stopIfTrue="1">
      <formula>NOT(ISERROR(SEARCH(TODAY(),T125)))</formula>
    </cfRule>
  </conditionalFormatting>
  <conditionalFormatting sqref="V125:W125">
    <cfRule type="expression" dxfId="0" priority="15" stopIfTrue="1">
      <formula>NOT(ISERROR(SEARCH("КР",V125)))</formula>
    </cfRule>
  </conditionalFormatting>
  <conditionalFormatting sqref="V125:W125">
    <cfRule type="expression" dxfId="1" priority="16" stopIfTrue="1">
      <formula>NOT(ISERROR(SEARCH(TODAY(),V125)))</formula>
    </cfRule>
  </conditionalFormatting>
  <conditionalFormatting sqref="X165">
    <cfRule type="expression" dxfId="0" priority="17" stopIfTrue="1">
      <formula>NOT(ISERROR(SEARCH("КР",X165)))</formula>
    </cfRule>
  </conditionalFormatting>
  <conditionalFormatting sqref="X165">
    <cfRule type="expression" dxfId="1" priority="18" stopIfTrue="1">
      <formula>NOT(ISERROR(SEARCH(TODAY(),X165)))</formula>
    </cfRule>
  </conditionalFormatting>
  <conditionalFormatting sqref="D314:D316 E315 F314:F316 G315 H314:H315 I315 J314 J316 L314 L316:L317 M317 N314 N316:N317 O317 P314 P316:P317 Q317 R314 R316 T316 V314 V316">
    <cfRule type="expression" dxfId="0" priority="19" stopIfTrue="1">
      <formula>NOT(ISERROR(SEARCH("КР",D314)))</formula>
    </cfRule>
  </conditionalFormatting>
  <conditionalFormatting sqref="D314:D316 E315 F314:F316 G315 H314:H315 I315 J314 J316 L314 L316:L317 M317 N314 N316:N317 O317 P314 P316:P317 Q317 R314 R316 T316 V314 V316">
    <cfRule type="expression" dxfId="1" priority="20" stopIfTrue="1">
      <formula>NOT(ISERROR(SEARCH(TODAY(),D314)))</formula>
    </cfRule>
  </conditionalFormatting>
  <conditionalFormatting sqref="J315:W315">
    <cfRule type="expression" dxfId="0" priority="21" stopIfTrue="1">
      <formula>NOT(ISERROR(SEARCH("КР",J315)))</formula>
    </cfRule>
  </conditionalFormatting>
  <conditionalFormatting sqref="J315:W315">
    <cfRule type="expression" dxfId="1" priority="22" stopIfTrue="1">
      <formula>NOT(ISERROR(SEARCH(TODAY(),J315)))</formula>
    </cfRule>
  </conditionalFormatting>
  <conditionalFormatting sqref="D317:K317">
    <cfRule type="expression" dxfId="0" priority="23" stopIfTrue="1">
      <formula>NOT(ISERROR(SEARCH("КР",D317)))</formula>
    </cfRule>
  </conditionalFormatting>
  <conditionalFormatting sqref="D317:K317">
    <cfRule type="expression" dxfId="1" priority="24" stopIfTrue="1">
      <formula>NOT(ISERROR(SEARCH(TODAY(),D317)))</formula>
    </cfRule>
  </conditionalFormatting>
  <conditionalFormatting sqref="D318:D320 E319 F318:F320 G319 H318:H319 I319 J318 J320 L318 L320:L321 M321 N318 N320:N321 O321 P318 P320:P321 Q321 R318 R320 T320 V318 V320">
    <cfRule type="expression" dxfId="0" priority="25" stopIfTrue="1">
      <formula>NOT(ISERROR(SEARCH("КР",D318)))</formula>
    </cfRule>
  </conditionalFormatting>
  <conditionalFormatting sqref="D318:D320 E319 F318:F320 G319 H318:H319 I319 J318 J320 L318 L320:L321 M321 N318 N320:N321 O321 P318 P320:P321 Q321 R318 R320 T320 V318 V320">
    <cfRule type="expression" dxfId="1" priority="26" stopIfTrue="1">
      <formula>NOT(ISERROR(SEARCH(TODAY(),D318)))</formula>
    </cfRule>
  </conditionalFormatting>
  <conditionalFormatting sqref="J319:W319">
    <cfRule type="expression" dxfId="0" priority="27" stopIfTrue="1">
      <formula>NOT(ISERROR(SEARCH("КР",J319)))</formula>
    </cfRule>
  </conditionalFormatting>
  <conditionalFormatting sqref="J319:W319">
    <cfRule type="expression" dxfId="1" priority="28" stopIfTrue="1">
      <formula>NOT(ISERROR(SEARCH(TODAY(),J319)))</formula>
    </cfRule>
  </conditionalFormatting>
  <conditionalFormatting sqref="D321:K321">
    <cfRule type="expression" dxfId="0" priority="29" stopIfTrue="1">
      <formula>NOT(ISERROR(SEARCH("КР",D321)))</formula>
    </cfRule>
  </conditionalFormatting>
  <conditionalFormatting sqref="D321:K321">
    <cfRule type="expression" dxfId="1" priority="30" stopIfTrue="1">
      <formula>NOT(ISERROR(SEARCH(TODAY(),D321)))</formula>
    </cfRule>
  </conditionalFormatting>
  <conditionalFormatting sqref="T314">
    <cfRule type="expression" dxfId="0" priority="31" stopIfTrue="1">
      <formula>NOT(ISERROR(SEARCH("КР",T314)))</formula>
    </cfRule>
  </conditionalFormatting>
  <conditionalFormatting sqref="T314">
    <cfRule type="expression" dxfId="1" priority="32" stopIfTrue="1">
      <formula>NOT(ISERROR(SEARCH(TODAY(),T314)))</formula>
    </cfRule>
  </conditionalFormatting>
  <conditionalFormatting sqref="T318">
    <cfRule type="expression" dxfId="0" priority="33" stopIfTrue="1">
      <formula>NOT(ISERROR(SEARCH("КР",T318)))</formula>
    </cfRule>
  </conditionalFormatting>
  <conditionalFormatting sqref="T318">
    <cfRule type="expression" dxfId="1" priority="34" stopIfTrue="1">
      <formula>NOT(ISERROR(SEARCH(TODAY(),T318)))</formula>
    </cfRule>
  </conditionalFormatting>
  <conditionalFormatting sqref="H316">
    <cfRule type="expression" dxfId="0" priority="35" stopIfTrue="1">
      <formula>NOT(ISERROR(SEARCH("КР",H316)))</formula>
    </cfRule>
  </conditionalFormatting>
  <conditionalFormatting sqref="H316">
    <cfRule type="expression" dxfId="1" priority="36" stopIfTrue="1">
      <formula>NOT(ISERROR(SEARCH(TODAY(),H316)))</formula>
    </cfRule>
  </conditionalFormatting>
  <conditionalFormatting sqref="H320">
    <cfRule type="expression" dxfId="0" priority="37" stopIfTrue="1">
      <formula>NOT(ISERROR(SEARCH("КР",H320)))</formula>
    </cfRule>
  </conditionalFormatting>
  <conditionalFormatting sqref="H320">
    <cfRule type="expression" dxfId="1" priority="38" stopIfTrue="1">
      <formula>NOT(ISERROR(SEARCH(TODAY(),H320)))</formula>
    </cfRule>
  </conditionalFormatting>
  <conditionalFormatting sqref="J71:J73">
    <cfRule type="expression" dxfId="0" priority="39" stopIfTrue="1">
      <formula>NOT(ISERROR(SEARCH("КР",J71)))</formula>
    </cfRule>
  </conditionalFormatting>
  <conditionalFormatting sqref="J71:J73">
    <cfRule type="expression" dxfId="1" priority="40" stopIfTrue="1">
      <formula>NOT(ISERROR(SEARCH(TODAY(),J71)))</formula>
    </cfRule>
  </conditionalFormatting>
  <conditionalFormatting sqref="J76:J78">
    <cfRule type="expression" dxfId="0" priority="41" stopIfTrue="1">
      <formula>NOT(ISERROR(SEARCH("КР",J76)))</formula>
    </cfRule>
  </conditionalFormatting>
  <conditionalFormatting sqref="J76:J78">
    <cfRule type="expression" dxfId="1" priority="42" stopIfTrue="1">
      <formula>NOT(ISERROR(SEARCH(TODAY(),J76)))</formula>
    </cfRule>
  </conditionalFormatting>
  <conditionalFormatting sqref="H81:H83">
    <cfRule type="expression" dxfId="0" priority="43" stopIfTrue="1">
      <formula>NOT(ISERROR(SEARCH("КР",H81)))</formula>
    </cfRule>
  </conditionalFormatting>
  <conditionalFormatting sqref="H81:H83">
    <cfRule type="expression" dxfId="1" priority="44" stopIfTrue="1">
      <formula>NOT(ISERROR(SEARCH(TODAY(),H81)))</formula>
    </cfRule>
  </conditionalFormatting>
  <conditionalFormatting sqref="L86:L91">
    <cfRule type="expression" dxfId="0" priority="45" stopIfTrue="1">
      <formula>NOT(ISERROR(SEARCH("КР",L86)))</formula>
    </cfRule>
  </conditionalFormatting>
  <conditionalFormatting sqref="L86:L91">
    <cfRule type="expression" dxfId="1" priority="46" stopIfTrue="1">
      <formula>NOT(ISERROR(SEARCH(TODAY(),L86)))</formula>
    </cfRule>
  </conditionalFormatting>
  <conditionalFormatting sqref="L95:L98">
    <cfRule type="expression" dxfId="0" priority="47" stopIfTrue="1">
      <formula>NOT(ISERROR(SEARCH("КР",L95)))</formula>
    </cfRule>
  </conditionalFormatting>
  <conditionalFormatting sqref="L95:L98">
    <cfRule type="expression" dxfId="1" priority="48" stopIfTrue="1">
      <formula>NOT(ISERROR(SEARCH(TODAY(),L95)))</formula>
    </cfRule>
  </conditionalFormatting>
  <conditionalFormatting sqref="L101:L102">
    <cfRule type="expression" dxfId="0" priority="49" stopIfTrue="1">
      <formula>NOT(ISERROR(SEARCH("КР",L101)))</formula>
    </cfRule>
  </conditionalFormatting>
  <conditionalFormatting sqref="L101:L102">
    <cfRule type="expression" dxfId="1" priority="50" stopIfTrue="1">
      <formula>NOT(ISERROR(SEARCH(TODAY(),L101)))</formula>
    </cfRule>
  </conditionalFormatting>
  <conditionalFormatting sqref="H107">
    <cfRule type="expression" dxfId="0" priority="51" stopIfTrue="1">
      <formula>NOT(ISERROR(SEARCH("КР",H107)))</formula>
    </cfRule>
  </conditionalFormatting>
  <conditionalFormatting sqref="H107">
    <cfRule type="expression" dxfId="1" priority="52" stopIfTrue="1">
      <formula>NOT(ISERROR(SEARCH(TODAY(),H107)))</formula>
    </cfRule>
  </conditionalFormatting>
  <conditionalFormatting sqref="H110:H113">
    <cfRule type="expression" dxfId="0" priority="53" stopIfTrue="1">
      <formula>NOT(ISERROR(SEARCH("КР",H110)))</formula>
    </cfRule>
  </conditionalFormatting>
  <conditionalFormatting sqref="H110:H113">
    <cfRule type="expression" dxfId="1" priority="54" stopIfTrue="1">
      <formula>NOT(ISERROR(SEARCH(TODAY(),H110)))</formula>
    </cfRule>
  </conditionalFormatting>
  <conditionalFormatting sqref="H116">
    <cfRule type="expression" dxfId="0" priority="55" stopIfTrue="1">
      <formula>NOT(ISERROR(SEARCH("КР",H116)))</formula>
    </cfRule>
  </conditionalFormatting>
  <conditionalFormatting sqref="H116">
    <cfRule type="expression" dxfId="1" priority="56" stopIfTrue="1">
      <formula>NOT(ISERROR(SEARCH(TODAY(),H116)))</formula>
    </cfRule>
  </conditionalFormatting>
  <conditionalFormatting sqref="H119">
    <cfRule type="expression" dxfId="0" priority="57" stopIfTrue="1">
      <formula>NOT(ISERROR(SEARCH("КР",H119)))</formula>
    </cfRule>
  </conditionalFormatting>
  <conditionalFormatting sqref="H119">
    <cfRule type="expression" dxfId="1" priority="58" stopIfTrue="1">
      <formula>NOT(ISERROR(SEARCH(TODAY(),H119)))</formula>
    </cfRule>
  </conditionalFormatting>
  <conditionalFormatting sqref="H122">
    <cfRule type="expression" dxfId="0" priority="59" stopIfTrue="1">
      <formula>NOT(ISERROR(SEARCH("КР",H122)))</formula>
    </cfRule>
  </conditionalFormatting>
  <conditionalFormatting sqref="H122">
    <cfRule type="expression" dxfId="1" priority="60" stopIfTrue="1">
      <formula>NOT(ISERROR(SEARCH(TODAY(),H122)))</formula>
    </cfRule>
  </conditionalFormatting>
  <conditionalFormatting sqref="X126:X137">
    <cfRule type="expression" dxfId="0" priority="61" stopIfTrue="1">
      <formula>NOT(ISERROR(SEARCH("КР",X126)))</formula>
    </cfRule>
  </conditionalFormatting>
  <conditionalFormatting sqref="X126:X137">
    <cfRule type="expression" dxfId="1" priority="62" stopIfTrue="1">
      <formula>NOT(ISERROR(SEARCH(TODAY(),X126)))</formula>
    </cfRule>
  </conditionalFormatting>
  <conditionalFormatting sqref="N141:N150">
    <cfRule type="expression" dxfId="0" priority="63" stopIfTrue="1">
      <formula>NOT(ISERROR(SEARCH("КР",N141)))</formula>
    </cfRule>
  </conditionalFormatting>
  <conditionalFormatting sqref="N141:N150">
    <cfRule type="expression" dxfId="1" priority="64" stopIfTrue="1">
      <formula>NOT(ISERROR(SEARCH(TODAY(),N141)))</formula>
    </cfRule>
  </conditionalFormatting>
  <conditionalFormatting sqref="J153:J158">
    <cfRule type="expression" dxfId="0" priority="65" stopIfTrue="1">
      <formula>NOT(ISERROR(SEARCH("КР",J153)))</formula>
    </cfRule>
  </conditionalFormatting>
  <conditionalFormatting sqref="J153:J158">
    <cfRule type="expression" dxfId="1" priority="66" stopIfTrue="1">
      <formula>NOT(ISERROR(SEARCH(TODAY(),J153)))</formula>
    </cfRule>
  </conditionalFormatting>
  <conditionalFormatting sqref="J161:J162">
    <cfRule type="expression" dxfId="0" priority="67" stopIfTrue="1">
      <formula>NOT(ISERROR(SEARCH("КР",J161)))</formula>
    </cfRule>
  </conditionalFormatting>
  <conditionalFormatting sqref="J161:J162">
    <cfRule type="expression" dxfId="1" priority="68" stopIfTrue="1">
      <formula>NOT(ISERROR(SEARCH(TODAY(),J161)))</formula>
    </cfRule>
  </conditionalFormatting>
  <conditionalFormatting sqref="Y165:Y168">
    <cfRule type="expression" dxfId="0" priority="69" stopIfTrue="1">
      <formula>NOT(ISERROR(SEARCH("КР",Y165)))</formula>
    </cfRule>
  </conditionalFormatting>
  <conditionalFormatting sqref="Y165:Y168">
    <cfRule type="expression" dxfId="1" priority="70" stopIfTrue="1">
      <formula>NOT(ISERROR(SEARCH(TODAY(),Y165)))</formula>
    </cfRule>
  </conditionalFormatting>
  <conditionalFormatting sqref="L173">
    <cfRule type="expression" dxfId="0" priority="71" stopIfTrue="1">
      <formula>NOT(ISERROR(SEARCH("КР",L173)))</formula>
    </cfRule>
  </conditionalFormatting>
  <conditionalFormatting sqref="L173">
    <cfRule type="expression" dxfId="1" priority="72" stopIfTrue="1">
      <formula>NOT(ISERROR(SEARCH(TODAY(),L173)))</formula>
    </cfRule>
  </conditionalFormatting>
  <conditionalFormatting sqref="L176:L187">
    <cfRule type="expression" dxfId="0" priority="73" stopIfTrue="1">
      <formula>NOT(ISERROR(SEARCH("КР",L176)))</formula>
    </cfRule>
  </conditionalFormatting>
  <conditionalFormatting sqref="L176:L187">
    <cfRule type="expression" dxfId="1" priority="74" stopIfTrue="1">
      <formula>NOT(ISERROR(SEARCH(TODAY(),L176)))</formula>
    </cfRule>
  </conditionalFormatting>
  <conditionalFormatting sqref="L190:L191">
    <cfRule type="expression" dxfId="0" priority="75" stopIfTrue="1">
      <formula>NOT(ISERROR(SEARCH("КР",L190)))</formula>
    </cfRule>
  </conditionalFormatting>
  <conditionalFormatting sqref="L190:L191">
    <cfRule type="expression" dxfId="1" priority="76" stopIfTrue="1">
      <formula>NOT(ISERROR(SEARCH(TODAY(),L190)))</formula>
    </cfRule>
  </conditionalFormatting>
  <conditionalFormatting sqref="L194:L201">
    <cfRule type="expression" dxfId="0" priority="77" stopIfTrue="1">
      <formula>NOT(ISERROR(SEARCH("КР",L194)))</formula>
    </cfRule>
  </conditionalFormatting>
  <conditionalFormatting sqref="L194:L201">
    <cfRule type="expression" dxfId="1" priority="78" stopIfTrue="1">
      <formula>NOT(ISERROR(SEARCH(TODAY(),L194)))</formula>
    </cfRule>
  </conditionalFormatting>
  <conditionalFormatting sqref="L204:L215">
    <cfRule type="expression" dxfId="0" priority="79" stopIfTrue="1">
      <formula>NOT(ISERROR(SEARCH("КР",L204)))</formula>
    </cfRule>
  </conditionalFormatting>
  <conditionalFormatting sqref="L204:L215">
    <cfRule type="expression" dxfId="1" priority="80" stopIfTrue="1">
      <formula>NOT(ISERROR(SEARCH(TODAY(),L204)))</formula>
    </cfRule>
  </conditionalFormatting>
  <conditionalFormatting sqref="L218:L229">
    <cfRule type="expression" dxfId="0" priority="81" stopIfTrue="1">
      <formula>NOT(ISERROR(SEARCH("КР",L218)))</formula>
    </cfRule>
  </conditionalFormatting>
  <conditionalFormatting sqref="L218:L229">
    <cfRule type="expression" dxfId="1" priority="82" stopIfTrue="1">
      <formula>NOT(ISERROR(SEARCH(TODAY(),L218)))</formula>
    </cfRule>
  </conditionalFormatting>
  <conditionalFormatting sqref="L232:L237">
    <cfRule type="expression" dxfId="0" priority="83" stopIfTrue="1">
      <formula>NOT(ISERROR(SEARCH("КР",L232)))</formula>
    </cfRule>
  </conditionalFormatting>
  <conditionalFormatting sqref="L232:L237">
    <cfRule type="expression" dxfId="1" priority="84" stopIfTrue="1">
      <formula>NOT(ISERROR(SEARCH(TODAY(),L232)))</formula>
    </cfRule>
  </conditionalFormatting>
  <conditionalFormatting sqref="L241:L246">
    <cfRule type="expression" dxfId="0" priority="85" stopIfTrue="1">
      <formula>NOT(ISERROR(SEARCH("КР",L241)))</formula>
    </cfRule>
  </conditionalFormatting>
  <conditionalFormatting sqref="L241:L246">
    <cfRule type="expression" dxfId="1" priority="86" stopIfTrue="1">
      <formula>NOT(ISERROR(SEARCH(TODAY(),L241)))</formula>
    </cfRule>
  </conditionalFormatting>
  <conditionalFormatting sqref="L249:L254">
    <cfRule type="expression" dxfId="0" priority="87" stopIfTrue="1">
      <formula>NOT(ISERROR(SEARCH("КР",L249)))</formula>
    </cfRule>
  </conditionalFormatting>
  <conditionalFormatting sqref="L249:L254">
    <cfRule type="expression" dxfId="1" priority="88" stopIfTrue="1">
      <formula>NOT(ISERROR(SEARCH(TODAY(),L249)))</formula>
    </cfRule>
  </conditionalFormatting>
  <conditionalFormatting sqref="L257:L262">
    <cfRule type="expression" dxfId="0" priority="89" stopIfTrue="1">
      <formula>NOT(ISERROR(SEARCH("КР",L257)))</formula>
    </cfRule>
  </conditionalFormatting>
  <conditionalFormatting sqref="L257:L262">
    <cfRule type="expression" dxfId="1" priority="90" stopIfTrue="1">
      <formula>NOT(ISERROR(SEARCH(TODAY(),L257)))</formula>
    </cfRule>
  </conditionalFormatting>
  <conditionalFormatting sqref="L265:L270">
    <cfRule type="expression" dxfId="0" priority="91" stopIfTrue="1">
      <formula>NOT(ISERROR(SEARCH("КР",L265)))</formula>
    </cfRule>
  </conditionalFormatting>
  <conditionalFormatting sqref="L265:L270">
    <cfRule type="expression" dxfId="1" priority="92" stopIfTrue="1">
      <formula>NOT(ISERROR(SEARCH(TODAY(),L265)))</formula>
    </cfRule>
  </conditionalFormatting>
  <conditionalFormatting sqref="L273:L278">
    <cfRule type="expression" dxfId="0" priority="93" stopIfTrue="1">
      <formula>NOT(ISERROR(SEARCH("КР",L273)))</formula>
    </cfRule>
  </conditionalFormatting>
  <conditionalFormatting sqref="L273:L278">
    <cfRule type="expression" dxfId="1" priority="94" stopIfTrue="1">
      <formula>NOT(ISERROR(SEARCH(TODAY(),L273)))</formula>
    </cfRule>
  </conditionalFormatting>
  <conditionalFormatting sqref="L281:L282">
    <cfRule type="expression" dxfId="0" priority="95" stopIfTrue="1">
      <formula>NOT(ISERROR(SEARCH("КР",L281)))</formula>
    </cfRule>
  </conditionalFormatting>
  <conditionalFormatting sqref="L281:L282">
    <cfRule type="expression" dxfId="1" priority="96" stopIfTrue="1">
      <formula>NOT(ISERROR(SEARCH(TODAY(),L281)))</formula>
    </cfRule>
  </conditionalFormatting>
  <conditionalFormatting sqref="L285:L287">
    <cfRule type="expression" dxfId="0" priority="97" stopIfTrue="1">
      <formula>NOT(ISERROR(SEARCH("КР",L285)))</formula>
    </cfRule>
  </conditionalFormatting>
  <conditionalFormatting sqref="L285:L287">
    <cfRule type="expression" dxfId="1" priority="98" stopIfTrue="1">
      <formula>NOT(ISERROR(SEARCH(TODAY(),L285)))</formula>
    </cfRule>
  </conditionalFormatting>
  <conditionalFormatting sqref="L290:L293">
    <cfRule type="expression" dxfId="0" priority="99" stopIfTrue="1">
      <formula>NOT(ISERROR(SEARCH("КР",L290)))</formula>
    </cfRule>
  </conditionalFormatting>
  <conditionalFormatting sqref="L290:L293">
    <cfRule type="expression" dxfId="1" priority="100" stopIfTrue="1">
      <formula>NOT(ISERROR(SEARCH(TODAY(),L290)))</formula>
    </cfRule>
  </conditionalFormatting>
  <conditionalFormatting sqref="L296:L299">
    <cfRule type="expression" dxfId="0" priority="101" stopIfTrue="1">
      <formula>NOT(ISERROR(SEARCH("КР",L296)))</formula>
    </cfRule>
  </conditionalFormatting>
  <conditionalFormatting sqref="L296:L299">
    <cfRule type="expression" dxfId="1" priority="102" stopIfTrue="1">
      <formula>NOT(ISERROR(SEARCH(TODAY(),L296)))</formula>
    </cfRule>
  </conditionalFormatting>
  <conditionalFormatting sqref="L302:L307">
    <cfRule type="expression" dxfId="0" priority="103" stopIfTrue="1">
      <formula>NOT(ISERROR(SEARCH("КР",L302)))</formula>
    </cfRule>
  </conditionalFormatting>
  <conditionalFormatting sqref="L302:L307">
    <cfRule type="expression" dxfId="1" priority="104" stopIfTrue="1">
      <formula>NOT(ISERROR(SEARCH(TODAY(),L302)))</formula>
    </cfRule>
  </conditionalFormatting>
  <conditionalFormatting sqref="L136:M136">
    <cfRule type="expression" dxfId="0" priority="105" stopIfTrue="1">
      <formula>NOT(ISERROR(SEARCH("КР",L136)))</formula>
    </cfRule>
  </conditionalFormatting>
  <conditionalFormatting sqref="L136:M136">
    <cfRule type="expression" dxfId="1" priority="106" stopIfTrue="1">
      <formula>NOT(ISERROR(SEARCH(TODAY(),L136)))</formula>
    </cfRule>
  </conditionalFormatting>
  <conditionalFormatting sqref="R10:S15">
    <cfRule type="expression" dxfId="0" priority="107" stopIfTrue="1">
      <formula>NOT(ISERROR(SEARCH("КР",R10)))</formula>
    </cfRule>
  </conditionalFormatting>
  <conditionalFormatting sqref="R10:S15">
    <cfRule type="expression" dxfId="1" priority="108" stopIfTrue="1">
      <formula>NOT(ISERROR(SEARCH(TODAY(),R10)))</formula>
    </cfRule>
  </conditionalFormatting>
  <conditionalFormatting sqref="Y43">
    <cfRule type="expression" dxfId="0" priority="109" stopIfTrue="1">
      <formula>NOT(ISERROR(SEARCH("КР",Y43)))</formula>
    </cfRule>
  </conditionalFormatting>
  <conditionalFormatting sqref="Y43">
    <cfRule type="expression" dxfId="1" priority="110" stopIfTrue="1">
      <formula>NOT(ISERROR(SEARCH(TODAY(),Y43)))</formula>
    </cfRule>
  </conditionalFormatting>
  <conditionalFormatting sqref="D33">
    <cfRule type="expression" dxfId="0" priority="111" stopIfTrue="1">
      <formula>NOT(ISERROR(SEARCH("КР",D33)))</formula>
    </cfRule>
  </conditionalFormatting>
  <conditionalFormatting sqref="D33">
    <cfRule type="expression" dxfId="1" priority="112" stopIfTrue="1">
      <formula>NOT(ISERROR(SEARCH(TODAY(),D33)))</formula>
    </cfRule>
  </conditionalFormatting>
  <conditionalFormatting sqref="P134">
    <cfRule type="expression" dxfId="0" priority="113" stopIfTrue="1">
      <formula>NOT(ISERROR(SEARCH("КР",P134)))</formula>
    </cfRule>
  </conditionalFormatting>
  <conditionalFormatting sqref="P134">
    <cfRule type="expression" dxfId="1" priority="114" stopIfTrue="1">
      <formula>NOT(ISERROR(SEARCH(TODAY(),P134)))</formula>
    </cfRule>
  </conditionalFormatting>
  <conditionalFormatting sqref="R134">
    <cfRule type="expression" dxfId="0" priority="115" stopIfTrue="1">
      <formula>NOT(ISERROR(SEARCH("КР",R134)))</formula>
    </cfRule>
  </conditionalFormatting>
  <conditionalFormatting sqref="R134">
    <cfRule type="expression" dxfId="1" priority="116" stopIfTrue="1">
      <formula>NOT(ISERROR(SEARCH(TODAY(),R134)))</formula>
    </cfRule>
  </conditionalFormatting>
  <conditionalFormatting sqref="R136">
    <cfRule type="expression" dxfId="0" priority="117" stopIfTrue="1">
      <formula>NOT(ISERROR(SEARCH("КР",R136)))</formula>
    </cfRule>
  </conditionalFormatting>
  <conditionalFormatting sqref="R136">
    <cfRule type="expression" dxfId="1" priority="118" stopIfTrue="1">
      <formula>NOT(ISERROR(SEARCH(TODAY(),R136)))</formula>
    </cfRule>
  </conditionalFormatting>
  <conditionalFormatting sqref="D44:D45">
    <cfRule type="expression" dxfId="0" priority="119" stopIfTrue="1">
      <formula>NOT(ISERROR(SEARCH("КР",D44)))</formula>
    </cfRule>
  </conditionalFormatting>
  <conditionalFormatting sqref="D44:D45">
    <cfRule type="expression" dxfId="1" priority="120" stopIfTrue="1">
      <formula>NOT(ISERROR(SEARCH(TODAY(),D44)))</formula>
    </cfRule>
  </conditionalFormatting>
  <conditionalFormatting sqref="D43">
    <cfRule type="expression" dxfId="0" priority="121" stopIfTrue="1">
      <formula>NOT(ISERROR(SEARCH("КР",D43)))</formula>
    </cfRule>
  </conditionalFormatting>
  <conditionalFormatting sqref="D43">
    <cfRule type="expression" dxfId="1" priority="122" stopIfTrue="1">
      <formula>NOT(ISERROR(SEARCH(TODAY(),D43)))</formula>
    </cfRule>
  </conditionalFormatting>
  <conditionalFormatting sqref="F13:G13">
    <cfRule type="expression" dxfId="0" priority="123" stopIfTrue="1">
      <formula>NOT(ISERROR(SEARCH("КР",F13)))</formula>
    </cfRule>
  </conditionalFormatting>
  <conditionalFormatting sqref="F13:G13">
    <cfRule type="expression" dxfId="1" priority="124" stopIfTrue="1">
      <formula>NOT(ISERROR(SEARCH(TODAY(),F13)))</formula>
    </cfRule>
  </conditionalFormatting>
  <conditionalFormatting sqref="D25">
    <cfRule type="expression" dxfId="0" priority="125" stopIfTrue="1">
      <formula>NOT(ISERROR(SEARCH("КР",D25)))</formula>
    </cfRule>
  </conditionalFormatting>
  <conditionalFormatting sqref="D25">
    <cfRule type="expression" dxfId="1" priority="126" stopIfTrue="1">
      <formula>NOT(ISERROR(SEARCH(TODAY(),D25)))</formula>
    </cfRule>
  </conditionalFormatting>
  <dataValidations>
    <dataValidation type="list" allowBlank="1" sqref="C10:C15 C18:C20 C23:C25 C28:C30 C33:C35 C38:C40 C43:C45 C48:C50 C53:C55 C58:C60 C64:C68 C71:C73 C76:C78 C81:C83 C86:C91 C95:C98 C101:C102 C107 C110:C113 C116 C119 C122 A125 C126 C128 C130 C132 C134 C136 C141:C150 C153:C158 C161:C162 C165:C168 C173 C176:C187 C190:C191 C194:C201 C204:C215 C218:C229 C232:C237 C241:C246 C249:C254 C257:C262 C265:C270 C273:C278 C281:C282 C285:C287 C290:C293 C296:C299 C302:C307 C311 C315 C319 C325">
      <formula1>$AD$1:$AD$4</formula1>
    </dataValidation>
  </dataValidations>
  <hyperlinks>
    <hyperlink display="Насоси" location="null!A6" ref="D1"/>
    <hyperlink display="Посудини" location="null!A102" ref="F1"/>
    <hyperlink display="Арматура" location="null!A168" ref="H1"/>
    <hyperlink display="Дизелі" location="null!A307" ref="J1"/>
    <hyperlink display="Реактор" location="null!A321" ref="L1"/>
  </hyperlinks>
  <printOptions/>
  <pageMargins bottom="0.3937007874015748" footer="0.0" header="0.0" left="0.5905511811023623" right="0.3937007874015748" top="0.3937007874015748"/>
  <pageSetup paperSize="9" scale="66" orientation="landscape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1996-10-08T23:32:33Z</dcterms:created>
  <dc:creator>Савчук Ю.А.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Издатель">
    <vt:lpwstr>Савчук Ю.А.</vt:lpwstr>
  </property>
</Properties>
</file>