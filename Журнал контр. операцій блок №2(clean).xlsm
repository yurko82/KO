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vnd.ms-office.vbaProject" Extension="bin"/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1.xml"/>
  <Override ContentType="application/binary" PartName="/xl/metadata"/>
  <Override ContentType="application/binary" PartName="/xl/commentsmeta0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drawingml.chart+xml" PartName="/xl/charts/chart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ЭтаКнига"/>
  <sheets>
    <sheet state="visible" name="Таблиця" sheetId="1" r:id="rId5"/>
  </sheets>
  <definedNames/>
  <calcPr/>
  <extLst>
    <ext uri="GoogleSheetsCustomDataVersion2">
      <go:sheetsCustomData xmlns:go="http://customooxmlschemas.google.com/" r:id="rId6" roundtripDataChecksum="SQUhYYnCtjDK9+fOjRSLDTmqLGzsuL5wMypdEhGXpIY="/>
    </ext>
  </extLst>
</workbook>
</file>

<file path=xl/comments1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D100">
      <text>
        <t xml:space="preserve">======
ID#AAACHfYYsSI
RoPM    (2026-09-23 10:38:02)
контроль биття і вертикальності осі валопроводу</t>
      </text>
    </comment>
    <comment authorId="0" ref="H199">
      <text>
        <t xml:space="preserve">======
ID#AAACHfYYsOg
RoPM    (2026-09-23 10:38:02)
огляд стану поверхонь роз'єму «кришка-корпус»</t>
      </text>
    </comment>
    <comment authorId="0" ref="F100">
      <text>
        <t xml:space="preserve">======
ID#AAACHfYYsPg
RoPM    (2026-09-23 10:38:02)
контроль проміжків між валом і вкладишами верхніх і нижніх
направляючих підшипників насоса</t>
      </text>
    </comment>
    <comment authorId="0" ref="J199">
      <text>
        <t xml:space="preserve">======
ID#AAACHfYYsWk
RoPM    (2026-09-23 10:38:02)
огляд ущільнюючих поверхонь виймальних частин</t>
      </text>
    </comment>
    <comment authorId="0" ref="H100">
      <text>
        <t xml:space="preserve">======
ID#AAACHfYYsWI
RoPM    (2026-09-23 10:38:02)
контроль проміжків між ротором і вкладишами верхніх і нижніх направляючих підшипників електродвигуна</t>
      </text>
    </comment>
    <comment authorId="0" ref="J100">
      <text>
        <t xml:space="preserve">======
ID#AAACHfYYsUA
RoPM    (2026-09-23 10:38:02)
контроль проміжків по лопатях робочого колеса насоса</t>
      </text>
    </comment>
    <comment authorId="0" ref="D315">
      <text>
        <t xml:space="preserve">======
ID#AAACHfYYsSU
RoPM    (2026-09-23 10:38:02)
Перевірка висоти камери стиснення</t>
      </text>
    </comment>
    <comment authorId="0" ref="F315">
      <text>
        <t xml:space="preserve">======
ID#AAACHfYYsTg
RoPM    (2026-09-23 10:38:02)
Виконати всі роботи передбачені ПР, СР</t>
      </text>
    </comment>
    <comment authorId="0" ref="H315">
      <text>
        <t xml:space="preserve">======
ID#AAACHfYYsWQ
RoPM    (2026-09-23 10:38:02)
Перевірка на чистоту гільзи циліндрів і посадочні місця, виміри гільз</t>
      </text>
    </comment>
    <comment authorId="0" ref="J315">
      <text>
        <t xml:space="preserve">======
ID#AAACHfYYsP4
RoPM    (2026-09-23 10:38:02)
Вимір проміжків по валу ротора і робочим колесам турбокомпресора</t>
      </text>
    </comment>
    <comment authorId="0" ref="D18">
      <text>
        <t xml:space="preserve">======
ID#AAACHfYYsMY
RoPM    (2026-09-23 10:38:02)
контроль сумарного осьового розбігу ротора</t>
      </text>
    </comment>
    <comment authorId="0" ref="U1">
      <text>
        <t xml:space="preserve">======
ID#AAACHgFtg-E
Код |    (2026-09-23 10:38:03)
1   |   Савчук Ю. А.
  2   |   Мушик В.Ф.
  3   |   Оніщук В.Ю.
  4   |   Сидорчук С.В.
  5   |   Радчук І.С.
  6   |   Рошук П. М.
  7   |   Дацький Д.П.</t>
      </text>
    </comment>
    <comment authorId="0" ref="F18">
      <text>
        <t xml:space="preserve">======
ID#AAACHfYYsPU
RoPM    (2026-09-23 10:38:02)
контроль масляних проміжків у підшипникових вузлах</t>
      </text>
    </comment>
    <comment authorId="0" ref="H18">
      <text>
        <t xml:space="preserve">======
ID#AAACHfYYsRQ
RoPM    (2026-09-23 10:38:02)
контроль центрування агрегату</t>
      </text>
    </comment>
    <comment authorId="0" ref="D118">
      <text>
        <t xml:space="preserve">======
ID#AAACHfYYsMw
RoPM    (2026-09-23 10:38:02)
Контроль встановлення прокладок СНП перед ущільненням головного раз’єму</t>
      </text>
    </comment>
    <comment authorId="0" ref="D85">
      <text>
        <t xml:space="preserve">======
ID#AAACHfYYsRg
RoPM    (2026-09-23 10:38:02)
контроль проміжків в ущільненнях проточної частини</t>
      </text>
    </comment>
    <comment authorId="0" ref="F118">
      <text>
        <t xml:space="preserve">======
ID#AAACHfYYsSo
RoPM    (2026-09-23 10:38:02)
Контроль моменту затягування гайок М64 3-го проходу головного роз'єму</t>
      </text>
    </comment>
    <comment authorId="0" ref="F85">
      <text>
        <t xml:space="preserve">======
ID#AAACHfYYsTA
RoPM    (2026-09-23 10:38:02)
контроль теплового проміжку</t>
      </text>
    </comment>
    <comment authorId="0" ref="H85">
      <text>
        <t xml:space="preserve">======
ID#AAACHfYYsJw
RoPM    (2026-09-23 10:38:02)
контроль осьового розбігу ротора</t>
      </text>
    </comment>
    <comment authorId="0" ref="J85">
      <text>
        <t xml:space="preserve">======
ID#AAACHfYYsWU
RoPM    (2026-09-23 10:38:02)
контроль центрування агрегату</t>
      </text>
    </comment>
    <comment authorId="0" ref="D185">
      <text>
        <t xml:space="preserve">======
ID#AAACHfYYsO0
RoPM    (2026-09-23 10:38:02)
огляд внутрішньої поверхні корпусу</t>
      </text>
    </comment>
    <comment authorId="0" ref="D152">
      <text>
        <t xml:space="preserve">======
ID#AAACHfYYsPA
Огляд ущільнюючих поверхонь    (2026-09-23 10:38:02)
роз’єму входу гріючої пари</t>
      </text>
    </comment>
    <comment authorId="0" ref="F185">
      <text>
        <t xml:space="preserve">======
ID#AAACHgFtg-w
RoPM    (2026-09-23 10:38:03)
огляд ущільнюючих поверхонь корпусу</t>
      </text>
    </comment>
    <comment authorId="0" ref="F152">
      <text>
        <t xml:space="preserve">======
ID#AAACHgFtg9Y
RoPM    (2026-09-23 10:38:03)
Для ПВД-6,7 
Огляд ущільнюючих поверхонь:
роз’єму більш вищої ступені підігріву
Для ПВД-8
Огляд ущільнюючих поверхонь:
роз’єму входу дренажу з пароперегрівача</t>
      </text>
    </comment>
    <comment authorId="0" ref="D53">
      <text>
        <t xml:space="preserve">======
ID#AAACHfYYsR0
RoPM    (2026-09-23 10:38:02)
контроль центрування агрегату</t>
      </text>
    </comment>
    <comment authorId="0" ref="H185">
      <text>
        <t xml:space="preserve">======
ID#AAACHfYYsJ4
RoPM    (2026-09-23 10:38:02)
огляд поверхонь роз'єму «кришка-корпус»</t>
      </text>
    </comment>
    <comment authorId="0" ref="H152">
      <text>
        <t xml:space="preserve">======
ID#AAACHfYYsTU
RoPM    (2026-09-23 10:38:02)
Для ПВД-6,7 
Огляд ущільнюючих поверхонь:
роз’єму впуску повітря із підігрівача вищої ступені Ду50
Для ПВД-8
Огляд ущільнюючих поверхонь:
роз’єму до запобіжного клапана</t>
      </text>
    </comment>
    <comment authorId="0" ref="J185">
      <text>
        <t xml:space="preserve">======
ID#AAACHfYYsOs
RoPM    (2026-09-23 10:38:02)
огляд ущільнюючих поверхонь виймальних частин</t>
      </text>
    </comment>
    <comment authorId="0" ref="D268">
      <text>
        <t xml:space="preserve">======
ID#AAACHfYYsSg
RoPM    (2026-09-23 10:38:02)
огляд внутрішньої поверхні корпусу</t>
      </text>
    </comment>
    <comment authorId="0" ref="F268">
      <text>
        <t xml:space="preserve">======
ID#AAACHfYYsRk
RoPM    (2026-09-23 10:38:02)
огляд ущільнюючих поверхонь корпусу</t>
      </text>
    </comment>
    <comment authorId="0" ref="H268">
      <text>
        <t xml:space="preserve">======
ID#AAACHfYYsOY
RoPM    (2026-09-23 10:38:02)
огляд стану поверхні роз'єму «кришка-корпус»</t>
      </text>
    </comment>
    <comment authorId="0" ref="J268">
      <text>
        <t xml:space="preserve">======
ID#AAACHgFtg8o
RoPM    (2026-09-23 10:38:03)
огляд ущільнюючих поверхонь виймальних частин</t>
      </text>
    </comment>
    <comment authorId="0" ref="D285">
      <text>
        <t xml:space="preserve">======
ID#AAACHfYYsP8
RoPM    (2026-09-23 10:38:02)
огляд внутрішньої поверхні корпусу</t>
      </text>
    </comment>
    <comment authorId="0" ref="D252">
      <text>
        <t xml:space="preserve">======
ID#AAACHfYYsLE
RoPM    (2026-09-23 10:38:02)
Огляд внутрішньої поверхні корпусу</t>
      </text>
    </comment>
    <comment authorId="0" ref="F285">
      <text>
        <t xml:space="preserve">======
ID#AAACHfYYsWs
RoPM    (2026-09-23 10:38:02)
огляд ущільнюючих поверхонь корпусу</t>
      </text>
    </comment>
    <comment authorId="0" ref="F252">
      <text>
        <t xml:space="preserve">======
ID#AAACHfYYsTw
RoPM    (2026-09-23 10:38:02)
Огляд ущільнюючих поверхонь корпусу</t>
      </text>
    </comment>
    <comment authorId="0" ref="H285">
      <text>
        <t xml:space="preserve">======
ID#AAACHfYYsNw
RoPM    (2026-09-23 10:38:02)
огляд стану поверхні роз'єму «кришка-корпус»</t>
      </text>
    </comment>
    <comment authorId="0" ref="H252">
      <text>
        <t xml:space="preserve">======
ID#AAACHfYYsPk
RoPM    (2026-09-23 10:38:02)
Огляд стану поверхонь роз'єму "корпус-кришка"</t>
      </text>
    </comment>
    <comment authorId="0" ref="J285">
      <text>
        <t xml:space="preserve">======
ID#AAACHfYYsRI
RoPM    (2026-09-23 10:38:02)
огляд ущільнюючих поверхонь виймальних частин</t>
      </text>
    </comment>
    <comment authorId="0" ref="J252">
      <text>
        <t xml:space="preserve">======
ID#AAACHfYYsK8
RoPM    (2026-09-23 10:38:02)
Огляд ущільнюючих поверхонь виймальних частин</t>
      </text>
    </comment>
    <comment authorId="0" ref="D236">
      <text>
        <t xml:space="preserve">======
ID#AAACHfYYsJ0
RoPM    (2026-09-23 10:38:02)
огляд внутрішньої поверхні корпусу</t>
      </text>
    </comment>
    <comment authorId="0" ref="F236">
      <text>
        <t xml:space="preserve">======
ID#AAACHfYYsLw
RoPM    (2026-09-23 10:38:02)
огляд шибера (диска) і ущільнюючої поверхні корпусу</t>
      </text>
    </comment>
    <comment authorId="0" ref="H236">
      <text>
        <t xml:space="preserve">======
ID#AAACHfYYsNk
RoPM    (2026-09-23 10:38:02)
огляд стану поверхні роз'єму «кришка-корпус»</t>
      </text>
    </comment>
    <comment authorId="0" ref="D71">
      <text>
        <t xml:space="preserve">======
ID#AAACHfYYsQ4
RoPM    (2026-09-23 10:38:02)
контроль осьового розбігу ротора</t>
      </text>
    </comment>
    <comment authorId="0" ref="J236">
      <text>
        <t xml:space="preserve">======
ID#AAACHfYYsWo
RoPM    (2026-09-23 10:38:02)
огляд ущільнюючих поверхонь виймальних частин</t>
      </text>
    </comment>
    <comment authorId="0" ref="D38">
      <text>
        <t xml:space="preserve">======
ID#AAACHfYYsLA
RoPM    (2026-09-23 10:38:02)
контроль центрування агрегату</t>
      </text>
    </comment>
    <comment authorId="0" ref="F71">
      <text>
        <t xml:space="preserve">======
ID#AAACHgFtg90
RoPM    (2026-09-23 10:38:03)
контроль масляних проміжків у підшипникових вузлах</t>
      </text>
    </comment>
    <comment authorId="0" ref="H71">
      <text>
        <t xml:space="preserve">======
ID#AAACHfYYsMo
RoPM    (2026-09-23 10:38:02)
контроль масляних проміжків у підшипникових вузлах</t>
      </text>
    </comment>
    <comment authorId="0" ref="D319">
      <text>
        <t xml:space="preserve">======
ID#AAACHfYYsMs
RoPM    (2026-09-23 10:38:02)
контроль вимірювань відстані від жорстких упорів БЗТ, до площини ГРР (розмір А)</t>
      </text>
    </comment>
    <comment authorId="0" ref="F319">
      <text>
        <t xml:space="preserve">======
ID#AAACHfYYsVk
RoPM    (2026-09-23 10:38:02)
- контроль вимірювань відстані від жорстких упорівШВК до площини ГРР (розмір Б)</t>
      </text>
    </comment>
    <comment authorId="0" ref="H319">
      <text>
        <t xml:space="preserve">======
ID#AAACHgFtg8w
RoPM    (2026-09-23 10:38:03)
- контроль вимірювань відстані від верху труб Ø65×8,5 мм, до площини ГРР (розмір В)
- контроль відсутності проміжків у вузлі кріплення труб Ø65×8,5 мм та торцем фланцяШВК</t>
      </text>
    </comment>
    <comment authorId="0" ref="J319">
      <text>
        <t xml:space="preserve">======
ID#AAACHfYYsVE
RoPM    (2026-09-23 10:38:02)
- контроль вимірювань висоти виступання кульки Ø5,0 + 0,005 мм, з канавок ГУР над площиною ГУР</t>
      </text>
    </comment>
    <comment authorId="0" ref="D121">
      <text>
        <t xml:space="preserve">======
ID#AAACHfYYsOE
RoPM    (2026-09-23 10:38:02)
Контроль встановлення прокладок СНП перед ущільненням головного раз’єму</t>
      </text>
    </comment>
    <comment authorId="0" ref="L319">
      <text>
        <t xml:space="preserve">======
ID#AAACHfYYsUU
RoPM    (2026-09-23 10:38:02)
- контроль вимірювань величини намину ГУР на поверхні ВБ</t>
      </text>
    </comment>
    <comment authorId="0" ref="F121">
      <text>
        <t xml:space="preserve">======
ID#AAACHfYYsPM
RoPM    (2026-09-23 10:38:02)
Контроль моменту затягування гайок М64 3-го проходу головного роз'єму</t>
      </text>
    </comment>
    <comment authorId="0" ref="N319">
      <text>
        <t xml:space="preserve">======
ID#AAACHfYYsSY
RoPM    (2026-09-23 10:38:02)
- контроль вимірювань положення кошика (при проведенні кап. ремонту)</t>
      </text>
    </comment>
    <comment authorId="0" ref="P319">
      <text>
        <t xml:space="preserve">======
ID#AAACHfYYsNg
RoPM    (2026-09-23 10:38:02)
- контроль наявності акту ВК-2, ВК-3 (копія), на прокладки з НП-2, Ø134/Ø142×4 мм, з РГ Ø162/Ø174×5,5 мм, для ущільнення фланцевих з'єднань чохлів АРК з патрубками ВБ;
- візуальний контроль прокладок перед встановленням;
- контроль вимірювань L0, початкового положення контрольних стрижнів шпильок М36;
- контроль вимірювань ΔL, різниця між кінцевим та початковим положенням контрольних стрижнів шпильок М36</t>
      </text>
    </comment>
    <comment authorId="0" ref="R319">
      <text>
        <t xml:space="preserve">======
ID#AAACHgFtg8k
RoPM    (2026-09-23 10:38:03)
- контроль наявності акту ВК-2, ВК-3 (копія), на прокладки з НП-2 Ø16/Ø20×2 мм, для ущільнення фланцевого з'єднання трубопроводів повітровідвідника чохлів АРК;
- візуальний контроль прокладок перед встановленням;
- контроль моменту затягування гайок фланцевого з'єднання</t>
      </text>
    </comment>
    <comment authorId="0" ref="T319">
      <text>
        <t xml:space="preserve">======
ID#AAACHfYYsQc
RoPM    (2026-09-23 10:38:02)
- контроль наявності акту ВК-2, ВК-3 (копія), на прокладки з РГ Ø225/Ø232×6 мм, для ущільнення фланцевих з'єднань приводів АРК з чохлами АРК;
- візуальний контроль прокладок перед  становленням;
- контроль вимірювань L0, початкового положення контрольних стрижнів шпильок М36;
- контроль моменту затягування гайок;
- контроль вимірювань ΔL, різниця між кінцевим та початковим положенням контрольних стрижнів шпильок М36</t>
      </text>
    </comment>
    <comment authorId="0" ref="V319">
      <text>
        <t xml:space="preserve">======
ID#AAACHfYYsOU
RoPM    (2026-09-23 10:38:02)
- контроль наявності акту ВК-2, ВК-3 (копія), на прокладки з РГ Ø16/Ø20×4 мм, з РГ Ø32/Ø36×4,5 мм, для ущільнення фланцевого з'єднання трубопроводів охолодження приводів АРК;
- візуальний контроль прокладок перед встановленням;
- контроль моменту затягування гайок</t>
      </text>
    </comment>
    <comment authorId="0" ref="D23">
      <text>
        <t xml:space="preserve">======
ID#AAACHfYYsVo
RoPM    (2026-09-23 10:38:02)
контроль сумарного осьового розбігу ротора</t>
      </text>
    </comment>
    <comment authorId="0" ref="F23">
      <text>
        <t xml:space="preserve">======
ID#AAACHfYYsS4
RoPM    (2026-09-23 10:38:02)
контроль масляних проміжків у підшипникових вузлах</t>
      </text>
    </comment>
    <comment authorId="0" ref="H23">
      <text>
        <t xml:space="preserve">======
ID#AAACHfYYsPw
RoPM    (2026-09-23 10:38:02)
контроль центрування агрегату насос-гідромуфта</t>
      </text>
    </comment>
    <comment authorId="0" ref="J23">
      <text>
        <t xml:space="preserve">======
ID#AAACHfYYsTs
RoPM    (2026-09-23 10:38:02)
контроль центрування агрегату гідромуфта - ел. двигун</t>
      </text>
    </comment>
    <comment authorId="0" ref="D172">
      <text>
        <t xml:space="preserve">======
ID#AAACHfYYsWY
RoPM    (2026-09-23 10:38:02)
огляд внутрішньої поверхні корпусу</t>
      </text>
    </comment>
    <comment authorId="0" ref="D106">
      <text>
        <t xml:space="preserve">======
ID#AAACHfYYsRc
RoPM    (2026-09-23 10:38:02)
Контроль установки переліжок НП-2 перед ущільненням люк-лазу</t>
      </text>
    </comment>
    <comment authorId="0" ref="F172">
      <text>
        <t xml:space="preserve">======
ID#AAACHfYYsQE
RoPM    (2026-09-23 10:38:02)
огляд ущільнюючих поверхонь корпусу</t>
      </text>
    </comment>
    <comment authorId="0" ref="H172">
      <text>
        <t xml:space="preserve">======
ID#AAACHgFtg-s
RoPM    (2026-09-23 10:38:03)
огляд стану поверхонь роз'єму «кришка-корпус»</t>
      </text>
    </comment>
    <comment authorId="0" ref="F106">
      <text>
        <t xml:space="preserve">======
ID#AAACHfYYsQg
RoPM    (2026-09-23 10:38:02)
Контроль моменту затягування гайок 3-го проходу при ущільненні люк-лазу крутного моменту Мкр=340±3 кгс.м</t>
      </text>
    </comment>
    <comment authorId="0" ref="J172">
      <text>
        <t xml:space="preserve">======
ID#AAACHfYYsQ8
RoPM    (2026-09-23 10:38:02)
огляд ущільнюючих поверхонь виймальних частин</t>
      </text>
    </comment>
    <comment authorId="0" ref="D321">
      <text>
        <t xml:space="preserve">======
ID#AAACHfYYsRA
RoPM    (2026-09-23 10:38:02)
- контроль вимірювань відстані від жорстких упорівШВК до площини ГРР (розмір
Б) (при проведенні капітального ремонту)</t>
      </text>
    </comment>
    <comment authorId="0" ref="F321">
      <text>
        <t xml:space="preserve">======
ID#AAACHfYYsV8
RoPM    (2026-09-23 10:38:02)
- контроль вимірювань відстані від верху труб Ø65×8,5 мм, до площини ГРР (розмір В) (при заміні труб)</t>
      </text>
    </comment>
    <comment authorId="0" ref="D189">
      <text>
        <t xml:space="preserve">======
ID#AAACHfYYsVQ
RoPM    (2026-09-23 10:38:02)
огляд внутрішньої поверхні корпусу</t>
      </text>
    </comment>
    <comment authorId="0" ref="H321">
      <text>
        <t xml:space="preserve">======
ID#AAACHfYYsUo
RoPM    (2026-09-23 10:38:02)
- контроль вимірювань положення кошика від гранованого поясу до ГРР за допомогою спец. інструменту (при проведенні капітального ремонту)</t>
      </text>
    </comment>
    <comment authorId="0" ref="F189">
      <text>
        <t xml:space="preserve">======
ID#AAACHfYYsMI
RoPM    (2026-09-23 10:38:02)
огляд ущільнюючих поверхонь корпусу</t>
      </text>
    </comment>
    <comment authorId="0" ref="J321">
      <text>
        <t xml:space="preserve">======
ID#AAACHfYYsLQ
RoPM    (2026-09-23 10:38:02)
- контроль вимірювань положення відстані від жорстких упорів БЗТ до площини ГРР (розмір А)</t>
      </text>
    </comment>
    <comment authorId="0" ref="H189">
      <text>
        <t xml:space="preserve">======
ID#AAACHfYYsUg
RoPM    (2026-09-23 10:38:02)
огляд поверхонь роз'єму «кришка-корпус»</t>
      </text>
    </comment>
    <comment authorId="0" ref="L321">
      <text>
        <t xml:space="preserve">======
ID#AAACHfYYsMA
RoPM    (2026-09-23 10:38:02)
- контроль наявності свідоцтва (копія), про виготовлення прокладок з НП-2 Ø3435 мм, Ø3465 мм, Ø3775 мм, Ø3805 мм, для ущільнення ГРР;
- візуальний контроль установки і прилягання прокладок до бічних поверхонь канавок ГРР</t>
      </text>
    </comment>
    <comment authorId="0" ref="N321">
      <text>
        <t xml:space="preserve">======
ID#AAACHfYYsQw
RoPM    (2026-09-23 10:38:02)
- контроль вимірювань L0, початкового положення контрольних стрижнів шпильок М140</t>
      </text>
    </comment>
    <comment authorId="0" ref="J189">
      <text>
        <t xml:space="preserve">======
ID#AAACHfYYsN8
RoPM    (2026-09-23 10:38:02)
огляд ущільнюючих поверхонь виймальних частин</t>
      </text>
    </comment>
    <comment authorId="0" ref="P321">
      <text>
        <t xml:space="preserve">======
ID#AAACHfYYsTc
RoPM    (2026-09-23 10:38:02)
- контроль моменту затягування натискних гвинтів</t>
      </text>
    </comment>
    <comment authorId="0" ref="R321">
      <text>
        <t xml:space="preserve">======
ID#AAACHfYYsOI
RoPM    (2026-09-23 10:38:02)
- контроль вимірювань ΔL, різниця між кінцевим та початковим положенням
контрольних стрижнів шпильок М140</t>
      </text>
    </comment>
    <comment authorId="0" ref="T321">
      <text>
        <t xml:space="preserve">======
ID#AAACHfYYsSE
RoPM    (2026-09-23 10:38:02)
- контроль наявності акту ВК-2, ВК-3 (копія), на прокладки з РГ Ø134/Ø143×5 мм, РГ Ø172/Ø180×5 мм, для ущільнення фланцевого з'єднання ТК та КНВ;
- візуальний контроль прокладок перед встановленням;
- контроль вимірювань L0, початкового положення контрольних стрижнів шпильокМ 36;
- контроль вимірювань ΔL, різниця між кінцевим та початковим положенням контрольних стрижнів шпильок М 36;
- контроль моменту затягування гайок гвинтів</t>
      </text>
    </comment>
    <comment authorId="0" ref="D305">
      <text>
        <t xml:space="preserve">======
ID#AAACHfYYsPI
RoPM    (2026-09-23 10:38:02)
Перевірити
-на чистоту форсунки;
-тиск початку упорскування форсунки</t>
      </text>
    </comment>
    <comment authorId="0" ref="V321">
      <text>
        <t xml:space="preserve">======
ID#AAACHgFtg-U
RoPM    (2026-09-23 10:38:03)
- контроль наявності акту ВК-2, ВК-3 (копія), на прокладки з РГ Ø23/Ø31×9,8 для ущільнення датчиків КНВ;
- візуальний контроль прокладок перед встановленням;
- контроль моменту затягування гайок</t>
      </text>
    </comment>
    <comment authorId="0" ref="F305">
      <text>
        <t xml:space="preserve">======
ID#AAACHfYYsSA
RoPM    (2026-09-23 10:38:02)
Перевірити центрування дизеля і генератора</t>
      </text>
    </comment>
    <comment authorId="0" ref="H305">
      <text>
        <t xml:space="preserve">======
ID#AAACHfYYsRM
RoPM    (2026-09-23 10:38:02)
Перевірка герметичності внутрішнього контуру охолодження</t>
      </text>
    </comment>
    <comment authorId="0" ref="D140">
      <text>
        <t xml:space="preserve">======
ID#AAACHfYYsUI
Огляд ущільнюючих поверхонь    (2026-09-23 10:38:02)
з'єднання корпусу + трубна дошка</t>
      </text>
    </comment>
    <comment authorId="0" ref="J305">
      <text>
        <t xml:space="preserve">======
ID#AAACHfYYsRw
RoPM    (2026-09-23 10:38:02)
Виконати всі роботи передбачені ПР</t>
      </text>
    </comment>
    <comment authorId="0" ref="F140">
      <text>
        <t xml:space="preserve">======
ID#AAACHfYYsO8
Огляд ущільнюючих поверхонь    (2026-09-23 10:38:02)
з'єднання трубна дошка + кришка</t>
      </text>
    </comment>
    <comment authorId="0" ref="L305">
      <text>
        <t xml:space="preserve">======
ID#AAACHfYYsSk
RoPM    (2026-09-23 10:38:02)
Зробити вимір поршнів</t>
      </text>
    </comment>
    <comment authorId="0" ref="H140">
      <text>
        <t xml:space="preserve">======
ID#AAACHgFtg9g
Огляд ущільнюючих поверхонь    (2026-09-23 10:38:03)
фланцевого з'єднання підводу основного конденсату Ду400</t>
      </text>
    </comment>
    <comment authorId="0" ref="N305">
      <text>
        <t xml:space="preserve">======
ID#AAACHgFtg9I
RoPM    (2026-09-23 10:38:03)
Провести вимір висоти канавок під поршневі кільця і проміжку кільце-канавка</t>
      </text>
    </comment>
    <comment authorId="0" ref="J140">
      <text>
        <t xml:space="preserve">======
ID#AAACHfYYsVU
Огляд ущільнюючих поверхонь    (2026-09-23 10:38:02)
фланцевого з'єднання відводу основного конденсату Ду400</t>
      </text>
    </comment>
    <comment authorId="0" ref="P305">
      <text>
        <t xml:space="preserve">======
ID#AAACHfYYsKk
RoPM    (2026-09-23 10:38:02)
Зробити вимір поршневих кілець</t>
      </text>
    </comment>
    <comment authorId="0" ref="L140">
      <text>
        <t xml:space="preserve">======
ID#AAACHfYYsUQ
Огляд ущільнюючих поверхонь    (2026-09-23 10:38:02)
фланцевого з'єднання підводу конденсату із охолоджувачів дренажу Ду300</t>
      </text>
    </comment>
    <comment authorId="0" ref="R305">
      <text>
        <t xml:space="preserve">======
ID#AAACHgFtg88
RoPM    (2026-09-23 10:38:03)
Виконати вимір вкладишів і втулок шатунів</t>
      </text>
    </comment>
    <comment authorId="0" ref="T305">
      <text>
        <t xml:space="preserve">======
ID#AAACHfYYsMQ
RoPM    (2026-09-23 10:38:02)
Виконати виміри корінних і шатунних шийок верхніх
колінчастих валів і шатунних шийок нижніх колінчастих валів</t>
      </text>
    </comment>
    <comment authorId="0" ref="V305">
      <text>
        <t xml:space="preserve">======
ID#AAACHfYYsRU
RoPM    (2026-09-23 10:38:02)
Іиміри масляного проміжку в корінних і шатунних підшипників колінчастих  валів</t>
      </text>
    </comment>
    <comment authorId="0" ref="D58">
      <text>
        <t xml:space="preserve">======
ID#AAACHgFtg-k
RoPM    (2026-09-23 10:38:03)
контроль центрування агрегату</t>
      </text>
    </comment>
    <comment authorId="0" ref="P124">
      <text>
        <t xml:space="preserve">======
ID#AAACHfYYsM4
RoPM    (2026-09-23 10:38:02)
Контроль встановлення графітових прокладок перед ущільненням люк- лазу</t>
      </text>
    </comment>
    <comment authorId="0" ref="R124">
      <text>
        <t xml:space="preserve">======
ID#AAACHfYYsR4
RoPM    (2026-09-23 10:38:02)
Контроль ущільнення фланцевого з’єднання люк– лазу М48 після 3-го проходу Мкр=181,2 кгс.м</t>
      </text>
    </comment>
    <comment authorId="0" ref="T124">
      <text>
        <t xml:space="preserve">======
ID#AAACHfYYsS0
RoPM    (2026-09-23 10:38:02)
Контроль встановлення прокладки із розширеного графіту дренажного люка Ду 80</t>
      </text>
    </comment>
    <comment authorId="0" ref="D75">
      <text>
        <t xml:space="preserve">======
ID#AAACHfYYsUs
RoPM    (2026-09-23 10:38:02)
контроль осьового розбігу ротора</t>
      </text>
    </comment>
    <comment authorId="0" ref="V124">
      <text>
        <t xml:space="preserve">======
ID#AAACHfYYsLk
RoPM    (2026-09-23 10:38:02)
Контроль моменту затяжки гайок М20 дренажного люка Ду80 після 3-го проходу Мкр=17,4 кгс.м</t>
      </text>
    </comment>
    <comment authorId="0" ref="F75">
      <text>
        <t xml:space="preserve">======
ID#AAACHfYYsPo
RoPM    (2026-09-23 10:38:02)
контроль масляних проміжків у підшипникових вузлах</t>
      </text>
    </comment>
    <comment authorId="0" ref="H75">
      <text>
        <t xml:space="preserve">======
ID#AAACHfYYsN0
RoPM    (2026-09-23 10:38:02)
контроль центрування агрегату</t>
      </text>
    </comment>
    <comment authorId="0" ref="D323">
      <text>
        <t xml:space="preserve">======
ID#AAACHfYYsWA
RoPM    (2026-09-23 10:38:02)
- контроль наявності акту ВК-2, ВК-3 (копія), на прокладки з сталі 08Х18Н10Т Ø115 ± 0,15 мм, для ущільнення фланцевих з'єднань трубопроводів шахтного об´єму;
- візуальний контроль прокладок перед встановленням;
- контроль моменту затягування гайок</t>
      </text>
    </comment>
    <comment authorId="0" ref="F323">
      <text>
        <t xml:space="preserve">======
ID#AAACHgFtg9k
RoPM    (2026-09-23 10:38:03)
- контроль наявності акту ВК-2, ВК-3 (копія), на прокладки з НП-2 Ø16/Ø20×2 мм, для ущільнення фланцевих з'єднань трубопроводів повітровідвідника та
газовидалення (САГ);
- візуальний контроль прокладок перед встановленням;
- контроль моменту затягування гайок</t>
      </text>
    </comment>
    <comment authorId="0" ref="H323">
      <text>
        <t xml:space="preserve">======
ID#AAACHfYYsU8
RoPM    (2026-09-23 10:38:02)
- контроль наявності акту ВК-2, ВК-3 (копія), на прокладки з РГ Ø122/Ø128×5,2 мм, для ущільнення фланцевого з'єднання датчиків положення приводів АРК;
- візуальний контроль прокладок перед встановленням;
- контроль моменту затягування гайок</t>
      </text>
    </comment>
    <comment authorId="0" ref="J323">
      <text>
        <t xml:space="preserve">======
ID#AAACHfYYsUc
RoPM    (2026-09-23 10:38:02)
- контроль зусилля вижимання клапанів повітровідвідника до втулки чохлів АРК</t>
      </text>
    </comment>
    <comment authorId="0" ref="D125">
      <text>
        <t xml:space="preserve">======
ID#AAACHfYYsTk
RoPM    (2026-09-23 10:38:02)
Контроль встановлення графітових переліжок перед ущільненням люка гарячого колектору I-го контуру</t>
      </text>
    </comment>
    <comment authorId="0" ref="F125">
      <text>
        <t xml:space="preserve">======
ID#AAACHfYYsSw
RoPM    (2026-09-23 10:38:02)
Контроль показників глибиноміра індикаторного при вимірі положення стрижнів шпильок М48 у вільному стані перед ущільненням люка гарячого колектору I-го контуру</t>
      </text>
    </comment>
    <comment authorId="0" ref="L323">
      <text>
        <t xml:space="preserve">======
ID#AAACHgFtg80
RoPM    (2026-09-23 10:38:03)
- контроль зусилля вижимання клапанів знімних ділянок трубопроводів системи охолодження приводів АРК</t>
      </text>
    </comment>
    <comment authorId="0" ref="H125">
      <text>
        <t xml:space="preserve">======
ID#AAACHfYYsVA
RoPM    (2026-09-23 10:38:02)
Контроль витяжки шпильок люка гарячого колектору I-го контуру, після випробування МПП</t>
      </text>
    </comment>
    <comment authorId="0" ref="N323">
      <text>
        <t xml:space="preserve">======
ID#AAACHgFtg98
RoPM    (2026-09-23 10:38:03)
- контроль вимірювань геометричних розмірів фланців патрубків ВБ, АРК в районі: Ø134/Ø142 мм</t>
      </text>
    </comment>
    <comment authorId="0" ref="J125">
      <text>
        <t xml:space="preserve">======
ID#AAACHgFtg9o
RoPM    (2026-09-23 10:38:03)
Контроль встановлення графітових переліжок перед ущільненням люка гарячого колектору II-го контуру</t>
      </text>
    </comment>
    <comment authorId="0" ref="P323">
      <text>
        <t xml:space="preserve">======
ID#AAACHfYYsKQ
RoPM    (2026-09-23 10:38:02)
- контроль вимірювань геометричних розмірів фланців патрубків ВБ, ТК та КНВ в районі: Ø172/Ø180 мм</t>
      </text>
    </comment>
    <comment authorId="0" ref="L125">
      <text>
        <t xml:space="preserve">======
ID#AAACHfYYsVs
RoPM    (2026-09-23 10:38:02)
Контроль показників глибиноміра індикаторного при вимірі положення стрижнів шпильок М48 у вільному стані перед ущільненням люка гарячого колектору II-го контуру</t>
      </text>
    </comment>
    <comment authorId="0" ref="R323">
      <text>
        <t xml:space="preserve">======
ID#AAACHfYYsJ8
RoPM    (2026-09-23 10:38:02)
- контроль вимірювань геометричних розмірів фланців чохлів АРК в районі: Ø134×Ø142 мм</t>
      </text>
    </comment>
    <comment authorId="0" ref="N125">
      <text>
        <t xml:space="preserve">======
ID#AAACHfYYsVY
RoPM    (2026-09-23 10:38:02)
Контроль витяжки шпильок М48 люків гарячого колектору II-го контуру, після випробування МПП</t>
      </text>
    </comment>
    <comment authorId="0" ref="D307">
      <text>
        <t xml:space="preserve">======
ID#AAACHfYYsO4
RoPM    (2026-09-23 10:38:02)
Перевірка висоти камери стиснення</t>
      </text>
    </comment>
    <comment authorId="0" ref="T323">
      <text>
        <t xml:space="preserve">======
ID#AAACHfYYsLg
RoPM    (2026-09-23 10:38:02)
- контроль виміру вимірювань геометричних розмірів фланців чохлів АРК в районі: Ø225/Ø232 мм</t>
      </text>
    </comment>
    <comment authorId="0" ref="V323">
      <text>
        <t xml:space="preserve">======
ID#AAACHfYYsVI
RoPM    (2026-09-23 10:38:02)
- контроль вимірювань геометричних розмірів фланців приводів АРК в районі: Ø225/Ø232 мм</t>
      </text>
    </comment>
    <comment authorId="0" ref="F307">
      <text>
        <t xml:space="preserve">======
ID#AAACHfYYsQU
RoPM    (2026-09-23 10:38:02)
Виконати всі роботи передбачені ПР, СР</t>
      </text>
    </comment>
    <comment authorId="0" ref="D175">
      <text>
        <t xml:space="preserve">======
ID#AAACHfYYsKw
RoPM    (2026-09-23 10:38:02)
огляд внутрішньої поверхні корпусу</t>
      </text>
    </comment>
    <comment authorId="0" ref="H307">
      <text>
        <t xml:space="preserve">======
ID#AAACHfYYsKE
RoPM    (2026-09-23 10:38:02)
Перевірка на чистоту гільзи циліндрів і посадочні місця, виміри гільз</t>
      </text>
    </comment>
    <comment authorId="0" ref="J307">
      <text>
        <t xml:space="preserve">======
ID#AAACHgFtg9E
RoPM    (2026-09-23 10:38:03)
Вимір проміжків по валу ротора і робочим колесам турбокомпресора</t>
      </text>
    </comment>
    <comment authorId="0" ref="D109">
      <text>
        <t xml:space="preserve">======
ID#AAACHfYYsVg
RoPM    (2026-09-23 10:38:02)
Контроль установки прокладок перед ущільненням люк-лазу</t>
      </text>
    </comment>
    <comment authorId="0" ref="F175">
      <text>
        <t xml:space="preserve">======
ID#AAACHfYYsVc
RoPM    (2026-09-23 10:38:02)
огляд ущільнюючих поверхонь корпусу</t>
      </text>
    </comment>
    <comment authorId="0" ref="F109">
      <text>
        <t xml:space="preserve">======
ID#AAACHgFtg94
RoPM    (2026-09-23 10:38:03)
Контроль моменту затягування гайок 3-го проходу при ущільненні люк-лазу крутного моменту Мкр=287 кгс.м</t>
      </text>
    </comment>
    <comment authorId="0" ref="H175">
      <text>
        <t xml:space="preserve">======
ID#AAACHfYYsQk
RoPM    (2026-09-23 10:38:02)
огляд стану поверхонь роз'єму «кришка-корпус»</t>
      </text>
    </comment>
    <comment authorId="0" ref="D43">
      <text>
        <t xml:space="preserve">======
ID#AAACHfYYsKY
RoPM    (2026-09-23 10:38:02)
контроль центрування агрегату</t>
      </text>
    </comment>
    <comment authorId="0" ref="D10">
      <text>
        <t xml:space="preserve">======
ID#AAACHfYYsLs
RoPM    (2026-09-23 10:38:02)
-контроль радіального проміжку в сполученні вузла верхнього
радіального підшипника ГУП</t>
      </text>
    </comment>
    <comment authorId="0" ref="J175">
      <text>
        <t xml:space="preserve">======
ID#AAACHfYYsMM
RoPM    (2026-09-23 10:38:02)
огляд ущільнюючих поверхонь виймальних частин</t>
      </text>
    </comment>
    <comment authorId="0" ref="F10">
      <text>
        <t xml:space="preserve">======
ID#AAACHfYYsT8
RoPM    (2026-09-23 10:38:02)
- контроль радіального проміжку в сполученні вузла радіального підшипника ковзання</t>
      </text>
    </comment>
    <comment authorId="0" ref="H10">
      <text>
        <t xml:space="preserve">======
ID#AAACHfYYsTY
RoPM    (2026-09-23 10:38:02)
-контроль осьового проміжку у вузлі сполучення опорно-упорного підшипника (колодка ÷ гребінь)</t>
      </text>
    </comment>
    <comment authorId="0" ref="J10">
      <text>
        <t xml:space="preserve">======
ID#AAACHgFtg-I
RoPM    (2026-09-23 10:38:03)
-контроль моменту затягування гайки робочого колеса</t>
      </text>
    </comment>
    <comment authorId="0" ref="D291">
      <text>
        <t xml:space="preserve">======
ID#AAACHfYYsL8
RoPM    (2026-09-23 10:38:02)
огляд внутрішньої поверхні корпусу</t>
      </text>
    </comment>
    <comment authorId="0" ref="L10">
      <text>
        <t xml:space="preserve">======
ID#AAACHgFtg8g
RoPM    (2026-09-23 10:38:03)
-контроль моменту затягування гайки блоку ущільнення валу</t>
      </text>
    </comment>
    <comment authorId="0" ref="F291">
      <text>
        <t xml:space="preserve">======
ID#AAACHfYYsQs
RoPM    (2026-09-23 10:38:02)
огляд клапана і ущільнюючої поверхні корпусу</t>
      </text>
    </comment>
    <comment authorId="0" ref="N10">
      <text>
        <t xml:space="preserve">======
ID#AAACHfYYsOo
RoPM    (2026-09-23 10:38:02)
-контроль моменту затяжки гайки ГУП</t>
      </text>
    </comment>
    <comment authorId="0" ref="H291">
      <text>
        <t xml:space="preserve">======
ID#AAACHfYYsKU
RoPM    (2026-09-23 10:38:02)
огляд стану поверхні роз'єму «кришка-корпус»</t>
      </text>
    </comment>
    <comment authorId="0" ref="D126">
      <text>
        <t xml:space="preserve">======
ID#AAACHfYYsVw
RoPM    (2026-09-23 10:38:02)
Контроль встановлення графітових переліжок перед ущільненням люка холодного колектору I-го контуру</t>
      </text>
    </comment>
    <comment authorId="0" ref="P10">
      <text>
        <t xml:space="preserve">======
ID#AAACHfYYsTM
RoPM    (2026-09-23 10:38:02)
-контроль центрування ел. двигуна з виймальної частиною ГЦН</t>
      </text>
    </comment>
    <comment authorId="0" ref="J291">
      <text>
        <t xml:space="preserve">======
ID#AAACHfYYsQQ
RoPM    (2026-09-23 10:38:02)
огляд ущільнюючих поверхонь виймальних частин</t>
      </text>
    </comment>
    <comment authorId="0" ref="F126">
      <text>
        <t xml:space="preserve">======
ID#AAACHfYYsPQ
RoPM    (2026-09-23 10:38:02)
Контроль показаників глибиноміра індикаторного при вимірі положення стрижнів шпильок М48 у вільному стані перед ущільненням люка холодного колектору I-го контуру</t>
      </text>
    </comment>
    <comment authorId="0" ref="H126">
      <text>
        <t xml:space="preserve">======
ID#AAACHgFtg-o
RoPM    (2026-09-23 10:38:03)
Контроль витяжки шпильок М48 люка холодного колектору I-го контуру колектору, після випробування МПП</t>
      </text>
    </comment>
    <comment authorId="0" ref="J126">
      <text>
        <t xml:space="preserve">======
ID#AAACHfYYsLo
RoPM    (2026-09-23 10:38:02)
Контроль встановлення графітових переліжок перед ущільненням люка холодного колектору II-го контуру</t>
      </text>
    </comment>
    <comment authorId="0" ref="L126">
      <text>
        <t xml:space="preserve">======
ID#AAACHgFtg-A
RoPM    (2026-09-23 10:38:03)
Контроль показників глибиноміра індикаторного при вимірі положення стрижнів шпильок М48 у вільному стані перед ущільненням люка холодного колектору II-го контуру</t>
      </text>
    </comment>
    <comment authorId="0" ref="N126">
      <text>
        <t xml:space="preserve">======
ID#AAACHfYYsQo
RoPM    (2026-09-23 10:38:02)
Контроль витяжки шпильок М48 люків холодного колектору II-го контуру, після випробування МПП</t>
      </text>
    </comment>
    <comment authorId="0" ref="D325">
      <text>
        <t xml:space="preserve">======
ID#AAACHfYYsLM
RoPM    (2026-09-23 10:38:02)
- контроль вимірювань геометричних розмірів фланців (знімних) ТК та КНВ в районі: Ø134/Ø143 мм, Ø172/Ø180 мм</t>
      </text>
    </comment>
    <comment authorId="0" ref="F325">
      <text>
        <t xml:space="preserve">======
ID#AAACHfYYsQI
RoPM    (2026-09-23 10:38:02)
- контроль виміру геометричних розмірів трубних дощок (стояків) ТК та ЕВ, на БЗТ в районі: Ø134/Ø143 мм</t>
      </text>
    </comment>
    <comment authorId="0" ref="H325">
      <text>
        <t xml:space="preserve">======
ID#AAACHfYYsPE
RoPM    (2026-09-23 10:38:02)
- контроль вимірювань геометричних розмірів фланців трубопроводів повітровідвідника чохлів АРК в районі: Ø16/Ø20 мм</t>
      </text>
    </comment>
    <comment authorId="0" ref="D160">
      <text>
        <t xml:space="preserve">======
ID#AAACHfYYsNE
Огляд ущільнюючих поверхонь    (2026-09-23 10:38:02)
люк-лазу деаераційної колонки "А"</t>
      </text>
    </comment>
    <comment authorId="0" ref="J325">
      <text>
        <t xml:space="preserve">======
ID#AAACHfYYsRo
RoPM    (2026-09-23 10:38:02)
- контроль вимірювань геометричних розмірів фланців трубопроводів охолодження приводів АРК в районі: Ø16/Ø20 мм; Ø32/Ø36 мм</t>
      </text>
    </comment>
    <comment authorId="0" ref="F160">
      <text>
        <t xml:space="preserve">======
ID#AAACHfYYsRs
Огляд ущільнюючих поверхонь    (2026-09-23 10:38:02)
люк-лазу деаераційної колонки "Б"</t>
      </text>
    </comment>
    <comment authorId="0" ref="D94">
      <text>
        <t xml:space="preserve">======
ID#AAACHfYYsQM
RoPM    (2026-09-23 10:38:02)
контроль биття і вертикальності осі валопроводу</t>
      </text>
    </comment>
    <comment authorId="0" ref="L325">
      <text>
        <t xml:space="preserve">======
ID#AAACHfYYsV0
RoPM    (2026-09-23 10:38:02)
- контроль вимірювань геометричних розмірів фланців трубопроводів шахтного обсягу в районі: Ø115±0,15 мм, 12±0,4 мм, 8±0,4 мм;, R4, 2,5√</t>
      </text>
    </comment>
    <comment authorId="0" ref="H160">
      <text>
        <t xml:space="preserve">======
ID#AAACHgFtg-Y
Огляд ущільнюючих поверхонь    (2026-09-23 10:38:03)
люк-лазу деаераторного баку</t>
      </text>
    </comment>
    <comment authorId="0" ref="D28">
      <text>
        <t xml:space="preserve">======
ID#AAACHfYYsV4
RoPM    (2026-09-23 10:38:02)
контроль центрування агрегату</t>
      </text>
    </comment>
    <comment authorId="0" ref="F94">
      <text>
        <t xml:space="preserve">======
ID#AAACHfYYsNY
RoPM    (2026-09-23 10:38:02)
контроль проміжків між валом і вкладишами верхніх і нижніх
направляючих підшипників насоса</t>
      </text>
    </comment>
    <comment authorId="0" ref="N325">
      <text>
        <t xml:space="preserve">======
ID#AAACHfYYsUM
RoPM    (2026-09-23 10:38:02)
- контроль вимірювань геометричних розмірів фланців трубопроводів повітровідвідника та САГ, в районі: Ø16/Ø20 мм</t>
      </text>
    </comment>
    <comment authorId="0" ref="H94">
      <text>
        <t xml:space="preserve">======
ID#AAACHfYYsN4
RoPM    (2026-09-23 10:38:02)
контроль проміжків між ротором і вкладишами верхніх і нижніх направляючих підшипників електродвигуна</t>
      </text>
    </comment>
    <comment authorId="0" ref="P325">
      <text>
        <t xml:space="preserve">======
ID#AAACHfYYsM0
RoPM    (2026-09-23 10:38:02)
- контроль вимірювань геометричних розмірів показників положення в районі: Ø122/Ø128 мм</t>
      </text>
    </comment>
    <comment authorId="0" ref="J94">
      <text>
        <t xml:space="preserve">======
ID#AAACHfYYsOM
RoPM    (2026-09-23 10:38:02)
контроль проміжків по лопатях робочого колеса насоса</t>
      </text>
    </comment>
    <comment authorId="0" ref="R325">
      <text>
        <t xml:space="preserve">======
ID#AAACHfYYsKI
RoPM    (2026-09-23 10:38:02)
- контроль вимірювань геометричних розмірів двигунів приводів АРК в районі: Ø122/Ø128 мм</t>
      </text>
    </comment>
    <comment authorId="0" ref="T325">
      <text>
        <t xml:space="preserve">======
ID#AAACHfYYsUY
RoPM    (2026-09-23 10:38:02)
- контроль вимірювань геометричних розмірів ходу пружинних блоків</t>
      </text>
    </comment>
    <comment authorId="0" ref="D309">
      <text>
        <t xml:space="preserve">======
ID#AAACHfYYsNQ
RoPM    (2026-09-23 10:38:02)
Перевірити
-на чистоту форсунки;
-тиск початку упорскування форсунки</t>
      </text>
    </comment>
    <comment authorId="0" ref="D276">
      <text>
        <t xml:space="preserve">======
ID#AAACHfYYsWM
RoPM    (2026-09-23 10:38:02)
огляд внутрішньої поверхні корпусу</t>
      </text>
    </comment>
    <comment authorId="0" ref="V325">
      <text>
        <t xml:space="preserve">======
ID#AAACHfYYsOA
RoPM    (2026-09-23 10:38:02)
- контроль вимірювань наявності проміжків між секторами та натискним кільцем ВБ (розмір Д)</t>
      </text>
    </comment>
    <comment authorId="0" ref="F309">
      <text>
        <t xml:space="preserve">======
ID#AAACHfYYsNI
RoPM    (2026-09-23 10:38:02)
Перевірити центрування дизеля і генератора</t>
      </text>
    </comment>
    <comment authorId="0" ref="F276">
      <text>
        <t xml:space="preserve">======
ID#AAACHfYYsK0
RoPM    (2026-09-23 10:38:02)
огляд клапана і ущільнюючої поверхні корпусу</t>
      </text>
    </comment>
    <comment authorId="0" ref="H309">
      <text>
        <t xml:space="preserve">======
ID#AAACHfYYsKg
RoPM    (2026-09-23 10:38:02)
Перевірка герметичності внутрішнього контуру охолодження</t>
      </text>
    </comment>
    <comment authorId="0" ref="H276">
      <text>
        <t xml:space="preserve">======
ID#AAACHfYYsTI
RoPM    (2026-09-23 10:38:02)
огляд стану поверхні роз'єму «кришка-корпус»</t>
      </text>
    </comment>
    <comment authorId="0" ref="J309">
      <text>
        <t xml:space="preserve">======
ID#AAACHfYYsMc
RoPM    (2026-09-23 10:38:02)
Виконати всі роботи передбачені ПР</t>
      </text>
    </comment>
    <comment authorId="0" ref="J276">
      <text>
        <t xml:space="preserve">======
ID#AAACHfYYsVM
RoPM    (2026-09-23 10:38:02)
огляд ущільнюючих поверхонь виймальних частин</t>
      </text>
    </comment>
    <comment authorId="0" ref="L309">
      <text>
        <t xml:space="preserve">======
ID#AAACHfYYsLc
RoPM    (2026-09-23 10:38:02)
Зробити вимір поршнів</t>
      </text>
    </comment>
    <comment authorId="0" ref="N309">
      <text>
        <t xml:space="preserve">======
ID#AAACHgFtg-c
RoPM    (2026-09-23 10:38:03)
Провести вимір висоти канавок під поршневі кільця і проміжку кільце-канавка</t>
      </text>
    </comment>
    <comment authorId="0" ref="P309">
      <text>
        <t xml:space="preserve">======
ID#AAACHfYYsS8
RoPM    (2026-09-23 10:38:02)
Зробити вимір поршневих кілець</t>
      </text>
    </comment>
    <comment authorId="0" ref="R309">
      <text>
        <t xml:space="preserve">======
ID#AAACHfYYsLY
RoPM    (2026-09-23 10:38:02)
Виконати вимір вкладишів і втулок шатунів</t>
      </text>
    </comment>
    <comment authorId="0" ref="T309">
      <text>
        <t xml:space="preserve">======
ID#AAACHfYYsSM
RoPM    (2026-09-23 10:38:02)
Виконати виміри корінних і шатунних шийок верхніх
колінчастих валів і шатунних шийок нижніх колінчастих валів</t>
      </text>
    </comment>
    <comment authorId="0" ref="D260">
      <text>
        <t xml:space="preserve">======
ID#AAACHfYYsUk
RoPM    (2026-09-23 10:38:02)
огляд внутрішньої поверхні корпусу</t>
      </text>
    </comment>
    <comment authorId="0" ref="V309">
      <text>
        <t xml:space="preserve">======
ID#AAACHgFtg9U
RoPM    (2026-09-23 10:38:03)
Іиміри масляного проміжку в корінних і шатунних підшипників колінчастих  валів</t>
      </text>
    </comment>
    <comment authorId="0" ref="D227">
      <text>
        <t xml:space="preserve">======
ID#AAACHfYYsKc
RoPM    (2026-09-23 10:38:02)
огляд внутрішньої поверхні корпусу</t>
      </text>
    </comment>
    <comment authorId="0" ref="F260">
      <text>
        <t xml:space="preserve">======
ID#AAACHfYYsKs
RoPM    (2026-09-23 10:38:02)
огляд ущільнюючих поверхонь корпусу</t>
      </text>
    </comment>
    <comment authorId="0" ref="F227">
      <text>
        <t xml:space="preserve">======
ID#AAACHfYYsWc
RoPM    (2026-09-23 10:38:02)
огляд ущільнюючих поверхонь корпусу</t>
      </text>
    </comment>
    <comment authorId="0" ref="H260">
      <text>
        <t xml:space="preserve">======
ID#AAACHfYYsRE
RoPM    (2026-09-23 10:38:02)
огляд стану поверхні роз'єму «кришка-корпус»</t>
      </text>
    </comment>
    <comment authorId="0" ref="H227">
      <text>
        <t xml:space="preserve">======
ID#AAACHgFtg-Q
RoPM    (2026-09-23 10:38:03)
огляд стану поверхонь роз'єму «кришка-корпус»</t>
      </text>
    </comment>
    <comment authorId="0" ref="J260">
      <text>
        <t xml:space="preserve">======
ID#AAACHfYYsKM
RoPM    (2026-09-23 10:38:02)
огляд ущільнюючих поверхонь виймальних частин</t>
      </text>
    </comment>
    <comment authorId="0" ref="J227">
      <text>
        <t xml:space="preserve">======
ID#AAACHgFtg9M
RoPM    (2026-09-23 10:38:03)
огляд ущільнюючих поверхонь виймальних частин</t>
      </text>
    </comment>
    <comment authorId="0" ref="D244">
      <text>
        <t xml:space="preserve">======
ID#AAACHgFtg9s
RoPM    (2026-09-23 10:38:03)
огляд внутрішньої поверхні корпусу</t>
      </text>
    </comment>
    <comment authorId="0" ref="F244">
      <text>
        <t xml:space="preserve">======
ID#AAACHfYYsNU
RoPM    (2026-09-23 10:38:02)
огляд шибера (диска) і ущільнюючої поверхні корпусу</t>
      </text>
    </comment>
    <comment authorId="0" ref="H244">
      <text>
        <t xml:space="preserve">======
ID#AAACHfYYsMk
RoPM    (2026-09-23 10:38:02)
огляд стану поверхні роз'єму «кришка-корпус»</t>
      </text>
    </comment>
    <comment authorId="0" ref="J244">
      <text>
        <t xml:space="preserve">======
ID#AAACHfYYsOc
RoPM    (2026-09-23 10:38:02)
огляд ущільнюючих поверхонь виймальних частин</t>
      </text>
    </comment>
    <comment authorId="0" ref="D327">
      <text>
        <t xml:space="preserve">======
ID#AAACHfYYsT0
- контроль наявності маркування    (2026-09-23 10:38:02)
· на шпильках М140
· на гайках М140
· на сферичних шайбах М140
· на фланці корпусу реактора
· на натискному кільці (номера шпилькових гнізд)
· на знімних фланцях ТК та КНВ</t>
      </text>
    </comment>
    <comment authorId="0" ref="D311">
      <text>
        <t xml:space="preserve">======
ID#AAACHfYYsSc
RoPM    (2026-09-23 10:38:02)
Перевірка висоти камери стиснення</t>
      </text>
    </comment>
    <comment authorId="0" ref="F311">
      <text>
        <t xml:space="preserve">======
ID#AAACHfYYsKo
RoPM    (2026-09-23 10:38:02)
Виконати всі роботи передбачені ПР, СР</t>
      </text>
    </comment>
    <comment authorId="0" ref="H311">
      <text>
        <t xml:space="preserve">======
ID#AAACHfYYsRY
RoPM    (2026-09-23 10:38:02)
Перевірка на чистоту гільзи циліндрів і посадочні місця, виміри гільз</t>
      </text>
    </comment>
    <comment authorId="0" ref="J311">
      <text>
        <t xml:space="preserve">======
ID#AAACHfYYsKA
RoPM    (2026-09-23 10:38:02)
Вимір проміжків по валу ротора і робочим колесам турбокомпресора</t>
      </text>
    </comment>
    <comment authorId="0" ref="D80">
      <text>
        <t xml:space="preserve">======
ID#AAACHfYYsUw
RoPM    (2026-09-23 10:38:02)
контроль масляних проміжків у підшипникових вузлах</t>
      </text>
    </comment>
    <comment authorId="0" ref="F80">
      <text>
        <t xml:space="preserve">======
ID#AAACHfYYsTE
RoPM    (2026-09-23 10:38:02)
контроль центрування агрегату</t>
      </text>
    </comment>
    <comment authorId="0" ref="D64">
      <text>
        <t xml:space="preserve">======
ID#AAACHfYYsQA
RoPM    (2026-09-23 10:38:02)
контроль осьового розбігу ротора</t>
      </text>
    </comment>
    <comment authorId="0" ref="F97">
      <text>
        <t xml:space="preserve">======
ID#AAACHgFtg9Q
RoPM    (2026-09-23 10:38:03)
контроль масляних проміжків у підшипникових вузлах</t>
      </text>
    </comment>
    <comment authorId="0" ref="F64">
      <text>
        <t xml:space="preserve">======
ID#AAACHfYYsTQ
RoPM    (2026-09-23 10:38:02)
контроль масляних проміжків у підшипникових вузлах</t>
      </text>
    </comment>
    <comment authorId="0" ref="H64">
      <text>
        <t xml:space="preserve">======
ID#AAACHgFtg84
RoPM    (2026-09-23 10:38:03)
контроль центрування агрегату</t>
      </text>
    </comment>
    <comment authorId="0" ref="D213">
      <text>
        <t xml:space="preserve">======
ID#AAACHfYYsNs
RoPM    (2026-09-23 10:38:02)
огляд внутрішньої поверхні корпусу</t>
      </text>
    </comment>
    <comment authorId="0" ref="F213">
      <text>
        <t xml:space="preserve">======
ID#AAACHfYYsUE
RoPM    (2026-09-23 10:38:02)
огляд ущільнюючих поверхонь корпусу</t>
      </text>
    </comment>
    <comment authorId="0" ref="H213">
      <text>
        <t xml:space="preserve">======
ID#AAACHfYYsMg
RoPM    (2026-09-23 10:38:02)
огляд поверхонь роз'єму «кришка-корпус»</t>
      </text>
    </comment>
    <comment authorId="0" ref="D48">
      <text>
        <t xml:space="preserve">======
ID#AAACHfYYsPc
RoPM    (2026-09-23 10:38:02)
контроль центрування агрегату</t>
      </text>
    </comment>
    <comment authorId="0" ref="J213">
      <text>
        <t xml:space="preserve">======
ID#AAACHgFtg-g
RoPM    (2026-09-23 10:38:03)
огляд ущільнюючих поверхонь виймальних частин</t>
      </text>
    </comment>
    <comment authorId="0" ref="D164">
      <text>
        <t xml:space="preserve">======
ID#AAACHgFtg9A
Огляд ущільнюючих поверхонь    (2026-09-23 10:38:03)
люк-лазу нижньої трубної дошки відм. -3,6</t>
      </text>
    </comment>
    <comment authorId="0" ref="F164">
      <text>
        <t xml:space="preserve">======
ID#AAACHgFtg8s
Огляд ущільнюючих поверхонь    (2026-09-23 10:38:03)
камери зливу КГП I ступень (за годинниковою стрілкою від люк-лазу) відм. -3,6</t>
      </text>
    </comment>
    <comment authorId="0" ref="H164">
      <text>
        <t xml:space="preserve">======
ID#AAACHfYYsM8
Огляд ущільнюючих поверхонь    (2026-09-23 10:38:02)
камери зливу КГП ІІ ступень (за годинниковою стрілкою від люк-лазу) відм. -3,6</t>
      </text>
    </comment>
    <comment authorId="0" ref="J164">
      <text>
        <t xml:space="preserve">======
ID#AAACHfYYsR8
Огляд ущільнюючих поверхонь    (2026-09-23 10:38:02)
камери зливу КГП I ступень (за годинниковою стрілкою від люк-лазу) відм. -3,6</t>
      </text>
    </comment>
    <comment authorId="0" ref="L164">
      <text>
        <t xml:space="preserve">======
ID#AAACHfYYsWE
Огляд ущільнюючих поверхонь    (2026-09-23 10:38:02)
камери зливу КГП ІІ ступень (за годинниковою стрілкою від люк-лазу) відм. -3,6</t>
      </text>
    </comment>
    <comment authorId="0" ref="N164">
      <text>
        <t xml:space="preserve">======
ID#AAACHfYYsQ0
Огляд ущільнюючих поверхонь    (2026-09-23 10:38:02)
люк-лазу верхньої трубної дошки відм. + 3,6</t>
      </text>
    </comment>
    <comment authorId="0" ref="D313">
      <text>
        <t xml:space="preserve">======
ID#AAACHfYYsQY
RoPM    (2026-09-23 10:38:02)
Перевірити
-на чистоту форсунки;
-тиск початку упорскування форсунки</t>
      </text>
    </comment>
    <comment authorId="0" ref="D280">
      <text>
        <t xml:space="preserve">======
ID#AAACHfYYsP0
RoPM    (2026-09-23 10:38:02)
огляд внутрішньої поверхні корпусу</t>
      </text>
    </comment>
    <comment authorId="0" ref="P164">
      <text>
        <t xml:space="preserve">======
ID#AAACHfYYsME
Огляд ущільнюючих поверхонь    (2026-09-23 10:38:02)
камери гріючої пари I ступень (за годинниковою стрілкою від люк-лазу) відм. + 3,6</t>
      </text>
    </comment>
    <comment authorId="0" ref="F313">
      <text>
        <t xml:space="preserve">======
ID#AAACHfYYsOw
RoPM    (2026-09-23 10:38:02)
Перевірити центрування дизеля і генератора</t>
      </text>
    </comment>
    <comment authorId="0" ref="R164">
      <text>
        <t xml:space="preserve">======
ID#AAACHgFtg-M
Огляд ущільнюючих поверхонь    (2026-09-23 10:38:03)
камери гріючої пари, ІІ ступень (за годинниковою стрілкою від люк-лазу) відм. + 3,6</t>
      </text>
    </comment>
    <comment authorId="0" ref="F280">
      <text>
        <t xml:space="preserve">======
ID#AAACHfYYsWg
RoPM    (2026-09-23 10:38:02)
огляд ущільнюючих поверхонь корпусу</t>
      </text>
    </comment>
    <comment authorId="0" ref="H313">
      <text>
        <t xml:space="preserve">======
ID#AAACHfYYsOQ
RoPM    (2026-09-23 10:38:02)
Перевірка герметичності внутрішнього контуру охолодження</t>
      </text>
    </comment>
    <comment authorId="0" ref="T164">
      <text>
        <t xml:space="preserve">======
ID#AAACHfYYsPs
Огляд ущільнюючих поверхонь    (2026-09-23 10:38:02)
камери гріючої пари I ступень (за годинниковою стрілкою від люк-лазу) відм. + 3,6</t>
      </text>
    </comment>
    <comment authorId="0" ref="H280">
      <text>
        <t xml:space="preserve">======
ID#AAACHfYYsNc
RoPM    (2026-09-23 10:38:02)
огляд стану поверхні роз'єму «кришка-корпус»</t>
      </text>
    </comment>
    <comment authorId="0" ref="J313">
      <text>
        <t xml:space="preserve">======
ID#AAACHfYYsMU
RoPM    (2026-09-23 10:38:02)
Виконати всі роботи передбачені ПР</t>
      </text>
    </comment>
    <comment authorId="0" ref="D115">
      <text>
        <t xml:space="preserve">======
ID#AAACHfYYsL0
RoPM    (2026-09-23 10:38:02)
Контроль встановлення прокладок СНП перед ущільненням головного раз’єму</t>
      </text>
    </comment>
    <comment authorId="0" ref="J280">
      <text>
        <t xml:space="preserve">======
ID#AAACHgFtg9w
RoPM    (2026-09-23 10:38:03)
огляд ущільнюючих поверхонь виймальних частин</t>
      </text>
    </comment>
    <comment authorId="0" ref="V164">
      <text>
        <t xml:space="preserve">======
ID#AAACHfYYsPY
Огляд ущільнюючих поверхонь    (2026-09-23 10:38:02)
камери гріючої пари, ІІ ступень (за годинниковою стрілкою від люк-лазу) відм. + 3,6</t>
      </text>
    </comment>
    <comment authorId="0" ref="F115">
      <text>
        <t xml:space="preserve">======
ID#AAACHfYYsTo
RoPM    (2026-09-23 10:38:02)
Контроль моменту затягування гайок М64 3-го проходу головного роз'єму</t>
      </text>
    </comment>
    <comment authorId="0" ref="L313">
      <text>
        <t xml:space="preserve">======
ID#AAACHfYYsU4
RoPM    (2026-09-23 10:38:02)
Зробити вимір поршнів</t>
      </text>
    </comment>
    <comment authorId="0" ref="X164">
      <text>
        <t xml:space="preserve">======
ID#AAACHfYYsLU
Огляд ущільнюючих поверхонь    (2026-09-23 10:38:02)
люк-лазу СПП, відм. + 7</t>
      </text>
    </comment>
    <comment authorId="0" ref="N313">
      <text>
        <t xml:space="preserve">======
ID#AAACHfYYsSs
RoPM    (2026-09-23 10:38:02)
Провести вимір висоти канавок під поршневі кільця і проміжку кільце-канавка</t>
      </text>
    </comment>
    <comment authorId="0" ref="P313">
      <text>
        <t xml:space="preserve">======
ID#AAACHfYYsSQ
RoPM    (2026-09-23 10:38:02)
Зробити вимір поршневих кілець</t>
      </text>
    </comment>
    <comment authorId="0" ref="R313">
      <text>
        <t xml:space="preserve">======
ID#AAACHfYYsK4
RoPM    (2026-09-23 10:38:02)
Виконати вимір вкладишів і втулок шатунів</t>
      </text>
    </comment>
    <comment authorId="0" ref="D297">
      <text>
        <t xml:space="preserve">======
ID#AAACHfYYsNM
RoPM    (2026-09-23 10:38:02)
огляд внутрішньої поверхні корпусу</t>
      </text>
    </comment>
    <comment authorId="0" ref="T313">
      <text>
        <t xml:space="preserve">======
ID#AAACHfYYsLI
RoPM    (2026-09-23 10:38:02)
Виконати виміри корінних і шатунних шийок верхніх
колінчастих валів і шатунних шийок нижніх колінчастих валів</t>
      </text>
    </comment>
    <comment authorId="0" ref="V313">
      <text>
        <t xml:space="preserve">======
ID#AAACHgFtg9c
RoPM    (2026-09-23 10:38:03)
Іиміри масляного проміжку в корінних і шатунних підшипників колінчастих  валів</t>
      </text>
    </comment>
    <comment authorId="0" ref="F297">
      <text>
        <t xml:space="preserve">======
ID#AAACHfYYsL4
RoPM    (2026-09-23 10:38:02)
огляд ущільнюючих поверхонь корпусу</t>
      </text>
    </comment>
    <comment authorId="0" ref="H297">
      <text>
        <t xml:space="preserve">======
ID#AAACHfYYsNo
RoPM    (2026-09-23 10:38:02)
огляд стану поверхні роз'єму «кришка-корпус»</t>
      </text>
    </comment>
    <comment authorId="0" ref="J297">
      <text>
        <t xml:space="preserve">======
ID#AAACHfYYsOk
RoPM    (2026-09-23 10:38:02)
огляд ущільнюючих поверхонь виймальних частин</t>
      </text>
    </comment>
    <comment authorId="0" ref="D33">
      <text>
        <t xml:space="preserve">======
ID#AAACHfYYsT4
RoPM    (2026-09-23 10:38:02)
контроль центрування агрегату</t>
      </text>
    </comment>
    <comment authorId="0" ref="D199">
      <text>
        <t xml:space="preserve">======
ID#AAACHfYYsNA
RoPM    (2026-09-23 10:38:02)
огляд внутрішньої поверхні корпусу</t>
      </text>
    </comment>
    <comment authorId="0" ref="F199">
      <text>
        <t xml:space="preserve">======
ID#AAACHfYYsU0
RoPM    (2026-09-23 10:38:02)
огляд ущільнюючих поверхонь корпусу</t>
      </text>
    </comment>
  </commentList>
  <extLst>
    <ext uri="GoogleSheetsCustomDataVersion2">
      <go:sheetsCustomData xmlns:go="http://customooxmlschemas.google.com/" r:id="rId1" roundtripDataSignature="AMtx7mjsmS7Ja2TUt6pXo6b3JumBJNW4hQ=="/>
    </ext>
  </extLst>
</comments>
</file>

<file path=xl/sharedStrings.xml><?xml version="1.0" encoding="utf-8"?>
<sst xmlns="http://schemas.openxmlformats.org/spreadsheetml/2006/main" count="605" uniqueCount="372">
  <si>
    <t>Насоси</t>
  </si>
  <si>
    <t>Посудини</t>
  </si>
  <si>
    <t>Арматура</t>
  </si>
  <si>
    <t>Дизелі</t>
  </si>
  <si>
    <t>Реактор</t>
  </si>
  <si>
    <t>Діаграма</t>
  </si>
  <si>
    <r>
      <rPr>
        <rFont val="Times New Roman"/>
        <b/>
        <color theme="1"/>
        <sz val="12.0"/>
      </rPr>
      <t xml:space="preserve">      Сьогодні прийнято</t>
    </r>
    <r>
      <rPr>
        <rFont val="Times New Roman"/>
        <b/>
        <color theme="1"/>
        <sz val="11.0"/>
      </rPr>
      <t xml:space="preserve"> </t>
    </r>
  </si>
  <si>
    <t>к.о.</t>
  </si>
  <si>
    <t xml:space="preserve">Персональні коди працівників </t>
  </si>
  <si>
    <t>КР</t>
  </si>
  <si>
    <t>ПР</t>
  </si>
  <si>
    <t>№       п/п</t>
  </si>
  <si>
    <t>Найменування обладнання</t>
  </si>
  <si>
    <t xml:space="preserve">Вид ремо-нту </t>
  </si>
  <si>
    <t>Шифр контрольних операцій/дата виконання/персональний код</t>
  </si>
  <si>
    <t>Примітки</t>
  </si>
  <si>
    <t>ТО</t>
  </si>
  <si>
    <t>СР</t>
  </si>
  <si>
    <t>НАСОСИ</t>
  </si>
  <si>
    <t>РЦ-1</t>
  </si>
  <si>
    <r>
      <rPr>
        <rFont val="Times New Roman"/>
        <color rgb="FF000000"/>
        <sz val="14.0"/>
      </rPr>
      <t>Головний циркуляційний насос тип</t>
    </r>
    <r>
      <rPr>
        <rFont val="Times New Roman"/>
        <b/>
        <color rgb="FF000000"/>
        <sz val="14.0"/>
      </rPr>
      <t xml:space="preserve"> ГЦН-317</t>
    </r>
  </si>
  <si>
    <t xml:space="preserve"> </t>
  </si>
  <si>
    <t>2ГЦН-1</t>
  </si>
  <si>
    <t>///</t>
  </si>
  <si>
    <t>2ГЦН-2</t>
  </si>
  <si>
    <t>2ГЦН-3</t>
  </si>
  <si>
    <t>2ГЦН-4</t>
  </si>
  <si>
    <t>2ГЦН-5</t>
  </si>
  <si>
    <t>2ГЦН-6</t>
  </si>
  <si>
    <r>
      <rPr>
        <rFont val="Times New Roman"/>
        <color rgb="FF000000"/>
        <sz val="14.0"/>
      </rPr>
      <t xml:space="preserve">Насос аварійного вводу бора, тип </t>
    </r>
    <r>
      <rPr>
        <rFont val="Times New Roman"/>
        <b/>
        <color rgb="FF000000"/>
        <sz val="14.0"/>
      </rPr>
      <t>ЦН 65-130</t>
    </r>
  </si>
  <si>
    <t>2НАП-1</t>
  </si>
  <si>
    <t>2НАП-2</t>
  </si>
  <si>
    <t>2НАП-3</t>
  </si>
  <si>
    <r>
      <rPr>
        <rFont val="Times New Roman"/>
        <color rgb="FF000000"/>
        <sz val="14.0"/>
      </rPr>
      <t xml:space="preserve">Живильний насос, тип </t>
    </r>
    <r>
      <rPr>
        <rFont val="Times New Roman"/>
        <b/>
        <color rgb="FF000000"/>
        <sz val="14.0"/>
      </rPr>
      <t>ЦН 50-135</t>
    </r>
  </si>
  <si>
    <t>2НБП-1</t>
  </si>
  <si>
    <t>2НБП-2</t>
  </si>
  <si>
    <t>2НБП-3</t>
  </si>
  <si>
    <r>
      <rPr>
        <rFont val="Times New Roman"/>
        <color rgb="FF000000"/>
        <sz val="14.0"/>
      </rPr>
      <t xml:space="preserve">Спринклерний насос, тип </t>
    </r>
    <r>
      <rPr>
        <rFont val="Times New Roman"/>
        <b/>
        <color rgb="FF000000"/>
        <sz val="14.0"/>
      </rPr>
      <t>8 НДВХ-СД</t>
    </r>
  </si>
  <si>
    <t>2НС-1</t>
  </si>
  <si>
    <t>2НС-2</t>
  </si>
  <si>
    <t>2НС-3</t>
  </si>
  <si>
    <r>
      <rPr>
        <rFont val="Times New Roman"/>
        <color rgb="FF000000"/>
        <sz val="14.0"/>
      </rPr>
      <t xml:space="preserve">Насос промконтура </t>
    </r>
    <r>
      <rPr>
        <rFont val="Times New Roman"/>
        <b/>
        <color rgb="FF000000"/>
        <sz val="14.0"/>
      </rPr>
      <t>ГЦН</t>
    </r>
    <r>
      <rPr>
        <rFont val="Times New Roman"/>
        <color rgb="FF000000"/>
        <sz val="14.0"/>
      </rPr>
      <t xml:space="preserve">, тип </t>
    </r>
    <r>
      <rPr>
        <rFont val="Times New Roman"/>
        <b/>
        <color rgb="FF000000"/>
        <sz val="14.0"/>
      </rPr>
      <t>8 НДВХ-СД</t>
    </r>
  </si>
  <si>
    <t>2НПКГ-1</t>
  </si>
  <si>
    <t>2НПКГ-2</t>
  </si>
  <si>
    <t>2НПКГ-3</t>
  </si>
  <si>
    <r>
      <rPr>
        <rFont val="Times New Roman"/>
        <color rgb="FF000000"/>
        <sz val="14.0"/>
      </rPr>
      <t xml:space="preserve">Насос промконтура САОЗ, тип </t>
    </r>
    <r>
      <rPr>
        <rFont val="Times New Roman"/>
        <b/>
        <color rgb="FF000000"/>
        <sz val="14.0"/>
      </rPr>
      <t>Х 860Е-2Г</t>
    </r>
  </si>
  <si>
    <t>2НПКА-1</t>
  </si>
  <si>
    <t>2НПКА-2</t>
  </si>
  <si>
    <t>2НПКА-3</t>
  </si>
  <si>
    <r>
      <rPr>
        <rFont val="Times New Roman"/>
        <color rgb="FF000000"/>
        <sz val="14.0"/>
      </rPr>
      <t xml:space="preserve">Насос організованих протікань, тип </t>
    </r>
    <r>
      <rPr>
        <rFont val="Times New Roman"/>
        <b/>
        <color rgb="FF000000"/>
        <sz val="14.0"/>
      </rPr>
      <t>Х 20-53-Е-2Г</t>
    </r>
  </si>
  <si>
    <t>2НОП-1</t>
  </si>
  <si>
    <t>2НОП-2</t>
  </si>
  <si>
    <t>2НОП-3</t>
  </si>
  <si>
    <r>
      <rPr>
        <rFont val="Times New Roman"/>
        <color rgb="FF000000"/>
        <sz val="14.0"/>
      </rPr>
      <t xml:space="preserve">Насос промконтура тип </t>
    </r>
    <r>
      <rPr>
        <rFont val="Times New Roman"/>
        <b/>
        <color rgb="FF000000"/>
        <sz val="14.0"/>
      </rPr>
      <t>ХО 45/140-К-2Г</t>
    </r>
  </si>
  <si>
    <t>2НПКС-1</t>
  </si>
  <si>
    <t>2НПКС-2</t>
  </si>
  <si>
    <t>2НПКС-3</t>
  </si>
  <si>
    <r>
      <rPr>
        <rFont val="Times New Roman"/>
        <color rgb="FF000000"/>
        <sz val="14.0"/>
      </rPr>
      <t>Бустерний насос тип</t>
    </r>
    <r>
      <rPr>
        <rFont val="Times New Roman"/>
        <b/>
        <color rgb="FF000000"/>
        <sz val="14.0"/>
      </rPr>
      <t xml:space="preserve"> АХ 90/49-К-2Г</t>
    </r>
  </si>
  <si>
    <t>2БНБП-1</t>
  </si>
  <si>
    <t>2БНБП-2</t>
  </si>
  <si>
    <t>2БНБП-3</t>
  </si>
  <si>
    <r>
      <rPr>
        <rFont val="Times New Roman"/>
        <color rgb="FF000000"/>
        <sz val="14.0"/>
      </rPr>
      <t>Насос аварійного охолодження тип</t>
    </r>
    <r>
      <rPr>
        <rFont val="Times New Roman"/>
        <b/>
        <color rgb="FF000000"/>
        <sz val="14.0"/>
      </rPr>
      <t xml:space="preserve"> Х-280/72-К-2Г</t>
    </r>
  </si>
  <si>
    <t>2НОР-1</t>
  </si>
  <si>
    <t>2НОР-2</t>
  </si>
  <si>
    <t>2НОР-3</t>
  </si>
  <si>
    <t>ТЦ-1</t>
  </si>
  <si>
    <r>
      <rPr>
        <rFont val="Times New Roman"/>
        <color rgb="FF000000"/>
        <sz val="14.0"/>
      </rPr>
      <t>Живильний насос тип</t>
    </r>
    <r>
      <rPr>
        <rFont val="Times New Roman"/>
        <b/>
        <color rgb="FF000000"/>
        <sz val="14.0"/>
      </rPr>
      <t xml:space="preserve"> ПЭА 850-65</t>
    </r>
  </si>
  <si>
    <t>2ПЭН-1</t>
  </si>
  <si>
    <t>2ПЭН-2</t>
  </si>
  <si>
    <t>2ПЭН-3</t>
  </si>
  <si>
    <t>2ПЭН-4</t>
  </si>
  <si>
    <t>2ПЭН-5</t>
  </si>
  <si>
    <r>
      <rPr>
        <rFont val="Times New Roman"/>
        <color rgb="FF000000"/>
        <sz val="14.0"/>
      </rPr>
      <t xml:space="preserve">Аварійний живильний насос тип </t>
    </r>
    <r>
      <rPr>
        <rFont val="Times New Roman"/>
        <b/>
        <color rgb="FF000000"/>
        <sz val="14.0"/>
      </rPr>
      <t>ПЭА 65-50</t>
    </r>
  </si>
  <si>
    <t>2АПЭН-1</t>
  </si>
  <si>
    <t>2АПЭН-2</t>
  </si>
  <si>
    <r>
      <rPr>
        <rFont val="Times New Roman"/>
        <color rgb="FF000000"/>
        <sz val="14.0"/>
      </rPr>
      <t xml:space="preserve">Додаткоий аварійний живильний тип </t>
    </r>
    <r>
      <rPr>
        <rFont val="Times New Roman"/>
        <b/>
        <color rgb="FF000000"/>
        <sz val="14.0"/>
      </rPr>
      <t>ПЭА 65-50</t>
    </r>
  </si>
  <si>
    <t>2ДАПЭН-1</t>
  </si>
  <si>
    <t>2ДАПЭН-2</t>
  </si>
  <si>
    <t>2ДАПЭН-3</t>
  </si>
  <si>
    <r>
      <rPr>
        <rFont val="Times New Roman"/>
        <color rgb="FF000000"/>
        <sz val="14.0"/>
      </rPr>
      <t>Насос розхолоджування тип</t>
    </r>
    <r>
      <rPr>
        <rFont val="Times New Roman"/>
        <b/>
        <color rgb="FF000000"/>
        <sz val="14.0"/>
      </rPr>
      <t xml:space="preserve"> СЭ 500-70</t>
    </r>
  </si>
  <si>
    <t>2НР-1</t>
  </si>
  <si>
    <t>2НР-2</t>
  </si>
  <si>
    <t>2НР-3</t>
  </si>
  <si>
    <r>
      <rPr>
        <rFont val="Times New Roman"/>
        <color rgb="FF000000"/>
        <sz val="14.0"/>
      </rPr>
      <t xml:space="preserve">Конденсатний насос тип </t>
    </r>
    <r>
      <rPr>
        <rFont val="Times New Roman"/>
        <b/>
        <color rgb="FF000000"/>
        <sz val="14.0"/>
      </rPr>
      <t>КсВА 500-220</t>
    </r>
  </si>
  <si>
    <t>КЭН-3А</t>
  </si>
  <si>
    <t>КЭН-3Б</t>
  </si>
  <si>
    <t>КЭН-3В</t>
  </si>
  <si>
    <t>КЭН-4А</t>
  </si>
  <si>
    <t>КЭН-4Б</t>
  </si>
  <si>
    <t>КЭН-4В</t>
  </si>
  <si>
    <t>ГТЦ</t>
  </si>
  <si>
    <r>
      <rPr>
        <rFont val="Times New Roman"/>
        <color rgb="FF000000"/>
        <sz val="14.0"/>
      </rPr>
      <t xml:space="preserve">Циркуляційний насос ежекторів тип </t>
    </r>
    <r>
      <rPr>
        <rFont val="Times New Roman"/>
        <b/>
        <color rgb="FF000000"/>
        <sz val="14.0"/>
      </rPr>
      <t>ОПВ6-145 Э</t>
    </r>
  </si>
  <si>
    <t>2ЦН-3А</t>
  </si>
  <si>
    <t>2ЦН-3Б</t>
  </si>
  <si>
    <t>2ЦН-4А</t>
  </si>
  <si>
    <t>2ЦН-4Б</t>
  </si>
  <si>
    <r>
      <rPr>
        <rFont val="Times New Roman"/>
        <color rgb="FF000000"/>
        <sz val="14.0"/>
      </rPr>
      <t xml:space="preserve">Насос градірні тип </t>
    </r>
    <r>
      <rPr>
        <rFont val="Times New Roman"/>
        <b/>
        <color rgb="FF000000"/>
        <sz val="14.0"/>
      </rPr>
      <t>ОПВ10-185 ЭГ</t>
    </r>
  </si>
  <si>
    <t>2НГ-2А</t>
  </si>
  <si>
    <t>2НГ-2Б</t>
  </si>
  <si>
    <t xml:space="preserve"> ПОСУДИНИ</t>
  </si>
  <si>
    <r>
      <rPr>
        <rFont val="Times New Roman"/>
        <color rgb="FF000000"/>
        <sz val="14.0"/>
      </rPr>
      <t xml:space="preserve">Компенсатор тиску, </t>
    </r>
    <r>
      <rPr>
        <rFont val="Times New Roman"/>
        <b/>
        <color rgb="FF000000"/>
        <sz val="14.0"/>
      </rPr>
      <t>КТ</t>
    </r>
  </si>
  <si>
    <t>2КО</t>
  </si>
  <si>
    <t>Гидроемкости САОЗ</t>
  </si>
  <si>
    <t>2ГЕ-1</t>
  </si>
  <si>
    <t>2ГЕ-2</t>
  </si>
  <si>
    <t>2ГЕ-3</t>
  </si>
  <si>
    <t>2ГЕ-4</t>
  </si>
  <si>
    <r>
      <rPr>
        <rFont val="Times New Roman"/>
        <color rgb="FF000000"/>
        <sz val="14.0"/>
      </rPr>
      <t xml:space="preserve">Аніонітний фільтр, </t>
    </r>
    <r>
      <rPr>
        <rFont val="Times New Roman"/>
        <b/>
        <color rgb="FF000000"/>
        <sz val="14.0"/>
      </rPr>
      <t>АФ</t>
    </r>
  </si>
  <si>
    <t>2АФ</t>
  </si>
  <si>
    <r>
      <rPr>
        <rFont val="Times New Roman"/>
        <color rgb="FF000000"/>
        <sz val="14.0"/>
      </rPr>
      <t>Катіонітний фільтр, К</t>
    </r>
    <r>
      <rPr>
        <rFont val="Times New Roman"/>
        <b/>
        <color rgb="FF000000"/>
        <sz val="14.0"/>
      </rPr>
      <t>Ф</t>
    </r>
  </si>
  <si>
    <t>2КФ</t>
  </si>
  <si>
    <r>
      <rPr>
        <rFont val="Times New Roman"/>
        <color rgb="FF000000"/>
        <sz val="14.0"/>
      </rPr>
      <t xml:space="preserve">Фільтр змішаної дії, </t>
    </r>
    <r>
      <rPr>
        <rFont val="Times New Roman"/>
        <b/>
        <color rgb="FF000000"/>
        <sz val="14.0"/>
      </rPr>
      <t>ФСД</t>
    </r>
  </si>
  <si>
    <t>2ФСД</t>
  </si>
  <si>
    <r>
      <rPr>
        <rFont val="Times New Roman"/>
        <color rgb="FF000000"/>
        <sz val="14.0"/>
      </rPr>
      <t xml:space="preserve">Парогенератор тип </t>
    </r>
    <r>
      <rPr>
        <rFont val="Times New Roman"/>
        <b/>
        <color rgb="FF000000"/>
        <sz val="14.0"/>
      </rPr>
      <t>ПГВ-213</t>
    </r>
  </si>
  <si>
    <t>I-I</t>
  </si>
  <si>
    <t>I-II</t>
  </si>
  <si>
    <t>I-III</t>
  </si>
  <si>
    <t>II-I</t>
  </si>
  <si>
    <t>II-II</t>
  </si>
  <si>
    <t>II-III</t>
  </si>
  <si>
    <t>ІІІ-І</t>
  </si>
  <si>
    <t>ІІІ-ІІ</t>
  </si>
  <si>
    <t>IV-I</t>
  </si>
  <si>
    <t>IV-II</t>
  </si>
  <si>
    <t>Колектор</t>
  </si>
  <si>
    <t>2ПГ-1</t>
  </si>
  <si>
    <t>Гарячий</t>
  </si>
  <si>
    <t>Холодний</t>
  </si>
  <si>
    <t>2ПГ-2</t>
  </si>
  <si>
    <t>2ПГ-3</t>
  </si>
  <si>
    <t>2ПГ-4</t>
  </si>
  <si>
    <t>2ПГ-5</t>
  </si>
  <si>
    <t>2ПГ-6</t>
  </si>
  <si>
    <r>
      <rPr>
        <rFont val="Times New Roman"/>
        <color rgb="FF000000"/>
        <sz val="14.0"/>
      </rPr>
      <t xml:space="preserve">Підігрівачі низького тиску тип </t>
    </r>
    <r>
      <rPr>
        <rFont val="Times New Roman"/>
        <b/>
        <color rgb="FF000000"/>
        <sz val="14.0"/>
      </rPr>
      <t>ПН-800-29-7-IIIА (IVA, VA)</t>
    </r>
  </si>
  <si>
    <t>3ПНД-1</t>
  </si>
  <si>
    <t>3ПНД-2</t>
  </si>
  <si>
    <t>3ПНД-3</t>
  </si>
  <si>
    <t>3ПНД-4</t>
  </si>
  <si>
    <t>3ПНД-5</t>
  </si>
  <si>
    <t>4ПНД-1</t>
  </si>
  <si>
    <t>4ПНД-2</t>
  </si>
  <si>
    <t>4ПНД-3</t>
  </si>
  <si>
    <t>4ПНД-4</t>
  </si>
  <si>
    <t>4ПНД-5</t>
  </si>
  <si>
    <r>
      <rPr>
        <rFont val="Times New Roman"/>
        <color rgb="FF000000"/>
        <sz val="14.0"/>
      </rPr>
      <t xml:space="preserve">Підігрівачі високого тиску тип </t>
    </r>
    <r>
      <rPr>
        <rFont val="Times New Roman"/>
        <b/>
        <color rgb="FF000000"/>
        <sz val="14.0"/>
      </rPr>
      <t>ПВ-1600-92-15А (20А, 30А)</t>
    </r>
  </si>
  <si>
    <t>3ПВД-6</t>
  </si>
  <si>
    <t>3ПВД-7</t>
  </si>
  <si>
    <t>3ПВД-8</t>
  </si>
  <si>
    <t>4ПВД-6</t>
  </si>
  <si>
    <t>4ПВД-7</t>
  </si>
  <si>
    <t>4ПВД-8</t>
  </si>
  <si>
    <r>
      <rPr>
        <rFont val="Times New Roman"/>
        <color rgb="FF000000"/>
        <sz val="14.0"/>
      </rPr>
      <t xml:space="preserve">Деаератор тип </t>
    </r>
    <r>
      <rPr>
        <rFont val="Times New Roman"/>
        <b/>
        <color rgb="FF000000"/>
        <sz val="14.0"/>
      </rPr>
      <t>ДП-2000 (2Х1000)-120</t>
    </r>
  </si>
  <si>
    <t>Д-3</t>
  </si>
  <si>
    <t>Д-4</t>
  </si>
  <si>
    <r>
      <rPr>
        <rFont val="Times New Roman"/>
        <color rgb="FF000000"/>
        <sz val="14.0"/>
      </rPr>
      <t xml:space="preserve">Сеператор-пароперегрівач, тип </t>
    </r>
    <r>
      <rPr>
        <rFont val="Times New Roman"/>
        <b/>
        <color rgb="FF000000"/>
        <sz val="14.0"/>
      </rPr>
      <t>СПП-220М</t>
    </r>
  </si>
  <si>
    <t>СПП-3А</t>
  </si>
  <si>
    <t>СПП-3Б</t>
  </si>
  <si>
    <t>СПП-4А</t>
  </si>
  <si>
    <t>СПП-4Б</t>
  </si>
  <si>
    <t>АРМАТУРА</t>
  </si>
  <si>
    <t>Вентиль регулирующий на линии впрыска в КО, тип Pos.4.1.1/Stalventil 346-426/DN100</t>
  </si>
  <si>
    <t>2КО-6</t>
  </si>
  <si>
    <t>Арматура на линии впрыска в КО, тип Pos.1.1 NICO2000 102-126 III DN50, А10823А-0160 АRАKO*</t>
  </si>
  <si>
    <t>2КО9-1</t>
  </si>
  <si>
    <t>2КО9-2</t>
  </si>
  <si>
    <t>2КО9-3</t>
  </si>
  <si>
    <t>2КО9-4</t>
  </si>
  <si>
    <t>2КО10-1</t>
  </si>
  <si>
    <t>2КО10-2</t>
  </si>
  <si>
    <t>2КО10-3</t>
  </si>
  <si>
    <t>2КО10-4</t>
  </si>
  <si>
    <t>ИПУ  КО, тип P.O.S.R.V.TANDEM0.76.0447.000</t>
  </si>
  <si>
    <t>2ИПУ КД-1</t>
  </si>
  <si>
    <t>2ИПУ КД-2</t>
  </si>
  <si>
    <t>ПК САОЗ, гидроемкости тип УФ 50023-025</t>
  </si>
  <si>
    <t>2ИПУ1Г-1</t>
  </si>
  <si>
    <t>2ИПУ1Г-2</t>
  </si>
  <si>
    <t>2ИПУ1Г-3</t>
  </si>
  <si>
    <t>2ИПУ1Г-4</t>
  </si>
  <si>
    <t>2ИПУ2Г-1</t>
  </si>
  <si>
    <t>2ИПУ2Г-2</t>
  </si>
  <si>
    <t>2ИПУ2Г-3</t>
  </si>
  <si>
    <t>2ИПУ2Г-4</t>
  </si>
  <si>
    <t>Главные запорные задвижки (ГЗЗ), тип С 23 204 О Р125-500</t>
  </si>
  <si>
    <t>2Р1-1</t>
  </si>
  <si>
    <t>2Р2-1</t>
  </si>
  <si>
    <t>2Р1-2</t>
  </si>
  <si>
    <t>2Р2-2</t>
  </si>
  <si>
    <t>2Р1-3</t>
  </si>
  <si>
    <t>2Р2-3</t>
  </si>
  <si>
    <t>2Р1-4</t>
  </si>
  <si>
    <t>2Р2-4</t>
  </si>
  <si>
    <t>2Р1-5</t>
  </si>
  <si>
    <t>2Р2-5</t>
  </si>
  <si>
    <t>2Р1-6</t>
  </si>
  <si>
    <t>2Р2-6</t>
  </si>
  <si>
    <t xml:space="preserve"> ПК ИПУ ПГ, тип  SGSV4  0.76.0368.000/B “SEBIM”</t>
  </si>
  <si>
    <t>2ИПУ 1 ПГ-1</t>
  </si>
  <si>
    <t>2ИПУ 2 ПГ-1</t>
  </si>
  <si>
    <t>2ИПУ 1 ПГ-2</t>
  </si>
  <si>
    <t>2ИПУ 2 ПГ-2</t>
  </si>
  <si>
    <t>2ИПУ 1 ПГ-3</t>
  </si>
  <si>
    <t>2ИПУ 2 ПГ-3</t>
  </si>
  <si>
    <t>2ИПУ 1 ПГ-4</t>
  </si>
  <si>
    <t>2ИПУ 2 ПГ-4</t>
  </si>
  <si>
    <t>2ИПУ 1 ПГ-5</t>
  </si>
  <si>
    <t>2ИПУ 2 ПГ-5</t>
  </si>
  <si>
    <t>2ИПУ 1 ПГ-6</t>
  </si>
  <si>
    <t>2ИПУ 2 ПГ-6</t>
  </si>
  <si>
    <t>БЗОК на выходе пара из ПГ, тип  121-523 DN 450</t>
  </si>
  <si>
    <t>2П1-1</t>
  </si>
  <si>
    <t>2П2-1</t>
  </si>
  <si>
    <t>2П3-1</t>
  </si>
  <si>
    <t>2П4-1</t>
  </si>
  <si>
    <t>2П5-1</t>
  </si>
  <si>
    <t>2П6-1</t>
  </si>
  <si>
    <t>Рег. уровня в ПГ (основные), тип 1046-250-Э</t>
  </si>
  <si>
    <t>2РП1-1*</t>
  </si>
  <si>
    <t>2РП2-1</t>
  </si>
  <si>
    <t>2РП3-1</t>
  </si>
  <si>
    <t>Втул. р. - 6</t>
  </si>
  <si>
    <t>2РП4-1</t>
  </si>
  <si>
    <t>2РП5-1</t>
  </si>
  <si>
    <t>Втул. р. - 8</t>
  </si>
  <si>
    <t>2РП6-1</t>
  </si>
  <si>
    <t>Рег. уровня в ПГ (байпасные), тип 810-100-Э</t>
  </si>
  <si>
    <t>2РП1-2</t>
  </si>
  <si>
    <t>2РП2-2</t>
  </si>
  <si>
    <t>2РП3-2</t>
  </si>
  <si>
    <t>2РП4-2</t>
  </si>
  <si>
    <t>2РП5-2</t>
  </si>
  <si>
    <t>2РП6-2</t>
  </si>
  <si>
    <t>Последняя по ходу пит. воды на ПГ тип Eldidor 2000 Typ 701-125 DN250</t>
  </si>
  <si>
    <t>2ВП1-6</t>
  </si>
  <si>
    <t>2ВП2-6</t>
  </si>
  <si>
    <t>2ВП3-6</t>
  </si>
  <si>
    <t>2ВП4-6</t>
  </si>
  <si>
    <t>2ВП5-6</t>
  </si>
  <si>
    <t>2ВП6-6</t>
  </si>
  <si>
    <t>Последняя по ходу от ДАПЭН на ПГ, тип 880-100-Э</t>
  </si>
  <si>
    <t>2ВП1-8</t>
  </si>
  <si>
    <t>2ВП2-8</t>
  </si>
  <si>
    <t>2ВП3-8</t>
  </si>
  <si>
    <t>2ВП4-8</t>
  </si>
  <si>
    <t>2ВП5-8</t>
  </si>
  <si>
    <t>2ВП6-8</t>
  </si>
  <si>
    <t>Первая по ходу пара от ПГ, тип 847-450-Э</t>
  </si>
  <si>
    <t>2П1-2</t>
  </si>
  <si>
    <t>2П2-2</t>
  </si>
  <si>
    <t>2П3-2</t>
  </si>
  <si>
    <t>2П4-2</t>
  </si>
  <si>
    <t>2П5-2</t>
  </si>
  <si>
    <t>2П6-2</t>
  </si>
  <si>
    <r>
      <rPr>
        <rFont val="Times New Roman"/>
        <color rgb="FF000000"/>
        <sz val="14.0"/>
      </rPr>
      <t xml:space="preserve">Засувки на всасі ВПЕН-1,2 тип </t>
    </r>
    <r>
      <rPr>
        <rFont val="Times New Roman"/>
        <b/>
        <color rgb="FF000000"/>
        <sz val="14.0"/>
      </rPr>
      <t>936-150/250-Э</t>
    </r>
  </si>
  <si>
    <t>БРУА-3</t>
  </si>
  <si>
    <t>БРУА-4</t>
  </si>
  <si>
    <t>Раздел. арматура ГПК, тип Pos.3.34/Absperventil 121-523 DN 450</t>
  </si>
  <si>
    <t>2П-1</t>
  </si>
  <si>
    <t>2П-2</t>
  </si>
  <si>
    <t>2П-3</t>
  </si>
  <si>
    <t>Первая и вторая по ходу пара на БРУ-К, тип 847-400-Э</t>
  </si>
  <si>
    <t>23П-1</t>
  </si>
  <si>
    <t>23П-2</t>
  </si>
  <si>
    <t>24П-1</t>
  </si>
  <si>
    <t>24П-2</t>
  </si>
  <si>
    <t>БРУ-К, тип 931-250/300-ЭА</t>
  </si>
  <si>
    <t>БРУК-3А</t>
  </si>
  <si>
    <t>БРУК-3Б</t>
  </si>
  <si>
    <t>БРУК-4А</t>
  </si>
  <si>
    <t>БРУК-4Б</t>
  </si>
  <si>
    <t>Главная паровая задвижка (ГПЗ), тип 847-450-Э</t>
  </si>
  <si>
    <t>2П1-3</t>
  </si>
  <si>
    <t>2П2-3</t>
  </si>
  <si>
    <t>2П3-3</t>
  </si>
  <si>
    <t>2П4-3</t>
  </si>
  <si>
    <t>2П5-3</t>
  </si>
  <si>
    <t>2П6-3</t>
  </si>
  <si>
    <t>ДИЗЕЛІ</t>
  </si>
  <si>
    <t>ЦЗС</t>
  </si>
  <si>
    <t>ДГ-21</t>
  </si>
  <si>
    <r>
      <rPr>
        <rFont val="Times New Roman"/>
        <b/>
        <color rgb="FF000000"/>
        <sz val="11.0"/>
      </rPr>
      <t>1.1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</si>
  <si>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1.2</t>
    </r>
    <r>
      <rPr>
        <rFont val="Times New Roman"/>
        <b/>
        <color rgb="FFC0C0C0"/>
        <sz val="11.0"/>
      </rPr>
      <t>.</t>
    </r>
  </si>
  <si>
    <t>1.3.</t>
  </si>
  <si>
    <r>
      <rPr>
        <rFont val="Times New Roman"/>
        <b/>
        <color rgb="FF000000"/>
        <sz val="11.0"/>
      </rPr>
      <t>2.1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</si>
  <si>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2.2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</si>
  <si>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2.3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</si>
  <si>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2.4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</si>
  <si>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2.5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</si>
  <si>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2.6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</si>
  <si>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2.7</t>
    </r>
    <r>
      <rPr>
        <rFont val="Times New Roman"/>
        <b/>
        <color rgb="FFC0C0C0"/>
        <sz val="11.0"/>
      </rPr>
      <t>.</t>
    </r>
  </si>
  <si>
    <t xml:space="preserve">Д100  </t>
  </si>
  <si>
    <t>2.8</t>
  </si>
  <si>
    <t>3.1</t>
  </si>
  <si>
    <t>3.2</t>
  </si>
  <si>
    <t>3.3.</t>
  </si>
  <si>
    <t>ДГ-22</t>
  </si>
  <si>
    <r>
      <rPr>
        <rFont val="Times New Roman"/>
        <b/>
        <color rgb="FF000000"/>
        <sz val="11.0"/>
      </rPr>
      <t>1.1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</si>
  <si>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1.2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</si>
  <si>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2.1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</si>
  <si>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2.2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</si>
  <si>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2.3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</si>
  <si>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2.4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</si>
  <si>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2.5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</si>
  <si>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2.6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</si>
  <si>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2.7</t>
    </r>
    <r>
      <rPr>
        <rFont val="Times New Roman"/>
        <b/>
        <color rgb="FFC0C0C0"/>
        <sz val="11.0"/>
      </rPr>
      <t>.</t>
    </r>
  </si>
  <si>
    <t>ДГ-23</t>
  </si>
  <si>
    <r>
      <rPr>
        <rFont val="Times New Roman"/>
        <b/>
        <color rgb="FF000000"/>
        <sz val="11.0"/>
      </rPr>
      <t>1.1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</si>
  <si>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1.2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</si>
  <si>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2.1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</si>
  <si>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2.2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</si>
  <si>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2.3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</si>
  <si>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2.4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</si>
  <si>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2.5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</si>
  <si>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2.6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</si>
  <si>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2.7</t>
    </r>
    <r>
      <rPr>
        <rFont val="Times New Roman"/>
        <b/>
        <color rgb="FFC0C0C0"/>
        <sz val="11.0"/>
      </rPr>
      <t>.</t>
    </r>
  </si>
  <si>
    <t xml:space="preserve">РЕАКТОР </t>
  </si>
  <si>
    <t>ВВЕР-440</t>
  </si>
  <si>
    <r>
      <rPr>
        <rFont val="Times New Roman"/>
        <b/>
        <color rgb="FF000000"/>
        <sz val="11.0"/>
      </rPr>
      <t>01-1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</si>
  <si>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01-2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</si>
  <si>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01-3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</si>
  <si>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01-4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</si>
  <si>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01-5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</si>
  <si>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01-6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</si>
  <si>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02-1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</si>
  <si>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02-2</t>
    </r>
    <r>
      <rPr>
        <rFont val="Times New Roman"/>
        <b/>
        <color rgb="FFC0C0C0"/>
        <sz val="11.0"/>
      </rPr>
      <t>.</t>
    </r>
  </si>
  <si>
    <t>02-3</t>
  </si>
  <si>
    <r>
      <rPr>
        <rFont val="Times New Roman"/>
        <b/>
        <color rgb="FF000000"/>
        <sz val="11.0"/>
      </rPr>
      <t>02-4</t>
    </r>
    <r>
      <rPr>
        <rFont val="Times New Roman"/>
        <b/>
        <color rgb="FFC0C0C0"/>
        <sz val="11.0"/>
      </rPr>
      <t>.</t>
    </r>
  </si>
  <si>
    <t>В-213   
2Р</t>
  </si>
  <si>
    <t>7-приводів+тр.</t>
  </si>
  <si>
    <t>02-5</t>
  </si>
  <si>
    <t>02-6</t>
  </si>
  <si>
    <t>02-7</t>
  </si>
  <si>
    <t>02-8</t>
  </si>
  <si>
    <t>02-9</t>
  </si>
  <si>
    <t>02-10</t>
  </si>
  <si>
    <t>02-11</t>
  </si>
  <si>
    <t>02-12</t>
  </si>
  <si>
    <t>02-13</t>
  </si>
  <si>
    <t>02-14</t>
  </si>
  <si>
    <t>02-15</t>
  </si>
  <si>
    <t>02-16</t>
  </si>
  <si>
    <t>02-17</t>
  </si>
  <si>
    <t>03-01</t>
  </si>
  <si>
    <t>03-02</t>
  </si>
  <si>
    <t>03-03</t>
  </si>
  <si>
    <t>03-04</t>
  </si>
  <si>
    <t>03-05</t>
  </si>
  <si>
    <t>03-06</t>
  </si>
  <si>
    <t>03-07</t>
  </si>
  <si>
    <t>03-08</t>
  </si>
  <si>
    <t>03-09</t>
  </si>
  <si>
    <t>03-10</t>
  </si>
  <si>
    <t>03-11</t>
  </si>
  <si>
    <t>03-12</t>
  </si>
  <si>
    <t>03-13</t>
  </si>
  <si>
    <t>03-14</t>
  </si>
  <si>
    <t>03-15</t>
  </si>
  <si>
    <t>03-16</t>
  </si>
  <si>
    <t>03-17</t>
  </si>
  <si>
    <t>03-18</t>
  </si>
  <si>
    <t>ПОСУДИНИ</t>
  </si>
  <si>
    <t>РЕАКТОР</t>
  </si>
  <si>
    <t>Пос.</t>
  </si>
  <si>
    <t>Диз.</t>
  </si>
  <si>
    <t>Прийнято К.О.</t>
  </si>
  <si>
    <t>Савчук Ю.А.</t>
  </si>
  <si>
    <t>Мушик В.Ф.</t>
  </si>
  <si>
    <t>Оніщук В.Ю.</t>
  </si>
  <si>
    <t>Сидорчук С.В.</t>
  </si>
  <si>
    <t>Радчук І.С.</t>
  </si>
  <si>
    <t>Рошук П. М.</t>
  </si>
  <si>
    <t>Дацький Д.П.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</si>
</sst>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37">
    <font>
      <sz val="10.0"/>
      <color rgb="FF000000"/>
      <name val="Calibri"/>
      <scheme val="minor"/>
    </font>
    <font>
      <sz val="10.0"/>
      <color theme="1"/>
      <name val="Times New Roman"/>
    </font>
    <font>
      <sz val="12.0"/>
      <color theme="1"/>
      <name val="Times New Roman"/>
    </font>
    <font>
      <sz val="16.0"/>
      <color rgb="FF800080"/>
      <name val="Times New Roman"/>
    </font>
    <font>
      <u/>
      <sz val="16.0"/>
      <color rgb="FF0000FF"/>
      <name val="Arial"/>
    </font>
    <font>
      <sz val="16.0"/>
      <color rgb="FF0000FF"/>
      <name val="Times New Roman"/>
    </font>
    <font>
      <sz val="16.0"/>
      <color rgb="FF0000FF"/>
      <name val="Arial"/>
    </font>
    <font/>
    <font>
      <b/>
      <sz val="12.0"/>
      <color theme="1"/>
      <name val="Times New Roman"/>
    </font>
    <font>
      <b/>
      <sz val="16.0"/>
      <color rgb="FFFF0000"/>
      <name val="Times New Roman"/>
    </font>
    <font>
      <b/>
      <sz val="14.0"/>
      <color rgb="FF993300"/>
      <name val="Times New Roman"/>
    </font>
    <font>
      <b/>
      <sz val="14.0"/>
      <color theme="1"/>
      <name val="Times New Roman"/>
    </font>
    <font>
      <b/>
      <sz val="14.0"/>
      <color theme="0"/>
      <name val="Times New Roman"/>
    </font>
    <font>
      <b/>
      <sz val="10.0"/>
      <color theme="0"/>
      <name val="Times New Roman"/>
    </font>
    <font>
      <sz val="10.0"/>
      <color theme="0"/>
      <name val="Times New Roman"/>
    </font>
    <font>
      <b/>
      <sz val="11.0"/>
      <color rgb="FF000000"/>
      <name val="Times New Roman"/>
    </font>
    <font>
      <b/>
      <sz val="12.0"/>
      <color rgb="FF000000"/>
      <name val="Times New Roman"/>
    </font>
    <font>
      <b/>
      <sz val="14.0"/>
      <color rgb="FF000000"/>
      <name val="Times New Roman"/>
    </font>
    <font>
      <sz val="11.0"/>
      <color rgb="FF000000"/>
      <name val="Times New Roman"/>
    </font>
    <font>
      <sz val="12.0"/>
      <color rgb="FF000000"/>
      <name val="Times New Roman"/>
    </font>
    <font>
      <u/>
      <sz val="14.0"/>
      <color theme="1"/>
      <name val="Times New Roman"/>
    </font>
    <font>
      <b/>
      <sz val="18.0"/>
      <color rgb="FF000000"/>
      <name val="Times New Roman"/>
    </font>
    <font>
      <sz val="14.0"/>
      <color rgb="FF000000"/>
      <name val="Times New Roman"/>
    </font>
    <font>
      <b/>
      <i/>
      <sz val="11.0"/>
      <color rgb="FF000000"/>
      <name val="Times New Roman"/>
    </font>
    <font>
      <sz val="11.0"/>
      <color theme="0"/>
      <name val="Times New Roman"/>
    </font>
    <font>
      <sz val="10.0"/>
      <color rgb="FF000000"/>
      <name val="Times New Roman"/>
    </font>
    <font>
      <sz val="10.0"/>
      <color rgb="FF969696"/>
      <name val="Times New Roman"/>
    </font>
    <font>
      <sz val="10.0"/>
      <color theme="1"/>
      <name val="Arial"/>
    </font>
    <font>
      <sz val="14.0"/>
      <color theme="1"/>
      <name val="Times New Roman"/>
    </font>
    <font>
      <sz val="11.0"/>
      <color theme="1"/>
      <name val="Times New Roman"/>
    </font>
    <font>
      <b/>
      <i/>
      <sz val="11.0"/>
      <color theme="1"/>
      <name val="Times New Roman"/>
    </font>
    <font>
      <b/>
      <sz val="10.0"/>
      <color theme="1"/>
      <name val="Arial"/>
    </font>
    <font>
      <b/>
      <sz val="10.0"/>
      <color rgb="FFFF0000"/>
      <name val="Arial"/>
    </font>
    <font>
      <sz val="10.0"/>
      <color rgb="FF0000FF"/>
      <name val="Arial"/>
    </font>
    <font>
      <b/>
      <sz val="10.0"/>
      <color rgb="FF0000FF"/>
      <name val="Times New Roman"/>
    </font>
    <font>
      <sz val="10.0"/>
      <color rgb="FFFFFFFF"/>
      <name val="Arial"/>
    </font>
    <font>
      <color theme="1"/>
      <name val="Calibri"/>
      <scheme val="minor"/>
    </font>
  </fonts>
  <fills count="10">
    <fill>
      <patternFill patternType="none"/>
    </fill>
    <fill>
      <patternFill patternType="lightGray"/>
    </fill>
    <fill>
      <patternFill patternType="solid">
        <fgColor rgb="FFCCFFCC"/>
        <bgColor rgb="FFCCFFCC"/>
      </patternFill>
    </fill>
    <fill>
      <patternFill patternType="solid">
        <fgColor rgb="FFFFFFFF"/>
        <bgColor rgb="FFFFFFFF"/>
      </patternFill>
    </fill>
    <fill>
      <patternFill patternType="solid">
        <fgColor rgb="FF99CCFF"/>
        <bgColor rgb="FF99CCFF"/>
      </patternFill>
    </fill>
    <fill>
      <patternFill patternType="solid">
        <fgColor rgb="FFFF99CC"/>
        <bgColor rgb="FFFF99CC"/>
      </patternFill>
    </fill>
    <fill>
      <patternFill patternType="solid">
        <fgColor rgb="FFF2F2F2"/>
        <bgColor rgb="FFF2F2F2"/>
      </patternFill>
    </fill>
    <fill>
      <patternFill patternType="solid">
        <fgColor rgb="FFFF8080"/>
        <bgColor rgb="FFFF8080"/>
      </patternFill>
    </fill>
    <fill>
      <patternFill patternType="solid">
        <fgColor rgb="FFCCCCFF"/>
        <bgColor rgb="FFCCCCFF"/>
      </patternFill>
    </fill>
    <fill>
      <patternFill patternType="solid">
        <fgColor rgb="FFC0C0C0"/>
        <bgColor rgb="FFC0C0C0"/>
      </patternFill>
    </fill>
  </fills>
  <borders count="91">
    <border/>
    <border>
      <left/>
      <right/>
      <top/>
      <bottom/>
    </border>
    <border>
      <left/>
      <top/>
      <bottom style="thick">
        <color rgb="FF333333"/>
      </bottom>
    </border>
    <border>
      <right/>
      <top/>
      <bottom style="thick">
        <color rgb="FF333333"/>
      </bottom>
    </border>
    <border>
      <left style="thick">
        <color rgb="FF333333"/>
      </left>
      <top/>
      <bottom style="thick">
        <color rgb="FF333333"/>
      </bottom>
    </border>
    <border>
      <top/>
      <bottom style="thick">
        <color rgb="FF333333"/>
      </bottom>
    </border>
    <border>
      <right style="thick">
        <color rgb="FF333333"/>
      </right>
      <top/>
      <bottom style="thick">
        <color rgb="FF333333"/>
      </bottom>
    </border>
    <border>
      <left style="thick">
        <color rgb="FF333333"/>
      </left>
    </border>
    <border>
      <left style="thick">
        <color rgb="FF333333"/>
      </left>
      <right style="thick">
        <color rgb="FF333333"/>
      </right>
      <top style="thick">
        <color rgb="FF333333"/>
      </top>
      <bottom style="thick">
        <color rgb="FF333333"/>
      </bottom>
    </border>
    <border>
      <left style="thick">
        <color rgb="FF333333"/>
      </left>
      <right style="thick">
        <color rgb="FF333333"/>
      </right>
      <top style="thick">
        <color rgb="FF333333"/>
      </top>
    </border>
    <border>
      <left style="thick">
        <color rgb="FF333333"/>
      </left>
      <top style="thick">
        <color rgb="FF333333"/>
      </top>
      <bottom style="thick">
        <color rgb="FF333333"/>
      </bottom>
    </border>
    <border>
      <top style="thick">
        <color rgb="FF333333"/>
      </top>
      <bottom style="thick">
        <color rgb="FF333333"/>
      </bottom>
    </border>
    <border>
      <right style="thick">
        <color rgb="FF333333"/>
      </right>
      <top style="thick">
        <color rgb="FF333333"/>
      </top>
      <bottom style="thick">
        <color rgb="FF333333"/>
      </bottom>
    </border>
    <border>
      <left style="thick">
        <color rgb="FF333333"/>
      </left>
      <right style="thick">
        <color rgb="FF333333"/>
      </right>
      <bottom style="thick">
        <color rgb="FF333333"/>
      </bottom>
    </border>
    <border>
      <left style="thick">
        <color rgb="FF333333"/>
      </left>
      <right/>
      <top style="thick">
        <color rgb="FF333333"/>
      </top>
      <bottom style="thick">
        <color rgb="FF333333"/>
      </bottom>
    </border>
    <border>
      <left style="thick">
        <color rgb="FF000000"/>
      </left>
      <top style="thick">
        <color rgb="FF333333"/>
      </top>
      <bottom style="thick">
        <color rgb="FF000000"/>
      </bottom>
    </border>
    <border>
      <top style="thick">
        <color rgb="FF333333"/>
      </top>
      <bottom style="thick">
        <color rgb="FF000000"/>
      </bottom>
    </border>
    <border>
      <right style="thick">
        <color rgb="FF000000"/>
      </right>
      <top style="thick">
        <color rgb="FF333333"/>
      </top>
      <bottom style="thick">
        <color rgb="FF000000"/>
      </bottom>
    </border>
    <border>
      <left style="thick">
        <color rgb="FF000000"/>
      </left>
      <top style="thick">
        <color rgb="FF000000"/>
      </top>
      <bottom style="thick">
        <color rgb="FF000000"/>
      </bottom>
    </border>
    <border>
      <top style="thick">
        <color rgb="FF000000"/>
      </top>
      <bottom style="thick">
        <color rgb="FF000000"/>
      </bottom>
    </border>
    <border>
      <right style="thick">
        <color rgb="FF000000"/>
      </right>
      <top style="thick">
        <color rgb="FF000000"/>
      </top>
      <bottom style="thick">
        <color rgb="FF000000"/>
      </bottom>
    </border>
    <border>
      <left style="thick">
        <color rgb="FF000000"/>
      </left>
      <right style="thick">
        <color rgb="FF000000"/>
      </right>
      <top style="thick">
        <color rgb="FF000000"/>
      </top>
    </border>
    <border>
      <left style="thick">
        <color rgb="FF000000"/>
      </left>
      <top style="thick">
        <color rgb="FF000000"/>
      </top>
    </border>
    <border>
      <top style="thick">
        <color rgb="FF000000"/>
      </top>
    </border>
    <border>
      <right style="thick">
        <color rgb="FF000000"/>
      </right>
      <top style="thick">
        <color rgb="FF000000"/>
      </top>
    </border>
    <border>
      <left style="thick">
        <color rgb="FF000000"/>
      </left>
      <right style="thick">
        <color rgb="FF000000"/>
      </right>
      <bottom style="thick">
        <color rgb="FF000000"/>
      </bottom>
    </border>
    <border>
      <left style="thick">
        <color rgb="FF000000"/>
      </left>
      <bottom style="thick">
        <color rgb="FF000000"/>
      </bottom>
    </border>
    <border>
      <bottom style="thick">
        <color rgb="FF000000"/>
      </bottom>
    </border>
    <border>
      <right style="thick">
        <color rgb="FF000000"/>
      </right>
      <bottom style="thick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 style="thick">
        <color rgb="FF000000"/>
      </left>
      <right style="thin">
        <color rgb="FF000000"/>
      </right>
      <top style="thick">
        <color rgb="FF000000"/>
      </top>
      <bottom style="thick">
        <color rgb="FF000000"/>
      </bottom>
    </border>
    <border>
      <left style="thin">
        <color rgb="FF000000"/>
      </left>
      <right style="thick">
        <color rgb="FF000000"/>
      </right>
      <top style="thick">
        <color rgb="FF000000"/>
      </top>
      <bottom style="thick">
        <color rgb="FF000000"/>
      </bottom>
    </border>
    <border>
      <left style="thin">
        <color rgb="FF000000"/>
      </left>
      <right/>
      <top style="thick">
        <color rgb="FF000000"/>
      </top>
      <bottom style="thick">
        <color rgb="FF000000"/>
      </bottom>
    </border>
    <border>
      <left/>
      <right style="thick">
        <color rgb="FF000000"/>
      </right>
      <top style="thick">
        <color rgb="FF000000"/>
      </top>
      <bottom/>
    </border>
    <border>
      <left style="thick">
        <color rgb="FF000000"/>
      </left>
      <right style="thick">
        <color rgb="FF000000"/>
      </right>
      <top style="thick">
        <color rgb="FF000000"/>
      </top>
      <bottom/>
    </border>
    <border>
      <left style="medium">
        <color rgb="FF000000"/>
      </left>
      <right style="medium">
        <color rgb="FF000000"/>
      </right>
      <top/>
      <bottom style="medium">
        <color rgb="FF000000"/>
      </bottom>
    </border>
    <border>
      <left style="thick">
        <color rgb="FF000000"/>
      </left>
      <right style="thin">
        <color rgb="FF000000"/>
      </right>
      <bottom style="thick">
        <color rgb="FF000000"/>
      </bottom>
    </border>
    <border>
      <left style="thin">
        <color rgb="FF000000"/>
      </left>
      <right style="thick">
        <color rgb="FF000000"/>
      </right>
      <bottom style="thick">
        <color rgb="FF000000"/>
      </bottom>
    </border>
    <border>
      <left style="thick">
        <color rgb="FF000000"/>
      </left>
      <right style="thin">
        <color rgb="FF000000"/>
      </right>
      <top/>
      <bottom style="thick">
        <color rgb="FF000000"/>
      </bottom>
    </border>
    <border>
      <left style="thin">
        <color rgb="FF000000"/>
      </left>
      <right style="thick">
        <color rgb="FF000000"/>
      </right>
      <top/>
      <bottom style="thick">
        <color rgb="FF000000"/>
      </bottom>
    </border>
    <border>
      <left/>
      <right style="thick">
        <color rgb="FF000000"/>
      </right>
      <top/>
      <bottom/>
    </border>
    <border>
      <left style="thick">
        <color rgb="FF000000"/>
      </left>
      <right style="thin">
        <color rgb="FF000000"/>
      </right>
      <top/>
      <bottom/>
    </border>
    <border>
      <left style="thin">
        <color rgb="FF000000"/>
      </left>
      <right style="thick">
        <color rgb="FF000000"/>
      </right>
      <top/>
      <bottom/>
    </border>
    <border>
      <left style="thin">
        <color rgb="FF000000"/>
      </left>
      <right/>
      <top/>
      <bottom style="thick">
        <color rgb="FF000000"/>
      </bottom>
    </border>
    <border>
      <left/>
      <right style="thin">
        <color rgb="FF000000"/>
      </right>
      <top/>
      <bottom style="thick">
        <color rgb="FF000000"/>
      </bottom>
    </border>
    <border>
      <left/>
      <right style="thick">
        <color rgb="FF000000"/>
      </right>
      <top/>
      <bottom style="thick">
        <color rgb="FF000000"/>
      </bottom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</border>
    <border>
      <left style="thick">
        <color rgb="FF000000"/>
      </left>
      <right style="thick">
        <color rgb="FF000000"/>
      </right>
      <top/>
      <bottom style="thick">
        <color rgb="FF000000"/>
      </bottom>
    </border>
    <border>
      <left style="thick">
        <color rgb="FF000000"/>
      </left>
      <right/>
      <top style="thick">
        <color rgb="FF000000"/>
      </top>
      <bottom style="thick">
        <color rgb="FF000000"/>
      </bottom>
    </border>
    <border>
      <left style="thin">
        <color rgb="FF000000"/>
      </left>
      <right style="thick">
        <color rgb="FF000000"/>
      </right>
      <top style="thick">
        <color rgb="FF000000"/>
      </top>
    </border>
    <border>
      <left style="thick">
        <color rgb="FF000000"/>
      </left>
      <right style="thin">
        <color rgb="FF000000"/>
      </right>
      <top style="thick">
        <color rgb="FF000000"/>
      </top>
    </border>
    <border>
      <left style="thick">
        <color rgb="FF000000"/>
      </left>
      <right style="thick">
        <color rgb="FF000000"/>
      </right>
      <top style="thick">
        <color rgb="FF000000"/>
      </top>
      <bottom style="thin">
        <color rgb="FF000000"/>
      </bottom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</border>
    <border>
      <left style="thick">
        <color rgb="FF000000"/>
      </left>
      <right style="thick">
        <color rgb="FF000000"/>
      </right>
      <top style="thin">
        <color rgb="FF000000"/>
      </top>
      <bottom style="thick">
        <color rgb="FF000000"/>
      </bottom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</border>
    <border>
      <right/>
      <top style="thick">
        <color rgb="FF000000"/>
      </top>
    </border>
    <border>
      <right/>
      <bottom style="thick">
        <color rgb="FF000000"/>
      </bottom>
    </border>
    <border>
      <left/>
      <right style="thick">
        <color rgb="FF000000"/>
      </right>
      <top style="thick">
        <color rgb="FF000000"/>
      </top>
      <bottom style="thick">
        <color rgb="FF000000"/>
      </bottom>
    </border>
    <border>
      <left style="thick">
        <color rgb="FF000000"/>
      </left>
      <top style="thick">
        <color rgb="FF000000"/>
      </top>
      <bottom style="thin">
        <color rgb="FF000000"/>
      </bottom>
    </border>
    <border>
      <right style="thick">
        <color rgb="FF000000"/>
      </right>
      <top style="thick">
        <color rgb="FF000000"/>
      </top>
      <bottom style="thin">
        <color rgb="FF000000"/>
      </bottom>
    </border>
    <border>
      <left/>
      <right style="thin">
        <color rgb="FF000000"/>
      </right>
      <top/>
      <bottom/>
    </border>
    <border>
      <left style="thick">
        <color rgb="FF000000"/>
      </left>
      <right style="thick">
        <color rgb="FF000000"/>
      </right>
    </border>
    <border>
      <right style="thick">
        <color rgb="FF000000"/>
      </right>
    </border>
    <border>
      <left/>
      <right style="thin">
        <color rgb="FF000000"/>
      </right>
      <top style="thin">
        <color rgb="FF000000"/>
      </top>
      <bottom style="thick">
        <color rgb="FF000000"/>
      </bottom>
    </border>
    <border>
      <left style="thick">
        <color rgb="FF000000"/>
      </left>
      <right/>
      <top style="thick">
        <color rgb="FF000000"/>
      </top>
      <bottom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top style="medium">
        <color rgb="FF000000"/>
      </top>
      <bottom style="medium">
        <color rgb="FF000000"/>
      </bottom>
    </border>
    <border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top style="medium">
        <color rgb="FF000000"/>
      </top>
      <bottom style="medium">
        <color rgb="FF000000"/>
      </bottom>
    </border>
    <border>
      <top style="medium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FFFFFF"/>
      </right>
      <top style="medium">
        <color rgb="FF000000"/>
      </top>
      <bottom style="thin">
        <color rgb="FF000000"/>
      </bottom>
    </border>
    <border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bottom style="thin">
        <color rgb="FF000000"/>
      </bottom>
    </border>
    <border>
      <left style="thin">
        <color rgb="FFFFFFFF"/>
      </left>
      <right style="thin">
        <color rgb="FF000000"/>
      </right>
      <top style="medium">
        <color rgb="FF000000"/>
      </top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left style="thin">
        <color rgb="FFFFFFFF"/>
      </left>
      <bottom style="thin">
        <color rgb="FF000000"/>
      </bottom>
    </border>
    <border>
      <left style="thin">
        <color rgb="FFFFFFFF"/>
      </left>
      <right style="thin">
        <color rgb="FFFFFFFF"/>
      </right>
      <top style="medium">
        <color rgb="FF000000"/>
      </top>
      <bottom style="thin">
        <color rgb="FF000000"/>
      </bottom>
    </border>
    <border>
      <top style="medium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FFFFFF"/>
      </righ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left style="thin">
        <color rgb="FFFFFFFF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FFFFFF"/>
      </left>
      <top style="thin">
        <color rgb="FF000000"/>
      </top>
      <bottom style="thin">
        <color rgb="FF000000"/>
      </bottom>
    </border>
    <border>
      <left style="thin">
        <color rgb="FFFFFFFF"/>
      </left>
      <right style="thin">
        <color rgb="FFFFFFFF"/>
      </righ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</border>
    <border>
      <top style="thin">
        <color rgb="FF000000"/>
      </top>
      <bottom style="thin">
        <color rgb="FF000000"/>
      </bottom>
    </border>
    <border>
      <top style="thin">
        <color rgb="FF000000"/>
      </top>
    </border>
  </borders>
  <cellStyleXfs count="1">
    <xf borderId="0" fillId="0" fontId="0" numFmtId="0" applyAlignment="1" applyFont="1"/>
  </cellStyleXfs>
  <cellXfs count="212">
    <xf borderId="0" fillId="0" fontId="0" numFmtId="0" xfId="0" applyAlignment="1" applyFont="1">
      <alignment readingOrder="0" shrinkToFit="0" vertical="bottom" wrapText="0"/>
    </xf>
    <xf borderId="1" fillId="2" fontId="1" numFmtId="0" xfId="0" applyBorder="1" applyFill="1" applyFont="1"/>
    <xf borderId="1" fillId="3" fontId="2" numFmtId="0" xfId="0" applyBorder="1" applyFill="1" applyFont="1"/>
    <xf borderId="1" fillId="4" fontId="3" numFmtId="0" xfId="0" applyBorder="1" applyFill="1" applyFont="1"/>
    <xf borderId="1" fillId="4" fontId="4" numFmtId="0" xfId="0" applyAlignment="1" applyBorder="1" applyFill="1" applyFont="1">
      <alignment vertical="center"/>
    </xf>
    <xf borderId="1" fillId="4" fontId="5" numFmtId="0" xfId="0" applyAlignment="1" applyBorder="1" applyFill="1" applyFont="1">
      <alignment vertical="center"/>
    </xf>
    <xf borderId="2" fillId="5" fontId="6" numFmtId="0" xfId="0" applyAlignment="1" applyBorder="1" applyFill="1" applyFont="1">
      <alignment horizontal="center" vertical="center"/>
    </xf>
    <xf borderId="3" fillId="0" fontId="7" numFmtId="0" xfId="0" applyBorder="1" applyFont="1"/>
    <xf borderId="1" fillId="2" fontId="8" numFmtId="0" xfId="0" applyBorder="1" applyFill="1" applyFont="1"/>
    <xf borderId="1" fillId="2" fontId="9" numFmtId="0" xfId="0" applyAlignment="1" applyBorder="1" applyFill="1" applyFont="1">
      <alignment horizontal="center"/>
    </xf>
    <xf borderId="4" fillId="2" fontId="10" numFmtId="0" xfId="0" applyAlignment="1" applyBorder="1" applyFill="1" applyFont="1">
      <alignment vertical="center"/>
    </xf>
    <xf borderId="5" fillId="0" fontId="7" numFmtId="0" xfId="0" applyBorder="1" applyFont="1"/>
    <xf borderId="6" fillId="0" fontId="7" numFmtId="0" xfId="0" applyBorder="1" applyFont="1"/>
    <xf borderId="7" fillId="0" fontId="11" numFmtId="0" xfId="0" applyAlignment="1" applyBorder="1" applyFont="1">
      <alignment vertical="center"/>
    </xf>
    <xf borderId="0" fillId="0" fontId="11" numFmtId="0" xfId="0" applyAlignment="1" applyFont="1">
      <alignment vertical="center"/>
    </xf>
    <xf borderId="0" fillId="0" fontId="12" numFmtId="0" xfId="0" applyAlignment="1" applyFont="1">
      <alignment vertical="center"/>
    </xf>
    <xf borderId="0" fillId="0" fontId="13" numFmtId="0" xfId="0" applyFont="1"/>
    <xf borderId="0" fillId="0" fontId="14" numFmtId="0" xfId="0" applyFont="1"/>
    <xf borderId="0" fillId="0" fontId="1" numFmtId="0" xfId="0" applyFont="1"/>
    <xf borderId="8" fillId="6" fontId="15" numFmtId="0" xfId="0" applyBorder="1" applyFill="1" applyFont="1"/>
    <xf borderId="8" fillId="3" fontId="16" numFmtId="0" xfId="0" applyBorder="1" applyFill="1" applyFont="1"/>
    <xf borderId="8" fillId="6" fontId="15" numFmtId="0" xfId="0" applyAlignment="1" applyBorder="1" applyFill="1" applyFont="1">
      <alignment horizontal="center"/>
    </xf>
    <xf borderId="7" fillId="0" fontId="11" numFmtId="0" xfId="0" applyBorder="1" applyFont="1"/>
    <xf borderId="0" fillId="0" fontId="11" numFmtId="0" xfId="0" applyFont="1"/>
    <xf borderId="0" fillId="0" fontId="12" numFmtId="0" xfId="0" applyFont="1"/>
    <xf borderId="9" fillId="6" fontId="15" numFmtId="0" xfId="0" applyAlignment="1" applyBorder="1" applyFill="1" applyFont="1">
      <alignment horizontal="center" shrinkToFit="0" vertical="center" wrapText="1"/>
    </xf>
    <xf borderId="9" fillId="3" fontId="16" numFmtId="0" xfId="0" applyAlignment="1" applyBorder="1" applyFill="1" applyFont="1">
      <alignment horizontal="center" shrinkToFit="0" vertical="center" wrapText="1"/>
    </xf>
    <xf borderId="9" fillId="6" fontId="15" numFmtId="0" xfId="0" applyAlignment="1" applyBorder="1" applyFill="1" applyFont="1">
      <alignment horizontal="center" shrinkToFit="0" vertical="top" wrapText="1"/>
    </xf>
    <xf borderId="10" fillId="6" fontId="15" numFmtId="0" xfId="0" applyAlignment="1" applyBorder="1" applyFill="1" applyFont="1">
      <alignment horizontal="center" shrinkToFit="0" wrapText="1"/>
    </xf>
    <xf borderId="11" fillId="0" fontId="7" numFmtId="0" xfId="0" applyBorder="1" applyFont="1"/>
    <xf borderId="12" fillId="0" fontId="7" numFmtId="0" xfId="0" applyBorder="1" applyFont="1"/>
    <xf borderId="8" fillId="6" fontId="15" numFmtId="0" xfId="0" applyAlignment="1" applyBorder="1" applyFill="1" applyFont="1">
      <alignment horizontal="center" shrinkToFit="0" wrapText="1"/>
    </xf>
    <xf borderId="13" fillId="0" fontId="7" numFmtId="0" xfId="0" applyBorder="1" applyFont="1"/>
    <xf borderId="10" fillId="6" fontId="17" numFmtId="0" xfId="0" applyAlignment="1" applyBorder="1" applyFill="1" applyFont="1">
      <alignment horizontal="center" shrinkToFit="0" vertical="center" wrapText="1"/>
    </xf>
    <xf borderId="14" fillId="6" fontId="17" numFmtId="0" xfId="0" applyAlignment="1" applyBorder="1" applyFill="1" applyFont="1">
      <alignment horizontal="center" shrinkToFit="0" vertical="center" wrapText="1"/>
    </xf>
    <xf borderId="8" fillId="6" fontId="18" numFmtId="0" xfId="0" applyAlignment="1" applyBorder="1" applyFill="1" applyFont="1">
      <alignment horizontal="center" shrinkToFit="0" vertical="center" wrapText="1"/>
    </xf>
    <xf borderId="8" fillId="3" fontId="19" numFmtId="0" xfId="0" applyAlignment="1" applyBorder="1" applyFill="1" applyFont="1">
      <alignment horizontal="center" shrinkToFit="0" vertical="center" wrapText="1"/>
    </xf>
    <xf borderId="10" fillId="6" fontId="18" numFmtId="0" xfId="0" applyAlignment="1" applyBorder="1" applyFill="1" applyFont="1">
      <alignment horizontal="center" shrinkToFit="0" vertical="center" wrapText="1"/>
    </xf>
    <xf borderId="0" fillId="0" fontId="20" numFmtId="0" xfId="0" applyFont="1"/>
    <xf borderId="15" fillId="0" fontId="21" numFmtId="0" xfId="0" applyAlignment="1" applyBorder="1" applyFont="1">
      <alignment horizontal="center" shrinkToFit="0" vertical="center" wrapText="1"/>
    </xf>
    <xf borderId="16" fillId="0" fontId="7" numFmtId="0" xfId="0" applyBorder="1" applyFont="1"/>
    <xf borderId="17" fillId="0" fontId="7" numFmtId="0" xfId="0" applyBorder="1" applyFont="1"/>
    <xf borderId="18" fillId="0" fontId="17" numFmtId="0" xfId="0" applyAlignment="1" applyBorder="1" applyFont="1">
      <alignment horizontal="center" shrinkToFit="0" vertical="center" wrapText="1"/>
    </xf>
    <xf borderId="19" fillId="0" fontId="7" numFmtId="0" xfId="0" applyBorder="1" applyFont="1"/>
    <xf borderId="20" fillId="0" fontId="7" numFmtId="0" xfId="0" applyBorder="1" applyFont="1"/>
    <xf borderId="21" fillId="0" fontId="16" numFmtId="0" xfId="0" applyAlignment="1" applyBorder="1" applyFont="1">
      <alignment horizontal="center" shrinkToFit="0" vertical="center" wrapText="1"/>
    </xf>
    <xf borderId="22" fillId="3" fontId="22" numFmtId="0" xfId="0" applyAlignment="1" applyBorder="1" applyFill="1" applyFont="1">
      <alignment shrinkToFit="0" vertical="center" wrapText="1"/>
    </xf>
    <xf borderId="23" fillId="0" fontId="7" numFmtId="0" xfId="0" applyBorder="1" applyFont="1"/>
    <xf borderId="24" fillId="0" fontId="7" numFmtId="0" xfId="0" applyBorder="1" applyFont="1"/>
    <xf borderId="25" fillId="0" fontId="7" numFmtId="0" xfId="0" applyBorder="1" applyFont="1"/>
    <xf borderId="26" fillId="0" fontId="7" numFmtId="0" xfId="0" applyBorder="1" applyFont="1"/>
    <xf borderId="27" fillId="0" fontId="7" numFmtId="0" xfId="0" applyBorder="1" applyFont="1"/>
    <xf borderId="28" fillId="0" fontId="7" numFmtId="0" xfId="0" applyBorder="1" applyFont="1"/>
    <xf borderId="25" fillId="0" fontId="18" numFmtId="0" xfId="0" applyAlignment="1" applyBorder="1" applyFont="1">
      <alignment shrinkToFit="0" vertical="center" wrapText="1"/>
    </xf>
    <xf borderId="29" fillId="3" fontId="16" numFmtId="0" xfId="0" applyAlignment="1" applyBorder="1" applyFill="1" applyFont="1">
      <alignment shrinkToFit="0" vertical="center" wrapText="1"/>
    </xf>
    <xf borderId="28" fillId="0" fontId="18" numFmtId="0" xfId="0" applyAlignment="1" applyBorder="1" applyFont="1">
      <alignment horizontal="center" shrinkToFit="0" vertical="center" wrapText="1"/>
    </xf>
    <xf borderId="30" fillId="0" fontId="18" numFmtId="14" xfId="0" applyAlignment="1" applyBorder="1" applyFont="1" applyNumberFormat="1">
      <alignment shrinkToFit="0" vertical="center" wrapText="1"/>
    </xf>
    <xf borderId="31" fillId="0" fontId="23" numFmtId="0" xfId="0" applyAlignment="1" applyBorder="1" applyFont="1">
      <alignment horizontal="center" shrinkToFit="0" vertical="center" wrapText="1"/>
    </xf>
    <xf borderId="31" fillId="0" fontId="23" numFmtId="1" xfId="0" applyAlignment="1" applyBorder="1" applyFont="1" applyNumberFormat="1">
      <alignment horizontal="center" shrinkToFit="0" vertical="center" wrapText="1"/>
    </xf>
    <xf borderId="31" fillId="3" fontId="23" numFmtId="0" xfId="0" applyAlignment="1" applyBorder="1" applyFill="1" applyFont="1">
      <alignment horizontal="center" shrinkToFit="0" vertical="center" wrapText="1"/>
    </xf>
    <xf borderId="32" fillId="3" fontId="23" numFmtId="0" xfId="0" applyAlignment="1" applyBorder="1" applyFill="1" applyFont="1">
      <alignment horizontal="center" shrinkToFit="0" vertical="center" wrapText="1"/>
    </xf>
    <xf borderId="30" fillId="0" fontId="24" numFmtId="0" xfId="0" applyAlignment="1" applyBorder="1" applyFont="1">
      <alignment shrinkToFit="0" vertical="center" wrapText="1"/>
    </xf>
    <xf borderId="30" fillId="0" fontId="18" numFmtId="0" xfId="0" applyAlignment="1" applyBorder="1" applyFont="1">
      <alignment shrinkToFit="0" vertical="center" wrapText="1"/>
    </xf>
    <xf borderId="33" fillId="0" fontId="23" numFmtId="0" xfId="0" applyAlignment="1" applyBorder="1" applyFont="1">
      <alignment horizontal="center" shrinkToFit="0" vertical="center" wrapText="1"/>
    </xf>
    <xf borderId="34" fillId="3" fontId="15" numFmtId="0" xfId="0" applyAlignment="1" applyBorder="1" applyFill="1" applyFont="1">
      <alignment horizontal="center" shrinkToFit="0" wrapText="1"/>
    </xf>
    <xf borderId="35" fillId="3" fontId="16" numFmtId="0" xfId="0" applyAlignment="1" applyBorder="1" applyFill="1" applyFont="1">
      <alignment shrinkToFit="0" vertical="center" wrapText="1"/>
    </xf>
    <xf borderId="36" fillId="0" fontId="18" numFmtId="14" xfId="0" applyAlignment="1" applyBorder="1" applyFont="1" applyNumberFormat="1">
      <alignment shrinkToFit="0" vertical="center" wrapText="1"/>
    </xf>
    <xf borderId="37" fillId="0" fontId="23" numFmtId="0" xfId="0" applyAlignment="1" applyBorder="1" applyFont="1">
      <alignment horizontal="center" shrinkToFit="0" vertical="center" wrapText="1"/>
    </xf>
    <xf borderId="38" fillId="3" fontId="18" numFmtId="14" xfId="0" applyAlignment="1" applyBorder="1" applyFill="1" applyFont="1" applyNumberFormat="1">
      <alignment shrinkToFit="0" vertical="center" wrapText="1"/>
    </xf>
    <xf borderId="39" fillId="3" fontId="23" numFmtId="0" xfId="0" applyAlignment="1" applyBorder="1" applyFill="1" applyFont="1">
      <alignment horizontal="center" shrinkToFit="0" vertical="center" wrapText="1"/>
    </xf>
    <xf borderId="39" fillId="0" fontId="23" numFmtId="0" xfId="0" applyAlignment="1" applyBorder="1" applyFont="1">
      <alignment horizontal="center" shrinkToFit="0" vertical="center" wrapText="1"/>
    </xf>
    <xf borderId="38" fillId="0" fontId="18" numFmtId="0" xfId="0" applyAlignment="1" applyBorder="1" applyFont="1">
      <alignment shrinkToFit="0" vertical="center" wrapText="1"/>
    </xf>
    <xf borderId="40" fillId="0" fontId="23" numFmtId="0" xfId="0" applyAlignment="1" applyBorder="1" applyFont="1">
      <alignment horizontal="center" shrinkToFit="0" vertical="center" wrapText="1"/>
    </xf>
    <xf borderId="36" fillId="0" fontId="18" numFmtId="0" xfId="0" applyAlignment="1" applyBorder="1" applyFont="1">
      <alignment shrinkToFit="0" vertical="center" wrapText="1"/>
    </xf>
    <xf borderId="38" fillId="3" fontId="18" numFmtId="0" xfId="0" applyAlignment="1" applyBorder="1" applyFill="1" applyFont="1">
      <alignment shrinkToFit="0" vertical="center" wrapText="1"/>
    </xf>
    <xf borderId="27" fillId="0" fontId="18" numFmtId="0" xfId="0" applyAlignment="1" applyBorder="1" applyFont="1">
      <alignment horizontal="center" shrinkToFit="0" vertical="center" wrapText="1"/>
    </xf>
    <xf borderId="31" fillId="0" fontId="16" numFmtId="0" xfId="0" applyAlignment="1" applyBorder="1" applyFont="1">
      <alignment horizontal="center" shrinkToFit="0" vertical="center" wrapText="1"/>
    </xf>
    <xf borderId="41" fillId="0" fontId="18" numFmtId="0" xfId="0" applyAlignment="1" applyBorder="1" applyFont="1">
      <alignment shrinkToFit="0" vertical="center" wrapText="1"/>
    </xf>
    <xf borderId="42" fillId="0" fontId="23" numFmtId="0" xfId="0" applyAlignment="1" applyBorder="1" applyFont="1">
      <alignment horizontal="center" shrinkToFit="0" vertical="center" wrapText="1"/>
    </xf>
    <xf borderId="43" fillId="3" fontId="23" numFmtId="0" xfId="0" applyAlignment="1" applyBorder="1" applyFill="1" applyFont="1">
      <alignment horizontal="center" shrinkToFit="0" vertical="center" wrapText="1"/>
    </xf>
    <xf borderId="31" fillId="0" fontId="18" numFmtId="0" xfId="0" applyAlignment="1" applyBorder="1" applyFont="1">
      <alignment shrinkToFit="0" vertical="center" wrapText="1"/>
    </xf>
    <xf borderId="44" fillId="0" fontId="18" numFmtId="0" xfId="0" applyAlignment="1" applyBorder="1" applyFont="1">
      <alignment shrinkToFit="0" vertical="center" wrapText="1"/>
    </xf>
    <xf borderId="45" fillId="0" fontId="23" numFmtId="0" xfId="0" applyAlignment="1" applyBorder="1" applyFont="1">
      <alignment horizontal="center" shrinkToFit="0" vertical="center" wrapText="1"/>
    </xf>
    <xf borderId="46" fillId="3" fontId="15" numFmtId="0" xfId="0" applyAlignment="1" applyBorder="1" applyFill="1" applyFont="1">
      <alignment horizontal="center" shrinkToFit="0" wrapText="1"/>
    </xf>
    <xf borderId="0" fillId="0" fontId="25" numFmtId="0" xfId="0" applyFont="1"/>
    <xf borderId="0" fillId="0" fontId="26" numFmtId="0" xfId="0" applyFont="1"/>
    <xf borderId="46" fillId="0" fontId="18" numFmtId="0" xfId="0" applyAlignment="1" applyBorder="1" applyFont="1">
      <alignment shrinkToFit="0" vertical="center" wrapText="1"/>
    </xf>
    <xf borderId="30" fillId="0" fontId="18" numFmtId="14" xfId="0" applyAlignment="1" applyBorder="1" applyFont="1" applyNumberFormat="1">
      <alignment horizontal="center" shrinkToFit="0" vertical="center" wrapText="1"/>
    </xf>
    <xf borderId="36" fillId="0" fontId="18" numFmtId="14" xfId="0" applyAlignment="1" applyBorder="1" applyFont="1" applyNumberFormat="1">
      <alignment horizontal="center" shrinkToFit="0" vertical="center" wrapText="1"/>
    </xf>
    <xf borderId="38" fillId="0" fontId="18" numFmtId="14" xfId="0" applyAlignment="1" applyBorder="1" applyFont="1" applyNumberFormat="1">
      <alignment shrinkToFit="0" vertical="center" wrapText="1"/>
    </xf>
    <xf borderId="31" fillId="0" fontId="23" numFmtId="14" xfId="0" applyAlignment="1" applyBorder="1" applyFont="1" applyNumberFormat="1">
      <alignment horizontal="center" shrinkToFit="0" vertical="center" wrapText="1"/>
    </xf>
    <xf borderId="45" fillId="3" fontId="16" numFmtId="0" xfId="0" applyAlignment="1" applyBorder="1" applyFill="1" applyFont="1">
      <alignment shrinkToFit="0" vertical="center" wrapText="1"/>
    </xf>
    <xf borderId="39" fillId="0" fontId="23" numFmtId="1" xfId="0" applyAlignment="1" applyBorder="1" applyFont="1" applyNumberFormat="1">
      <alignment horizontal="center" shrinkToFit="0" vertical="center" wrapText="1"/>
    </xf>
    <xf borderId="37" fillId="0" fontId="23" numFmtId="1" xfId="0" applyAlignment="1" applyBorder="1" applyFont="1" applyNumberFormat="1">
      <alignment horizontal="center" shrinkToFit="0" vertical="center" wrapText="1"/>
    </xf>
    <xf borderId="46" fillId="3" fontId="16" numFmtId="0" xfId="0" applyAlignment="1" applyBorder="1" applyFill="1" applyFont="1">
      <alignment shrinkToFit="0" vertical="center" wrapText="1"/>
    </xf>
    <xf borderId="47" fillId="3" fontId="16" numFmtId="0" xfId="0" applyAlignment="1" applyBorder="1" applyFill="1" applyFont="1">
      <alignment shrinkToFit="0" vertical="center" wrapText="1"/>
    </xf>
    <xf borderId="31" fillId="3" fontId="23" numFmtId="1" xfId="0" applyAlignment="1" applyBorder="1" applyFill="1" applyFont="1" applyNumberFormat="1">
      <alignment horizontal="center" shrinkToFit="0" vertical="center" wrapText="1"/>
    </xf>
    <xf borderId="39" fillId="3" fontId="23" numFmtId="1" xfId="0" applyAlignment="1" applyBorder="1" applyFill="1" applyFont="1" applyNumberFormat="1">
      <alignment horizontal="center" shrinkToFit="0" vertical="center" wrapText="1"/>
    </xf>
    <xf borderId="30" fillId="3" fontId="18" numFmtId="14" xfId="0" applyAlignment="1" applyBorder="1" applyFill="1" applyFont="1" applyNumberFormat="1">
      <alignment shrinkToFit="0" vertical="center" wrapText="1"/>
    </xf>
    <xf borderId="18" fillId="0" fontId="21" numFmtId="0" xfId="0" applyAlignment="1" applyBorder="1" applyFont="1">
      <alignment horizontal="center" shrinkToFit="0" vertical="center" wrapText="1"/>
    </xf>
    <xf borderId="18" fillId="0" fontId="16" numFmtId="0" xfId="0" applyAlignment="1" applyBorder="1" applyFont="1">
      <alignment horizontal="center" shrinkToFit="0" vertical="center" wrapText="1"/>
    </xf>
    <xf borderId="18" fillId="0" fontId="18" numFmtId="0" xfId="0" applyAlignment="1" applyBorder="1" applyFont="1">
      <alignment shrinkToFit="0" vertical="center" wrapText="1"/>
    </xf>
    <xf borderId="48" fillId="3" fontId="19" numFmtId="0" xfId="0" applyAlignment="1" applyBorder="1" applyFill="1" applyFont="1">
      <alignment shrinkToFit="0" vertical="center" wrapText="1"/>
    </xf>
    <xf borderId="18" fillId="6" fontId="17" numFmtId="14" xfId="0" applyAlignment="1" applyBorder="1" applyFill="1" applyFont="1" applyNumberFormat="1">
      <alignment horizontal="center" shrinkToFit="0" vertical="center" wrapText="1"/>
    </xf>
    <xf borderId="33" fillId="0" fontId="18" numFmtId="14" xfId="0" applyAlignment="1" applyBorder="1" applyFont="1" applyNumberFormat="1">
      <alignment horizontal="center" shrinkToFit="0" vertical="center" wrapText="1"/>
    </xf>
    <xf borderId="34" fillId="6" fontId="15" numFmtId="0" xfId="0" applyAlignment="1" applyBorder="1" applyFill="1" applyFont="1">
      <alignment horizontal="center" vertical="center"/>
    </xf>
    <xf borderId="21" fillId="0" fontId="18" numFmtId="0" xfId="0" applyAlignment="1" applyBorder="1" applyFont="1">
      <alignment horizontal="center" shrinkToFit="0" vertical="center" wrapText="1"/>
    </xf>
    <xf borderId="21" fillId="3" fontId="16" numFmtId="0" xfId="0" applyAlignment="1" applyBorder="1" applyFill="1" applyFont="1">
      <alignment horizontal="left" shrinkToFit="0" vertical="center" wrapText="1"/>
    </xf>
    <xf borderId="49" fillId="0" fontId="23" numFmtId="0" xfId="0" applyAlignment="1" applyBorder="1" applyFont="1">
      <alignment horizontal="center" shrinkToFit="0" vertical="center" wrapText="1"/>
    </xf>
    <xf borderId="50" fillId="0" fontId="18" numFmtId="14" xfId="0" applyAlignment="1" applyBorder="1" applyFont="1" applyNumberFormat="1">
      <alignment shrinkToFit="0" vertical="center" wrapText="1"/>
    </xf>
    <xf borderId="51" fillId="7" fontId="18" numFmtId="0" xfId="0" applyAlignment="1" applyBorder="1" applyFill="1" applyFont="1">
      <alignment horizontal="center" shrinkToFit="0" wrapText="1"/>
    </xf>
    <xf borderId="52" fillId="0" fontId="23" numFmtId="0" xfId="0" applyAlignment="1" applyBorder="1" applyFont="1">
      <alignment horizontal="center" shrinkToFit="0" vertical="center" wrapText="1"/>
    </xf>
    <xf borderId="36" fillId="0" fontId="7" numFmtId="0" xfId="0" applyBorder="1" applyFont="1"/>
    <xf borderId="37" fillId="0" fontId="7" numFmtId="0" xfId="0" applyBorder="1" applyFont="1"/>
    <xf borderId="53" fillId="8" fontId="18" numFmtId="0" xfId="0" applyAlignment="1" applyBorder="1" applyFill="1" applyFont="1">
      <alignment horizontal="center" shrinkToFit="0" wrapText="1"/>
    </xf>
    <xf borderId="54" fillId="0" fontId="18" numFmtId="14" xfId="0" applyAlignment="1" applyBorder="1" applyFont="1" applyNumberFormat="1">
      <alignment shrinkToFit="0" vertical="center" wrapText="1"/>
    </xf>
    <xf borderId="55" fillId="0" fontId="23" numFmtId="0" xfId="0" applyAlignment="1" applyBorder="1" applyFont="1">
      <alignment horizontal="center" shrinkToFit="0" vertical="center" wrapText="1"/>
    </xf>
    <xf borderId="56" fillId="0" fontId="18" numFmtId="14" xfId="0" applyAlignment="1" applyBorder="1" applyFont="1" applyNumberFormat="1">
      <alignment shrinkToFit="0" vertical="center" wrapText="1"/>
    </xf>
    <xf borderId="29" fillId="3" fontId="8" numFmtId="0" xfId="0" applyAlignment="1" applyBorder="1" applyFill="1" applyFont="1">
      <alignment shrinkToFit="0" vertical="center" wrapText="1"/>
    </xf>
    <xf borderId="35" fillId="3" fontId="8" numFmtId="0" xfId="0" applyAlignment="1" applyBorder="1" applyFill="1" applyFont="1">
      <alignment shrinkToFit="0" vertical="center" wrapText="1"/>
    </xf>
    <xf borderId="57" fillId="0" fontId="7" numFmtId="0" xfId="0" applyBorder="1" applyFont="1"/>
    <xf borderId="23" fillId="0" fontId="27" numFmtId="0" xfId="0" applyAlignment="1" applyBorder="1" applyFont="1">
      <alignment shrinkToFit="0" vertical="center" wrapText="1"/>
    </xf>
    <xf borderId="21" fillId="3" fontId="15" numFmtId="0" xfId="0" applyAlignment="1" applyBorder="1" applyFill="1" applyFont="1">
      <alignment horizontal="center" shrinkToFit="0" wrapText="1"/>
    </xf>
    <xf borderId="58" fillId="0" fontId="7" numFmtId="0" xfId="0" applyBorder="1" applyFont="1"/>
    <xf borderId="27" fillId="0" fontId="27" numFmtId="0" xfId="0" applyAlignment="1" applyBorder="1" applyFont="1">
      <alignment shrinkToFit="0" vertical="center" wrapText="1"/>
    </xf>
    <xf borderId="26" fillId="0" fontId="18" numFmtId="14" xfId="0" applyAlignment="1" applyBorder="1" applyFont="1" applyNumberFormat="1">
      <alignment shrinkToFit="0" vertical="center" wrapText="1"/>
    </xf>
    <xf borderId="1" fillId="3" fontId="8" numFmtId="0" xfId="0" applyBorder="1" applyFill="1" applyFont="1"/>
    <xf borderId="22" fillId="3" fontId="22" numFmtId="11" xfId="0" applyAlignment="1" applyBorder="1" applyFill="1" applyFont="1" applyNumberFormat="1">
      <alignment shrinkToFit="0" vertical="center" wrapText="1"/>
    </xf>
    <xf borderId="59" fillId="0" fontId="23" numFmtId="0" xfId="0" applyAlignment="1" applyBorder="1" applyFont="1">
      <alignment horizontal="center" shrinkToFit="0" vertical="center" wrapText="1"/>
    </xf>
    <xf borderId="22" fillId="3" fontId="28" numFmtId="0" xfId="0" applyAlignment="1" applyBorder="1" applyFill="1" applyFont="1">
      <alignment shrinkToFit="0" vertical="center" wrapText="1"/>
    </xf>
    <xf borderId="8" fillId="3" fontId="16" numFmtId="0" xfId="0" applyAlignment="1" applyBorder="1" applyFill="1" applyFont="1">
      <alignment horizontal="center" shrinkToFit="0" vertical="center" wrapText="1"/>
    </xf>
    <xf borderId="48" fillId="3" fontId="16" numFmtId="0" xfId="0" applyAlignment="1" applyBorder="1" applyFill="1" applyFont="1">
      <alignment horizontal="center" shrinkToFit="0" vertical="center" wrapText="1"/>
    </xf>
    <xf borderId="60" fillId="9" fontId="15" numFmtId="0" xfId="0" applyAlignment="1" applyBorder="1" applyFill="1" applyFont="1">
      <alignment horizontal="center" shrinkToFit="0" vertical="center" wrapText="1"/>
    </xf>
    <xf borderId="61" fillId="0" fontId="7" numFmtId="0" xfId="0" applyBorder="1" applyFont="1"/>
    <xf borderId="18" fillId="9" fontId="15" numFmtId="0" xfId="0" applyAlignment="1" applyBorder="1" applyFill="1" applyFont="1">
      <alignment horizontal="center" shrinkToFit="0" vertical="center" wrapText="1"/>
    </xf>
    <xf borderId="59" fillId="9" fontId="15" numFmtId="0" xfId="0" applyAlignment="1" applyBorder="1" applyFill="1" applyFont="1">
      <alignment horizontal="center" shrinkToFit="0" vertical="center" wrapText="1"/>
    </xf>
    <xf borderId="46" fillId="3" fontId="18" numFmtId="0" xfId="0" applyAlignment="1" applyBorder="1" applyFill="1" applyFont="1">
      <alignment horizontal="center" shrinkToFit="0" wrapText="1"/>
    </xf>
    <xf borderId="21" fillId="0" fontId="22" numFmtId="0" xfId="0" applyAlignment="1" applyBorder="1" applyFont="1">
      <alignment horizontal="center" shrinkToFit="0" vertical="center" wrapText="1"/>
    </xf>
    <xf borderId="62" fillId="0" fontId="18" numFmtId="14" xfId="0" applyAlignment="1" applyBorder="1" applyFont="1" applyNumberFormat="1">
      <alignment shrinkToFit="0" vertical="center" wrapText="1"/>
    </xf>
    <xf borderId="41" fillId="0" fontId="18" numFmtId="14" xfId="0" applyAlignment="1" applyBorder="1" applyFont="1" applyNumberFormat="1">
      <alignment shrinkToFit="0" vertical="center" wrapText="1"/>
    </xf>
    <xf borderId="63" fillId="0" fontId="7" numFmtId="0" xfId="0" applyBorder="1" applyFont="1"/>
    <xf borderId="18" fillId="9" fontId="15" numFmtId="49" xfId="0" applyAlignment="1" applyBorder="1" applyFill="1" applyFont="1" applyNumberFormat="1">
      <alignment horizontal="center" shrinkToFit="0" vertical="center" wrapText="1"/>
    </xf>
    <xf borderId="22" fillId="0" fontId="18" numFmtId="0" xfId="0" applyAlignment="1" applyBorder="1" applyFont="1">
      <alignment shrinkToFit="0" vertical="center" wrapText="1"/>
    </xf>
    <xf borderId="33" fillId="0" fontId="18" numFmtId="0" xfId="0" applyAlignment="1" applyBorder="1" applyFont="1">
      <alignment shrinkToFit="0" vertical="center" wrapText="1"/>
    </xf>
    <xf borderId="40" fillId="0" fontId="18" numFmtId="0" xfId="0" applyAlignment="1" applyBorder="1" applyFont="1">
      <alignment shrinkToFit="0" vertical="center" wrapText="1"/>
    </xf>
    <xf borderId="34" fillId="3" fontId="18" numFmtId="0" xfId="0" applyAlignment="1" applyBorder="1" applyFill="1" applyFont="1">
      <alignment horizontal="center" shrinkToFit="0" wrapText="1"/>
    </xf>
    <xf borderId="46" fillId="0" fontId="22" numFmtId="0" xfId="0" applyAlignment="1" applyBorder="1" applyFont="1">
      <alignment horizontal="center" shrinkToFit="0" vertical="center" wrapText="1"/>
    </xf>
    <xf borderId="63" fillId="0" fontId="22" numFmtId="0" xfId="0" applyAlignment="1" applyBorder="1" applyFont="1">
      <alignment shrinkToFit="0" vertical="center" wrapText="1"/>
    </xf>
    <xf borderId="33" fillId="3" fontId="23" numFmtId="0" xfId="0" applyAlignment="1" applyBorder="1" applyFill="1" applyFont="1">
      <alignment horizontal="center" shrinkToFit="0" vertical="center" wrapText="1"/>
    </xf>
    <xf borderId="46" fillId="3" fontId="15" numFmtId="0" xfId="0" applyAlignment="1" applyBorder="1" applyFill="1" applyFont="1">
      <alignment horizontal="center"/>
    </xf>
    <xf borderId="40" fillId="3" fontId="23" numFmtId="0" xfId="0" applyAlignment="1" applyBorder="1" applyFill="1" applyFont="1">
      <alignment horizontal="center" shrinkToFit="0" vertical="center" wrapText="1"/>
    </xf>
    <xf borderId="60" fillId="9" fontId="15" numFmtId="49" xfId="0" applyAlignment="1" applyBorder="1" applyFill="1" applyFont="1" applyNumberFormat="1">
      <alignment horizontal="center" shrinkToFit="0" vertical="center" wrapText="1"/>
    </xf>
    <xf borderId="33" fillId="9" fontId="15" numFmtId="49" xfId="0" applyAlignment="1" applyBorder="1" applyFill="1" applyFont="1" applyNumberFormat="1">
      <alignment horizontal="center" shrinkToFit="0" vertical="center" wrapText="1"/>
    </xf>
    <xf borderId="46" fillId="6" fontId="15" numFmtId="0" xfId="0" applyAlignment="1" applyBorder="1" applyFill="1" applyFont="1">
      <alignment horizontal="center"/>
    </xf>
    <xf borderId="52" fillId="0" fontId="15" numFmtId="14" xfId="0" applyAlignment="1" applyBorder="1" applyFont="1" applyNumberFormat="1">
      <alignment horizontal="center" shrinkToFit="0" vertical="center" wrapText="1"/>
    </xf>
    <xf borderId="52" fillId="0" fontId="15" numFmtId="0" xfId="0" applyAlignment="1" applyBorder="1" applyFont="1">
      <alignment horizontal="center" shrinkToFit="0" vertical="center" wrapText="1"/>
    </xf>
    <xf borderId="64" fillId="0" fontId="23" numFmtId="0" xfId="0" applyAlignment="1" applyBorder="1" applyFont="1">
      <alignment horizontal="center" shrinkToFit="0" vertical="center" wrapText="1"/>
    </xf>
    <xf borderId="65" fillId="0" fontId="18" numFmtId="14" xfId="0" applyAlignment="1" applyBorder="1" applyFont="1" applyNumberFormat="1">
      <alignment shrinkToFit="0" vertical="center" wrapText="1"/>
    </xf>
    <xf borderId="56" fillId="0" fontId="27" numFmtId="14" xfId="0" applyAlignment="1" applyBorder="1" applyFont="1" applyNumberFormat="1">
      <alignment shrinkToFit="0" vertical="center" wrapText="1"/>
    </xf>
    <xf borderId="28" fillId="0" fontId="23" numFmtId="0" xfId="0" applyAlignment="1" applyBorder="1" applyFont="1">
      <alignment horizontal="center" shrinkToFit="0" vertical="center" wrapText="1"/>
    </xf>
    <xf borderId="66" fillId="3" fontId="18" numFmtId="0" xfId="0" applyAlignment="1" applyBorder="1" applyFill="1" applyFont="1">
      <alignment shrinkToFit="0" vertical="center" wrapText="1"/>
    </xf>
    <xf borderId="26" fillId="0" fontId="18" numFmtId="0" xfId="0" applyAlignment="1" applyBorder="1" applyFont="1">
      <alignment shrinkToFit="0" vertical="center" wrapText="1"/>
    </xf>
    <xf borderId="45" fillId="3" fontId="23" numFmtId="0" xfId="0" applyAlignment="1" applyBorder="1" applyFill="1" applyFont="1">
      <alignment horizontal="center" shrinkToFit="0" vertical="center" wrapText="1"/>
    </xf>
    <xf borderId="0" fillId="0" fontId="2" numFmtId="0" xfId="0" applyFont="1"/>
    <xf borderId="0" fillId="0" fontId="1" numFmtId="0" xfId="0" applyAlignment="1" applyFont="1">
      <alignment horizontal="center"/>
    </xf>
    <xf borderId="0" fillId="0" fontId="29" numFmtId="14" xfId="0" applyAlignment="1" applyFont="1" applyNumberFormat="1">
      <alignment shrinkToFit="0" vertical="center" wrapText="1"/>
    </xf>
    <xf borderId="0" fillId="0" fontId="30" numFmtId="0" xfId="0" applyAlignment="1" applyFont="1">
      <alignment horizontal="center" shrinkToFit="0" vertical="center" wrapText="1"/>
    </xf>
    <xf borderId="1" fillId="3" fontId="29" numFmtId="14" xfId="0" applyAlignment="1" applyBorder="1" applyFill="1" applyFont="1" applyNumberFormat="1">
      <alignment shrinkToFit="0" vertical="center" wrapText="1"/>
    </xf>
    <xf borderId="1" fillId="3" fontId="30" numFmtId="0" xfId="0" applyAlignment="1" applyBorder="1" applyFill="1" applyFont="1">
      <alignment horizontal="center" shrinkToFit="0" vertical="center" wrapText="1"/>
    </xf>
    <xf borderId="1" fillId="3" fontId="1" numFmtId="0" xfId="0" applyBorder="1" applyFill="1" applyFont="1"/>
    <xf borderId="67" fillId="0" fontId="31" numFmtId="0" xfId="0" applyAlignment="1" applyBorder="1" applyFont="1">
      <alignment horizontal="center"/>
    </xf>
    <xf borderId="68" fillId="0" fontId="31" numFmtId="0" xfId="0" applyBorder="1" applyFont="1"/>
    <xf borderId="69" fillId="0" fontId="7" numFmtId="0" xfId="0" applyBorder="1" applyFont="1"/>
    <xf borderId="70" fillId="0" fontId="31" numFmtId="0" xfId="0" applyAlignment="1" applyBorder="1" applyFont="1">
      <alignment horizontal="center" vertical="center"/>
    </xf>
    <xf borderId="70" fillId="0" fontId="31" numFmtId="0" xfId="0" applyAlignment="1" applyBorder="1" applyFont="1">
      <alignment horizontal="center"/>
    </xf>
    <xf borderId="71" fillId="0" fontId="7" numFmtId="0" xfId="0" applyBorder="1" applyFont="1"/>
    <xf borderId="72" fillId="0" fontId="31" numFmtId="0" xfId="0" applyAlignment="1" applyBorder="1" applyFont="1">
      <alignment horizontal="center"/>
    </xf>
    <xf borderId="73" fillId="0" fontId="31" numFmtId="0" xfId="0" applyBorder="1" applyFont="1"/>
    <xf borderId="74" fillId="0" fontId="1" numFmtId="0" xfId="0" applyBorder="1" applyFont="1"/>
    <xf borderId="75" fillId="0" fontId="32" numFmtId="0" xfId="0" applyAlignment="1" applyBorder="1" applyFont="1">
      <alignment vertical="center"/>
    </xf>
    <xf borderId="76" fillId="0" fontId="1" numFmtId="0" xfId="0" applyBorder="1" applyFont="1"/>
    <xf borderId="73" fillId="0" fontId="32" numFmtId="0" xfId="0" applyAlignment="1" applyBorder="1" applyFont="1">
      <alignment vertical="center"/>
    </xf>
    <xf borderId="77" fillId="0" fontId="1" numFmtId="0" xfId="0" applyBorder="1" applyFont="1"/>
    <xf borderId="78" fillId="0" fontId="1" numFmtId="0" xfId="0" applyBorder="1" applyFont="1"/>
    <xf borderId="79" fillId="0" fontId="1" numFmtId="0" xfId="0" applyBorder="1" applyFont="1"/>
    <xf borderId="80" fillId="0" fontId="1" numFmtId="0" xfId="0" applyBorder="1" applyFont="1"/>
    <xf borderId="76" fillId="0" fontId="27" numFmtId="0" xfId="0" applyBorder="1" applyFont="1"/>
    <xf borderId="81" fillId="0" fontId="33" numFmtId="0" xfId="0" applyBorder="1" applyFont="1"/>
    <xf borderId="81" fillId="0" fontId="34" numFmtId="0" xfId="0" applyBorder="1" applyFont="1"/>
    <xf borderId="81" fillId="0" fontId="31" numFmtId="0" xfId="0" applyAlignment="1" applyBorder="1" applyFont="1">
      <alignment horizontal="center"/>
    </xf>
    <xf borderId="82" fillId="0" fontId="31" numFmtId="0" xfId="0" applyBorder="1" applyFont="1"/>
    <xf borderId="83" fillId="0" fontId="1" numFmtId="0" xfId="0" applyBorder="1" applyFont="1"/>
    <xf borderId="84" fillId="0" fontId="32" numFmtId="0" xfId="0" applyAlignment="1" applyBorder="1" applyFont="1">
      <alignment vertical="center"/>
    </xf>
    <xf borderId="85" fillId="0" fontId="1" numFmtId="0" xfId="0" applyBorder="1" applyFont="1"/>
    <xf borderId="86" fillId="0" fontId="1" numFmtId="0" xfId="0" applyBorder="1" applyFont="1"/>
    <xf borderId="87" fillId="0" fontId="1" numFmtId="0" xfId="0" applyBorder="1" applyFont="1"/>
    <xf borderId="85" fillId="0" fontId="27" numFmtId="0" xfId="0" applyBorder="1" applyFont="1"/>
    <xf borderId="88" fillId="0" fontId="1" numFmtId="0" xfId="0" applyBorder="1" applyFont="1"/>
    <xf borderId="82" fillId="0" fontId="32" numFmtId="0" xfId="0" applyAlignment="1" applyBorder="1" applyFont="1">
      <alignment vertical="center"/>
    </xf>
    <xf borderId="89" fillId="0" fontId="1" numFmtId="0" xfId="0" applyBorder="1" applyFont="1"/>
    <xf borderId="84" fillId="0" fontId="31" numFmtId="0" xfId="0" applyBorder="1" applyFont="1"/>
    <xf borderId="83" fillId="0" fontId="27" numFmtId="0" xfId="0" applyBorder="1" applyFont="1"/>
    <xf borderId="90" fillId="0" fontId="27" numFmtId="0" xfId="0" applyBorder="1" applyFont="1"/>
    <xf borderId="0" fillId="0" fontId="31" numFmtId="0" xfId="0" applyFont="1"/>
    <xf borderId="0" fillId="0" fontId="31" numFmtId="0" xfId="0" applyAlignment="1" applyFont="1">
      <alignment horizontal="center"/>
    </xf>
    <xf borderId="0" fillId="0" fontId="31" numFmtId="0" xfId="0" applyAlignment="1" applyFont="1">
      <alignment horizontal="center" vertical="center"/>
    </xf>
    <xf borderId="0" fillId="0" fontId="27" numFmtId="0" xfId="0" applyFont="1"/>
    <xf borderId="0" fillId="0" fontId="27" numFmtId="0" xfId="0" applyAlignment="1" applyFont="1">
      <alignment horizontal="center"/>
    </xf>
    <xf borderId="0" fillId="0" fontId="35" numFmtId="0" xfId="0" applyFont="1"/>
    <xf borderId="0" fillId="0" fontId="36" numFmtId="0" xfId="0" applyFont="1"/>
    <xf borderId="0" fillId="0" fontId="35" numFmtId="14" xfId="0" applyFont="1" applyNumberFormat="1"/>
    <xf borderId="0" fillId="0" fontId="32" numFmtId="0" xfId="0" applyAlignment="1" applyFont="1">
      <alignment vertical="center"/>
    </xf>
  </cellXfs>
  <cellStyles count="1">
    <cellStyle xfId="0" name="Normal" builtinId="0"/>
  </cellStyles>
  <dxfs count="2">
    <dxf>
      <font>
        <b/>
      </font>
      <fill>
        <patternFill patternType="none"/>
      </fill>
      <border/>
    </dxf>
    <dxf>
      <font>
        <b/>
        <color rgb="FFFF0000"/>
      </font>
      <fill>
        <patternFill patternType="none"/>
      </fill>
      <border/>
    </dxf>
  </dxfs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customschemas.google.com/relationships/workbookmetadata" Target="metadata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200">
                <a:solidFill>
                  <a:srgbClr val="000000"/>
                </a:solidFill>
                <a:latin typeface="Arimo"/>
              </a:defRPr>
            </a:pPr>
            <a:r>
              <a:rPr b="0" i="0" sz="1200">
                <a:solidFill>
                  <a:srgbClr val="000000"/>
                </a:solidFill>
                <a:latin typeface="Arimo"/>
              </a:rPr>
              <a:t>Кількість контрольних операцій по даті ППРблок №2</a:t>
            </a:r>
          </a:p>
        </c:rich>
      </c:tx>
      <c:layout>
        <c:manualLayout>
          <c:xMode val="edge"/>
          <c:yMode val="edge"/>
          <c:x val="0.33150914004486204"/>
          <c:y val="0.028673720472440944"/>
        </c:manualLayout>
      </c:layout>
      <c:overlay val="0"/>
    </c:title>
    <c:plotArea>
      <c:layout>
        <c:manualLayout>
          <c:xMode val="edge"/>
          <c:yMode val="edge"/>
          <c:x val="0.03516176816994671"/>
          <c:y val="0.0696970728235571"/>
          <c:w val="0.9465547991349655"/>
          <c:h val="0.686364651936334"/>
        </c:manualLayout>
      </c:layout>
      <c:lineChart>
        <c:varyColors val="0"/>
        <c:ser>
          <c:idx val="0"/>
          <c:order val="0"/>
          <c:spPr>
            <a:ln cmpd="sng" w="38100">
              <a:solidFill>
                <a:srgbClr val="800080">
                  <a:alpha val="100000"/>
                </a:srgbClr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80">
                  <a:alpha val="100000"/>
                </a:srgbClr>
              </a:solidFill>
              <a:ln cmpd="sng">
                <a:solidFill>
                  <a:srgbClr val="800080">
                    <a:alpha val="100000"/>
                  </a:srgbClr>
                </a:solidFill>
              </a:ln>
            </c:spPr>
          </c:marker>
          <c:cat>
            <c:strRef>
              <c:f>'Таблиця'!$AA$340:$AA$384</c:f>
            </c:strRef>
          </c:cat>
          <c:val>
            <c:numRef>
              <c:f>'Таблиця'!$AB$340:$AB$384</c:f>
              <c:numCache/>
            </c:numRef>
          </c:val>
          <c:smooth val="0"/>
        </c:ser>
        <c:axId val="2147172277"/>
        <c:axId val="576452557"/>
      </c:lineChart>
      <c:catAx>
        <c:axId val="214717227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dd/mm/yyyy" sourceLinked="0"/>
        <c:majorTickMark val="out"/>
        <c:minorTickMark val="none"/>
        <c:spPr/>
        <c:txPr>
          <a:bodyPr rot="-2700000"/>
          <a:lstStyle/>
          <a:p>
            <a:pPr lvl="0">
              <a:defRPr b="0" i="0" sz="1000">
                <a:solidFill>
                  <a:srgbClr val="000000"/>
                </a:solidFill>
                <a:latin typeface="Arimo"/>
              </a:defRPr>
            </a:pPr>
          </a:p>
        </c:txPr>
        <c:crossAx val="576452557"/>
      </c:catAx>
      <c:valAx>
        <c:axId val="57645255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/>
        </c:spPr>
        <c:txPr>
          <a:bodyPr rot="0"/>
          <a:lstStyle/>
          <a:p>
            <a:pPr lvl="0">
              <a:defRPr b="0" i="0" sz="1300">
                <a:solidFill>
                  <a:srgbClr val="000000"/>
                </a:solidFill>
                <a:latin typeface="Arimo"/>
              </a:defRPr>
            </a:pPr>
          </a:p>
        </c:txPr>
        <c:crossAx val="2147172277"/>
      </c:valAx>
      <c:spPr>
        <a:solidFill>
          <a:srgbClr val="339966"/>
        </a:solidFill>
      </c:spPr>
    </c:plotArea>
    <c:plotVisOnly val="1"/>
  </c:chart>
  <c:spPr>
    <a:solidFill>
      <a:srgbClr val="FFFFFF"/>
    </a:solidFill>
  </c:spPr>
</c:chartSpace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340</xdr:row>
      <xdr:rowOff>142875</xdr:rowOff>
    </xdr:from>
    <xdr:ext cx="13544550" cy="7781925"/>
    <xdr:graphicFrame>
      <xdr:nvGraphicFramePr>
        <xdr:cNvPr id="1409622930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Лист2">
    <tabColor rgb="FF008000"/>
    <pageSetUpPr/>
  </sheetPr>
  <sheetViews>
    <sheetView workbookViewId="0">
      <pane ySplit="5.0" topLeftCell="A6" activePane="bottomLeft" state="frozen"/>
      <selection activeCell="B7" sqref="B7" pane="bottomLeft"/>
    </sheetView>
  </sheetViews>
  <sheetFormatPr customHeight="1" defaultColWidth="14.43" defaultRowHeight="15.0"/>
  <cols>
    <col customWidth="1" min="1" max="1" width="9.14"/>
    <col customWidth="1" min="2" max="2" width="18.29"/>
    <col customWidth="1" min="3" max="3" width="6.71"/>
    <col customWidth="1" min="4" max="4" width="11.43"/>
    <col customWidth="1" min="5" max="5" width="4.71"/>
    <col customWidth="1" min="6" max="6" width="11.43"/>
    <col customWidth="1" min="7" max="7" width="4.71"/>
    <col customWidth="1" min="8" max="8" width="11.43"/>
    <col customWidth="1" min="9" max="9" width="5.43"/>
    <col customWidth="1" min="10" max="10" width="11.14"/>
    <col customWidth="1" min="11" max="11" width="4.71"/>
    <col customWidth="1" min="12" max="12" width="11.0"/>
    <col customWidth="1" min="13" max="13" width="4.71"/>
    <col customWidth="1" min="14" max="14" width="11.0"/>
    <col customWidth="1" min="15" max="15" width="4.71"/>
    <col customWidth="1" min="16" max="16" width="11.0"/>
    <col customWidth="1" min="17" max="17" width="4.71"/>
    <col customWidth="1" min="18" max="18" width="11.0"/>
    <col customWidth="1" min="19" max="19" width="4.71"/>
    <col customWidth="1" min="20" max="20" width="11.0"/>
    <col customWidth="1" min="21" max="21" width="4.71"/>
    <col customWidth="1" min="22" max="22" width="11.0"/>
    <col customWidth="1" min="23" max="23" width="4.71"/>
    <col customWidth="1" min="24" max="24" width="11.0"/>
    <col customWidth="1" min="25" max="25" width="14.14"/>
    <col customWidth="1" min="26" max="26" width="10.29"/>
    <col customWidth="1" min="27" max="27" width="13.14"/>
    <col customWidth="1" min="28" max="32" width="9.14"/>
  </cols>
  <sheetData>
    <row r="1" ht="29.25" customHeight="1">
      <c r="A1" s="1"/>
      <c r="B1" s="2"/>
      <c r="C1" s="3"/>
      <c r="D1" s="4" t="s">
        <v>0</v>
      </c>
      <c r="E1" s="5"/>
      <c r="F1" s="4" t="s">
        <v>1</v>
      </c>
      <c r="G1" s="5"/>
      <c r="H1" s="4" t="s">
        <v>2</v>
      </c>
      <c r="I1" s="5"/>
      <c r="J1" s="4" t="s">
        <v>3</v>
      </c>
      <c r="K1" s="5"/>
      <c r="L1" s="4" t="s">
        <v>4</v>
      </c>
      <c r="M1" s="5"/>
      <c r="N1" s="6" t="s">
        <v>5</v>
      </c>
      <c r="O1" s="7"/>
      <c r="P1" s="8" t="s">
        <v>6</v>
      </c>
      <c r="Q1" s="1"/>
      <c r="R1" s="1"/>
      <c r="S1" s="9">
        <f>COUNTIF(D10:Y328,TODAY())</f>
        <v>0</v>
      </c>
      <c r="T1" s="8" t="s">
        <v>7</v>
      </c>
      <c r="U1" s="10" t="s">
        <v>8</v>
      </c>
      <c r="V1" s="11"/>
      <c r="W1" s="11"/>
      <c r="X1" s="11"/>
      <c r="Y1" s="12"/>
      <c r="Z1" s="13"/>
      <c r="AA1" s="14"/>
      <c r="AB1" s="15"/>
      <c r="AC1" s="15"/>
      <c r="AD1" s="16" t="s">
        <v>9</v>
      </c>
      <c r="AE1" s="17"/>
      <c r="AF1" s="18"/>
    </row>
    <row r="2" ht="20.25" customHeight="1">
      <c r="A2" s="19"/>
      <c r="B2" s="20"/>
      <c r="C2" s="21"/>
      <c r="D2" s="19"/>
      <c r="E2" s="19"/>
      <c r="F2" s="19"/>
      <c r="G2" s="19"/>
      <c r="H2" s="19"/>
      <c r="I2" s="19"/>
      <c r="J2" s="19"/>
      <c r="K2" s="19"/>
      <c r="L2" s="19"/>
      <c r="M2" s="19"/>
      <c r="N2" s="19" t="s">
        <v>5</v>
      </c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22"/>
      <c r="AA2" s="23"/>
      <c r="AB2" s="24"/>
      <c r="AC2" s="24"/>
      <c r="AD2" s="17" t="s">
        <v>10</v>
      </c>
      <c r="AE2" s="17"/>
      <c r="AF2" s="18"/>
    </row>
    <row r="3" ht="15.75" customHeight="1">
      <c r="A3" s="25" t="s">
        <v>11</v>
      </c>
      <c r="B3" s="26" t="s">
        <v>12</v>
      </c>
      <c r="C3" s="27" t="s">
        <v>13</v>
      </c>
      <c r="D3" s="28" t="s">
        <v>14</v>
      </c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30"/>
      <c r="X3" s="31"/>
      <c r="Y3" s="31" t="s">
        <v>15</v>
      </c>
      <c r="Z3" s="22"/>
      <c r="AA3" s="18"/>
      <c r="AB3" s="17"/>
      <c r="AC3" s="17"/>
      <c r="AD3" s="17" t="s">
        <v>16</v>
      </c>
      <c r="AE3" s="17"/>
      <c r="AF3" s="18"/>
    </row>
    <row r="4" ht="31.5" customHeight="1">
      <c r="A4" s="32"/>
      <c r="B4" s="32"/>
      <c r="C4" s="32"/>
      <c r="D4" s="33" t="str">
        <f>ROMAN(1)</f>
        <v>I</v>
      </c>
      <c r="E4" s="30"/>
      <c r="F4" s="33" t="str">
        <f>ROMAN(2)</f>
        <v>II</v>
      </c>
      <c r="G4" s="30"/>
      <c r="H4" s="33" t="str">
        <f>ROMAN(3)</f>
        <v>III</v>
      </c>
      <c r="I4" s="30"/>
      <c r="J4" s="33" t="str">
        <f>ROMAN(4)</f>
        <v>IV</v>
      </c>
      <c r="K4" s="30"/>
      <c r="L4" s="33" t="str">
        <f>ROMAN(5)</f>
        <v>V</v>
      </c>
      <c r="M4" s="30"/>
      <c r="N4" s="33" t="str">
        <f>ROMAN(6)</f>
        <v>VI</v>
      </c>
      <c r="O4" s="30"/>
      <c r="P4" s="33" t="str">
        <f>ROMAN(7)</f>
        <v>VII</v>
      </c>
      <c r="Q4" s="30"/>
      <c r="R4" s="33" t="str">
        <f>ROMAN(8)</f>
        <v>VIII</v>
      </c>
      <c r="S4" s="30"/>
      <c r="T4" s="33" t="str">
        <f>ROMAN(9)</f>
        <v>IX</v>
      </c>
      <c r="U4" s="30"/>
      <c r="V4" s="33" t="str">
        <f>ROMAN(10)</f>
        <v>X</v>
      </c>
      <c r="W4" s="30"/>
      <c r="X4" s="34" t="str">
        <f>ROMAN(11)</f>
        <v>XI</v>
      </c>
      <c r="Y4" s="34"/>
      <c r="Z4" s="22"/>
      <c r="AA4" s="18"/>
      <c r="AB4" s="17"/>
      <c r="AC4" s="17"/>
      <c r="AD4" s="17" t="s">
        <v>17</v>
      </c>
      <c r="AE4" s="17"/>
      <c r="AF4" s="18"/>
    </row>
    <row r="5" ht="19.5" customHeight="1">
      <c r="A5" s="35">
        <v>1.0</v>
      </c>
      <c r="B5" s="36">
        <v>2.0</v>
      </c>
      <c r="C5" s="35">
        <v>3.0</v>
      </c>
      <c r="D5" s="37">
        <v>4.0</v>
      </c>
      <c r="E5" s="30"/>
      <c r="F5" s="37">
        <v>5.0</v>
      </c>
      <c r="G5" s="30"/>
      <c r="H5" s="37">
        <v>6.0</v>
      </c>
      <c r="I5" s="30"/>
      <c r="J5" s="37">
        <v>7.0</v>
      </c>
      <c r="K5" s="30"/>
      <c r="L5" s="37">
        <v>8.0</v>
      </c>
      <c r="M5" s="30"/>
      <c r="N5" s="37">
        <v>9.0</v>
      </c>
      <c r="O5" s="30"/>
      <c r="P5" s="37">
        <v>10.0</v>
      </c>
      <c r="Q5" s="30"/>
      <c r="R5" s="37">
        <v>11.0</v>
      </c>
      <c r="S5" s="30"/>
      <c r="T5" s="37">
        <v>12.0</v>
      </c>
      <c r="U5" s="30"/>
      <c r="V5" s="37">
        <v>13.0</v>
      </c>
      <c r="W5" s="30"/>
      <c r="X5" s="35">
        <v>13.0</v>
      </c>
      <c r="Y5" s="35"/>
      <c r="Z5" s="38"/>
      <c r="AA5" s="18"/>
      <c r="AB5" s="17"/>
      <c r="AC5" s="17"/>
      <c r="AD5" s="17"/>
      <c r="AE5" s="17"/>
      <c r="AF5" s="18"/>
    </row>
    <row r="6" ht="24.75" customHeight="1">
      <c r="A6" s="39" t="s">
        <v>18</v>
      </c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1"/>
      <c r="Z6" s="18"/>
      <c r="AA6" s="18"/>
      <c r="AB6" s="18"/>
      <c r="AC6" s="18"/>
      <c r="AD6" s="18"/>
      <c r="AE6" s="18"/>
      <c r="AF6" s="18"/>
    </row>
    <row r="7" ht="22.5" customHeight="1">
      <c r="A7" s="42" t="s">
        <v>19</v>
      </c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4"/>
      <c r="Z7" s="18"/>
      <c r="AA7" s="18"/>
      <c r="AB7" s="18"/>
      <c r="AC7" s="18"/>
      <c r="AD7" s="18"/>
      <c r="AE7" s="18"/>
      <c r="AF7" s="18"/>
    </row>
    <row r="8" ht="13.5" customHeight="1">
      <c r="A8" s="45">
        <v>1.0</v>
      </c>
      <c r="B8" s="46" t="s">
        <v>20</v>
      </c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8"/>
      <c r="Z8" s="18" t="s">
        <v>21</v>
      </c>
      <c r="AA8" s="18"/>
      <c r="AB8" s="18"/>
      <c r="AC8" s="18"/>
      <c r="AD8" s="18"/>
      <c r="AE8" s="18"/>
      <c r="AF8" s="18"/>
    </row>
    <row r="9" ht="13.5" customHeight="1">
      <c r="A9" s="49"/>
      <c r="B9" s="50"/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T9" s="51"/>
      <c r="U9" s="51"/>
      <c r="V9" s="51"/>
      <c r="W9" s="51"/>
      <c r="X9" s="51"/>
      <c r="Y9" s="52"/>
      <c r="Z9" s="18"/>
      <c r="AA9" s="18"/>
      <c r="AB9" s="18"/>
      <c r="AC9" s="18"/>
      <c r="AD9" s="18"/>
      <c r="AE9" s="18"/>
      <c r="AF9" s="18"/>
    </row>
    <row r="10" ht="15.75" customHeight="1">
      <c r="A10" s="53"/>
      <c r="B10" s="54" t="s">
        <v>22</v>
      </c>
      <c r="C10" s="55"/>
      <c r="D10" s="56"/>
      <c r="E10" s="57"/>
      <c r="F10" s="56"/>
      <c r="G10" s="57"/>
      <c r="H10" s="56"/>
      <c r="I10" s="58"/>
      <c r="J10" s="56"/>
      <c r="K10" s="57"/>
      <c r="L10" s="56"/>
      <c r="M10" s="59"/>
      <c r="N10" s="56"/>
      <c r="O10" s="59"/>
      <c r="P10" s="56"/>
      <c r="Q10" s="60"/>
      <c r="R10" s="61" t="s">
        <v>23</v>
      </c>
      <c r="S10" s="57"/>
      <c r="T10" s="62"/>
      <c r="U10" s="57"/>
      <c r="V10" s="56"/>
      <c r="W10" s="57"/>
      <c r="X10" s="63"/>
      <c r="Y10" s="64"/>
      <c r="Z10" s="18"/>
      <c r="AA10" s="18"/>
      <c r="AB10" s="18"/>
      <c r="AC10" s="18"/>
      <c r="AD10" s="18"/>
      <c r="AE10" s="18"/>
      <c r="AF10" s="18"/>
    </row>
    <row r="11" ht="15.75" customHeight="1">
      <c r="A11" s="53"/>
      <c r="B11" s="65" t="s">
        <v>24</v>
      </c>
      <c r="C11" s="55"/>
      <c r="D11" s="56"/>
      <c r="E11" s="57"/>
      <c r="F11" s="56"/>
      <c r="G11" s="57"/>
      <c r="H11" s="66"/>
      <c r="I11" s="67"/>
      <c r="J11" s="56"/>
      <c r="K11" s="57"/>
      <c r="L11" s="68"/>
      <c r="M11" s="69"/>
      <c r="N11" s="68"/>
      <c r="O11" s="69"/>
      <c r="P11" s="66"/>
      <c r="Q11" s="69"/>
      <c r="R11" s="61" t="s">
        <v>23</v>
      </c>
      <c r="S11" s="70"/>
      <c r="T11" s="71"/>
      <c r="U11" s="70"/>
      <c r="V11" s="71"/>
      <c r="W11" s="70"/>
      <c r="X11" s="72"/>
      <c r="Y11" s="64"/>
      <c r="Z11" s="18"/>
      <c r="AA11" s="18"/>
      <c r="AB11" s="18"/>
      <c r="AC11" s="18"/>
      <c r="AD11" s="18"/>
      <c r="AE11" s="18"/>
      <c r="AF11" s="18"/>
    </row>
    <row r="12" ht="15.75" customHeight="1">
      <c r="A12" s="53"/>
      <c r="B12" s="65" t="s">
        <v>25</v>
      </c>
      <c r="C12" s="55"/>
      <c r="D12" s="73"/>
      <c r="E12" s="67"/>
      <c r="F12" s="66"/>
      <c r="G12" s="67"/>
      <c r="H12" s="66"/>
      <c r="I12" s="67"/>
      <c r="J12" s="66"/>
      <c r="K12" s="67"/>
      <c r="L12" s="74"/>
      <c r="M12" s="69"/>
      <c r="N12" s="74"/>
      <c r="O12" s="69"/>
      <c r="P12" s="73"/>
      <c r="Q12" s="69"/>
      <c r="R12" s="61" t="s">
        <v>23</v>
      </c>
      <c r="S12" s="70"/>
      <c r="T12" s="71"/>
      <c r="U12" s="70"/>
      <c r="V12" s="71"/>
      <c r="W12" s="70"/>
      <c r="X12" s="72"/>
      <c r="Y12" s="64"/>
      <c r="Z12" s="18"/>
      <c r="AA12" s="18"/>
      <c r="AB12" s="18"/>
      <c r="AC12" s="18"/>
      <c r="AD12" s="18"/>
      <c r="AE12" s="18"/>
      <c r="AF12" s="18"/>
    </row>
    <row r="13" ht="15.75" customHeight="1">
      <c r="A13" s="53"/>
      <c r="B13" s="65" t="s">
        <v>26</v>
      </c>
      <c r="C13" s="75"/>
      <c r="D13" s="66"/>
      <c r="E13" s="67"/>
      <c r="F13" s="66"/>
      <c r="G13" s="67"/>
      <c r="H13" s="66"/>
      <c r="I13" s="67"/>
      <c r="J13" s="68"/>
      <c r="K13" s="69"/>
      <c r="L13" s="68"/>
      <c r="M13" s="69"/>
      <c r="N13" s="68"/>
      <c r="O13" s="69"/>
      <c r="P13" s="66"/>
      <c r="Q13" s="69"/>
      <c r="R13" s="61" t="s">
        <v>23</v>
      </c>
      <c r="S13" s="76"/>
      <c r="T13" s="77"/>
      <c r="U13" s="78"/>
      <c r="V13" s="71"/>
      <c r="W13" s="70"/>
      <c r="X13" s="72"/>
      <c r="Y13" s="64"/>
      <c r="Z13" s="18"/>
      <c r="AA13" s="18"/>
      <c r="AB13" s="18"/>
      <c r="AC13" s="18"/>
      <c r="AD13" s="18"/>
      <c r="AE13" s="18"/>
      <c r="AF13" s="18"/>
    </row>
    <row r="14" ht="15.75" customHeight="1">
      <c r="A14" s="53"/>
      <c r="B14" s="65" t="s">
        <v>27</v>
      </c>
      <c r="C14" s="55"/>
      <c r="D14" s="66"/>
      <c r="E14" s="67"/>
      <c r="F14" s="66"/>
      <c r="G14" s="67"/>
      <c r="H14" s="66"/>
      <c r="I14" s="67"/>
      <c r="J14" s="66"/>
      <c r="K14" s="67"/>
      <c r="L14" s="68"/>
      <c r="M14" s="69"/>
      <c r="N14" s="68"/>
      <c r="O14" s="69"/>
      <c r="P14" s="66"/>
      <c r="Q14" s="79"/>
      <c r="R14" s="61" t="s">
        <v>23</v>
      </c>
      <c r="S14" s="76"/>
      <c r="T14" s="62"/>
      <c r="U14" s="80"/>
      <c r="V14" s="81"/>
      <c r="W14" s="70"/>
      <c r="X14" s="72"/>
      <c r="Y14" s="64"/>
      <c r="Z14" s="18"/>
      <c r="AA14" s="18"/>
      <c r="AB14" s="18"/>
      <c r="AC14" s="18"/>
      <c r="AD14" s="18"/>
      <c r="AE14" s="18"/>
      <c r="AF14" s="18"/>
    </row>
    <row r="15" ht="17.25" customHeight="1">
      <c r="A15" s="53"/>
      <c r="B15" s="65" t="s">
        <v>28</v>
      </c>
      <c r="C15" s="55"/>
      <c r="D15" s="66"/>
      <c r="E15" s="67"/>
      <c r="F15" s="66"/>
      <c r="G15" s="67"/>
      <c r="H15" s="66"/>
      <c r="I15" s="67"/>
      <c r="J15" s="66"/>
      <c r="K15" s="67"/>
      <c r="L15" s="68"/>
      <c r="M15" s="69"/>
      <c r="N15" s="68"/>
      <c r="O15" s="69"/>
      <c r="P15" s="66"/>
      <c r="Q15" s="69"/>
      <c r="R15" s="61" t="s">
        <v>23</v>
      </c>
      <c r="S15" s="70"/>
      <c r="T15" s="71"/>
      <c r="U15" s="70"/>
      <c r="V15" s="71"/>
      <c r="W15" s="70"/>
      <c r="X15" s="82"/>
      <c r="Y15" s="83"/>
      <c r="Z15" s="18"/>
      <c r="AA15" s="18"/>
      <c r="AB15" s="18"/>
      <c r="AC15" s="18"/>
      <c r="AD15" s="18"/>
      <c r="AE15" s="18"/>
      <c r="AF15" s="18"/>
    </row>
    <row r="16" ht="13.5" customHeight="1">
      <c r="A16" s="45">
        <v>2.0</v>
      </c>
      <c r="B16" s="46" t="s">
        <v>29</v>
      </c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8"/>
      <c r="Z16" s="18"/>
      <c r="AA16" s="18"/>
      <c r="AB16" s="18"/>
      <c r="AC16" s="18"/>
      <c r="AD16" s="18"/>
      <c r="AE16" s="18"/>
      <c r="AF16" s="18"/>
    </row>
    <row r="17" ht="13.5" customHeight="1">
      <c r="A17" s="49"/>
      <c r="B17" s="50"/>
      <c r="C17" s="51"/>
      <c r="D17" s="51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  <c r="R17" s="51"/>
      <c r="S17" s="51"/>
      <c r="T17" s="51"/>
      <c r="U17" s="51"/>
      <c r="V17" s="51"/>
      <c r="W17" s="51"/>
      <c r="X17" s="51"/>
      <c r="Y17" s="52"/>
      <c r="Z17" s="18"/>
      <c r="AA17" s="18"/>
      <c r="AB17" s="18"/>
      <c r="AC17" s="18"/>
      <c r="AD17" s="18"/>
      <c r="AE17" s="18"/>
      <c r="AF17" s="18" t="s">
        <v>21</v>
      </c>
    </row>
    <row r="18" ht="15.75" customHeight="1">
      <c r="A18" s="53"/>
      <c r="B18" s="54" t="s">
        <v>30</v>
      </c>
      <c r="C18" s="55"/>
      <c r="D18" s="56"/>
      <c r="E18" s="57"/>
      <c r="F18" s="56"/>
      <c r="G18" s="57"/>
      <c r="H18" s="56"/>
      <c r="I18" s="58"/>
      <c r="J18" s="61" t="s">
        <v>23</v>
      </c>
      <c r="K18" s="57"/>
      <c r="L18" s="62"/>
      <c r="M18" s="57"/>
      <c r="N18" s="62"/>
      <c r="O18" s="57"/>
      <c r="P18" s="62"/>
      <c r="Q18" s="57"/>
      <c r="R18" s="62"/>
      <c r="S18" s="57"/>
      <c r="T18" s="62"/>
      <c r="U18" s="57"/>
      <c r="V18" s="56"/>
      <c r="W18" s="57"/>
      <c r="X18" s="63"/>
      <c r="Y18" s="64"/>
      <c r="Z18" s="84"/>
      <c r="AA18" s="85"/>
      <c r="AB18" s="85"/>
      <c r="AC18" s="18"/>
      <c r="AD18" s="18"/>
      <c r="AE18" s="18"/>
      <c r="AF18" s="18"/>
    </row>
    <row r="19" ht="15.75" customHeight="1">
      <c r="A19" s="53"/>
      <c r="B19" s="65" t="s">
        <v>31</v>
      </c>
      <c r="C19" s="55"/>
      <c r="D19" s="66"/>
      <c r="E19" s="67"/>
      <c r="F19" s="66"/>
      <c r="G19" s="67"/>
      <c r="H19" s="66"/>
      <c r="I19" s="67"/>
      <c r="J19" s="61" t="s">
        <v>23</v>
      </c>
      <c r="K19" s="70"/>
      <c r="L19" s="62"/>
      <c r="M19" s="57"/>
      <c r="N19" s="62"/>
      <c r="O19" s="57"/>
      <c r="P19" s="62"/>
      <c r="Q19" s="57"/>
      <c r="R19" s="62"/>
      <c r="S19" s="57"/>
      <c r="T19" s="62"/>
      <c r="U19" s="57"/>
      <c r="V19" s="56"/>
      <c r="W19" s="57"/>
      <c r="X19" s="63"/>
      <c r="Y19" s="64"/>
      <c r="Z19" s="84"/>
      <c r="AA19" s="85"/>
      <c r="AB19" s="85"/>
      <c r="AC19" s="18"/>
      <c r="AD19" s="18"/>
      <c r="AE19" s="18"/>
      <c r="AF19" s="18"/>
    </row>
    <row r="20" ht="15.0" customHeight="1">
      <c r="A20" s="86"/>
      <c r="B20" s="65" t="s">
        <v>32</v>
      </c>
      <c r="C20" s="55"/>
      <c r="D20" s="56"/>
      <c r="E20" s="57"/>
      <c r="F20" s="56"/>
      <c r="G20" s="57"/>
      <c r="H20" s="56"/>
      <c r="I20" s="57"/>
      <c r="J20" s="61" t="s">
        <v>23</v>
      </c>
      <c r="K20" s="57"/>
      <c r="L20" s="62"/>
      <c r="M20" s="57"/>
      <c r="N20" s="62"/>
      <c r="O20" s="57"/>
      <c r="P20" s="62"/>
      <c r="Q20" s="57"/>
      <c r="R20" s="62"/>
      <c r="S20" s="57"/>
      <c r="T20" s="62"/>
      <c r="U20" s="57"/>
      <c r="V20" s="56"/>
      <c r="W20" s="57"/>
      <c r="X20" s="63"/>
      <c r="Y20" s="64"/>
      <c r="Z20" s="84"/>
      <c r="AA20" s="85"/>
      <c r="AB20" s="85"/>
      <c r="AC20" s="18"/>
      <c r="AD20" s="18"/>
      <c r="AE20" s="18"/>
      <c r="AF20" s="18"/>
    </row>
    <row r="21" ht="13.5" customHeight="1">
      <c r="A21" s="45">
        <v>3.0</v>
      </c>
      <c r="B21" s="46" t="s">
        <v>33</v>
      </c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8"/>
      <c r="Z21" s="84"/>
      <c r="AA21" s="85"/>
      <c r="AB21" s="85"/>
      <c r="AC21" s="18"/>
      <c r="AD21" s="18"/>
      <c r="AE21" s="18"/>
      <c r="AF21" s="18"/>
    </row>
    <row r="22" ht="13.5" customHeight="1">
      <c r="A22" s="49"/>
      <c r="B22" s="50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2"/>
      <c r="Z22" s="84"/>
      <c r="AA22" s="85"/>
      <c r="AB22" s="85"/>
      <c r="AC22" s="18"/>
      <c r="AD22" s="18"/>
      <c r="AE22" s="18"/>
      <c r="AF22" s="18"/>
    </row>
    <row r="23" ht="15.75" customHeight="1">
      <c r="A23" s="53"/>
      <c r="B23" s="54" t="s">
        <v>34</v>
      </c>
      <c r="C23" s="55"/>
      <c r="D23" s="56"/>
      <c r="E23" s="57"/>
      <c r="F23" s="56"/>
      <c r="G23" s="57"/>
      <c r="H23" s="56"/>
      <c r="I23" s="58"/>
      <c r="J23" s="56"/>
      <c r="K23" s="57"/>
      <c r="L23" s="61" t="s">
        <v>23</v>
      </c>
      <c r="M23" s="57"/>
      <c r="N23" s="62"/>
      <c r="O23" s="57"/>
      <c r="P23" s="62"/>
      <c r="Q23" s="57"/>
      <c r="R23" s="62"/>
      <c r="S23" s="57"/>
      <c r="T23" s="62"/>
      <c r="U23" s="57"/>
      <c r="V23" s="56"/>
      <c r="W23" s="57"/>
      <c r="X23" s="63"/>
      <c r="Y23" s="64"/>
      <c r="Z23" s="84"/>
      <c r="AA23" s="85"/>
      <c r="AB23" s="85"/>
      <c r="AC23" s="18"/>
      <c r="AD23" s="18"/>
      <c r="AE23" s="18"/>
      <c r="AF23" s="18"/>
    </row>
    <row r="24" ht="15.75" customHeight="1">
      <c r="A24" s="53"/>
      <c r="B24" s="65" t="s">
        <v>35</v>
      </c>
      <c r="C24" s="55"/>
      <c r="D24" s="66"/>
      <c r="E24" s="67"/>
      <c r="F24" s="66"/>
      <c r="G24" s="67"/>
      <c r="H24" s="87"/>
      <c r="I24" s="67"/>
      <c r="J24" s="87"/>
      <c r="K24" s="67"/>
      <c r="L24" s="61" t="s">
        <v>23</v>
      </c>
      <c r="M24" s="57"/>
      <c r="N24" s="62"/>
      <c r="O24" s="57"/>
      <c r="P24" s="62"/>
      <c r="Q24" s="57"/>
      <c r="R24" s="62"/>
      <c r="S24" s="57"/>
      <c r="T24" s="62"/>
      <c r="U24" s="57"/>
      <c r="V24" s="56"/>
      <c r="W24" s="57"/>
      <c r="X24" s="63"/>
      <c r="Y24" s="64"/>
      <c r="Z24" s="84"/>
      <c r="AA24" s="85"/>
      <c r="AB24" s="85"/>
      <c r="AC24" s="18"/>
      <c r="AD24" s="18"/>
      <c r="AE24" s="18"/>
      <c r="AF24" s="18"/>
    </row>
    <row r="25" ht="16.5" customHeight="1">
      <c r="A25" s="86"/>
      <c r="B25" s="65" t="s">
        <v>36</v>
      </c>
      <c r="C25" s="55"/>
      <c r="D25" s="56"/>
      <c r="E25" s="57"/>
      <c r="F25" s="56"/>
      <c r="G25" s="57"/>
      <c r="H25" s="56"/>
      <c r="I25" s="57"/>
      <c r="J25" s="56"/>
      <c r="K25" s="57"/>
      <c r="L25" s="61" t="s">
        <v>23</v>
      </c>
      <c r="M25" s="57"/>
      <c r="N25" s="62"/>
      <c r="O25" s="57"/>
      <c r="P25" s="62"/>
      <c r="Q25" s="57"/>
      <c r="R25" s="62"/>
      <c r="S25" s="57"/>
      <c r="T25" s="62"/>
      <c r="U25" s="57"/>
      <c r="V25" s="56"/>
      <c r="W25" s="57"/>
      <c r="X25" s="63"/>
      <c r="Y25" s="64"/>
      <c r="Z25" s="84"/>
      <c r="AA25" s="85"/>
      <c r="AB25" s="85"/>
      <c r="AC25" s="18"/>
      <c r="AD25" s="18"/>
      <c r="AE25" s="18"/>
      <c r="AF25" s="18"/>
    </row>
    <row r="26" ht="13.5" customHeight="1">
      <c r="A26" s="45">
        <v>4.0</v>
      </c>
      <c r="B26" s="46" t="s">
        <v>37</v>
      </c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8"/>
      <c r="Z26" s="84"/>
      <c r="AA26" s="85"/>
      <c r="AB26" s="85"/>
      <c r="AC26" s="18"/>
      <c r="AD26" s="18"/>
      <c r="AE26" s="18"/>
      <c r="AF26" s="18"/>
    </row>
    <row r="27" ht="13.5" customHeight="1">
      <c r="A27" s="49"/>
      <c r="B27" s="50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2"/>
      <c r="Z27" s="84"/>
      <c r="AA27" s="85"/>
      <c r="AB27" s="85"/>
      <c r="AC27" s="18"/>
      <c r="AD27" s="18"/>
      <c r="AE27" s="18"/>
      <c r="AF27" s="18"/>
    </row>
    <row r="28" ht="15.75" customHeight="1">
      <c r="A28" s="53"/>
      <c r="B28" s="54" t="s">
        <v>38</v>
      </c>
      <c r="C28" s="55"/>
      <c r="D28" s="56"/>
      <c r="E28" s="57"/>
      <c r="F28" s="61" t="s">
        <v>23</v>
      </c>
      <c r="G28" s="57"/>
      <c r="H28" s="62"/>
      <c r="I28" s="58"/>
      <c r="J28" s="62"/>
      <c r="K28" s="57"/>
      <c r="L28" s="62"/>
      <c r="M28" s="57"/>
      <c r="N28" s="62"/>
      <c r="O28" s="57"/>
      <c r="P28" s="62"/>
      <c r="Q28" s="57"/>
      <c r="R28" s="62"/>
      <c r="S28" s="57"/>
      <c r="T28" s="62"/>
      <c r="U28" s="57"/>
      <c r="V28" s="56"/>
      <c r="W28" s="57"/>
      <c r="X28" s="63"/>
      <c r="Y28" s="64"/>
      <c r="Z28" s="84"/>
      <c r="AA28" s="85"/>
      <c r="AB28" s="85"/>
      <c r="AC28" s="18"/>
      <c r="AD28" s="18"/>
      <c r="AE28" s="18"/>
      <c r="AF28" s="18"/>
    </row>
    <row r="29" ht="15.75" customHeight="1">
      <c r="A29" s="53"/>
      <c r="B29" s="65" t="s">
        <v>39</v>
      </c>
      <c r="C29" s="55"/>
      <c r="D29" s="88"/>
      <c r="E29" s="67"/>
      <c r="F29" s="61" t="s">
        <v>23</v>
      </c>
      <c r="G29" s="70"/>
      <c r="H29" s="71"/>
      <c r="I29" s="70"/>
      <c r="J29" s="89"/>
      <c r="K29" s="70"/>
      <c r="L29" s="62"/>
      <c r="M29" s="57"/>
      <c r="N29" s="62"/>
      <c r="O29" s="57"/>
      <c r="P29" s="62"/>
      <c r="Q29" s="57"/>
      <c r="R29" s="62"/>
      <c r="S29" s="57"/>
      <c r="T29" s="62"/>
      <c r="U29" s="57"/>
      <c r="V29" s="56"/>
      <c r="W29" s="57"/>
      <c r="X29" s="63"/>
      <c r="Y29" s="64"/>
      <c r="Z29" s="84"/>
      <c r="AA29" s="85"/>
      <c r="AB29" s="85"/>
      <c r="AC29" s="18"/>
      <c r="AD29" s="18"/>
      <c r="AE29" s="18"/>
      <c r="AF29" s="18"/>
    </row>
    <row r="30" ht="14.25" customHeight="1">
      <c r="A30" s="86"/>
      <c r="B30" s="65" t="s">
        <v>40</v>
      </c>
      <c r="C30" s="55"/>
      <c r="D30" s="87"/>
      <c r="E30" s="57"/>
      <c r="F30" s="61" t="s">
        <v>23</v>
      </c>
      <c r="G30" s="57"/>
      <c r="H30" s="62"/>
      <c r="I30" s="57"/>
      <c r="J30" s="62"/>
      <c r="K30" s="57"/>
      <c r="L30" s="62"/>
      <c r="M30" s="57"/>
      <c r="N30" s="62"/>
      <c r="O30" s="57"/>
      <c r="P30" s="62"/>
      <c r="Q30" s="57"/>
      <c r="R30" s="62"/>
      <c r="S30" s="57"/>
      <c r="T30" s="62"/>
      <c r="U30" s="57"/>
      <c r="V30" s="56"/>
      <c r="W30" s="57"/>
      <c r="X30" s="63"/>
      <c r="Y30" s="64"/>
      <c r="Z30" s="84"/>
      <c r="AA30" s="85"/>
      <c r="AB30" s="85"/>
      <c r="AC30" s="18"/>
      <c r="AD30" s="18"/>
      <c r="AE30" s="18"/>
      <c r="AF30" s="18"/>
    </row>
    <row r="31" ht="13.5" customHeight="1">
      <c r="A31" s="45">
        <v>5.0</v>
      </c>
      <c r="B31" s="46" t="s">
        <v>41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8"/>
      <c r="Z31" s="84"/>
      <c r="AA31" s="85"/>
      <c r="AB31" s="85"/>
      <c r="AC31" s="18"/>
      <c r="AD31" s="18"/>
      <c r="AE31" s="18"/>
      <c r="AF31" s="18"/>
    </row>
    <row r="32" ht="13.5" customHeight="1">
      <c r="A32" s="49"/>
      <c r="B32" s="50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2"/>
      <c r="Z32" s="84"/>
      <c r="AA32" s="85"/>
      <c r="AB32" s="85"/>
      <c r="AC32" s="18"/>
      <c r="AD32" s="18"/>
      <c r="AE32" s="18"/>
      <c r="AF32" s="18"/>
    </row>
    <row r="33" ht="18.0" customHeight="1">
      <c r="A33" s="53"/>
      <c r="B33" s="54" t="s">
        <v>42</v>
      </c>
      <c r="C33" s="55"/>
      <c r="D33" s="56"/>
      <c r="E33" s="57"/>
      <c r="F33" s="61" t="s">
        <v>23</v>
      </c>
      <c r="G33" s="57"/>
      <c r="H33" s="62"/>
      <c r="I33" s="58"/>
      <c r="J33" s="62"/>
      <c r="K33" s="57"/>
      <c r="L33" s="62"/>
      <c r="M33" s="57"/>
      <c r="N33" s="62"/>
      <c r="O33" s="57"/>
      <c r="P33" s="62"/>
      <c r="Q33" s="57"/>
      <c r="R33" s="62"/>
      <c r="S33" s="57"/>
      <c r="T33" s="62"/>
      <c r="U33" s="57"/>
      <c r="V33" s="56"/>
      <c r="W33" s="57"/>
      <c r="X33" s="63"/>
      <c r="Y33" s="64"/>
      <c r="Z33" s="84"/>
      <c r="AA33" s="85"/>
      <c r="AB33" s="85"/>
      <c r="AC33" s="18"/>
      <c r="AD33" s="18"/>
      <c r="AE33" s="18"/>
      <c r="AF33" s="18"/>
    </row>
    <row r="34" ht="17.25" customHeight="1">
      <c r="A34" s="53"/>
      <c r="B34" s="65" t="s">
        <v>43</v>
      </c>
      <c r="C34" s="55"/>
      <c r="D34" s="88"/>
      <c r="E34" s="67"/>
      <c r="F34" s="61" t="s">
        <v>23</v>
      </c>
      <c r="G34" s="70"/>
      <c r="H34" s="71"/>
      <c r="I34" s="70"/>
      <c r="J34" s="71"/>
      <c r="K34" s="70"/>
      <c r="L34" s="62"/>
      <c r="M34" s="57"/>
      <c r="N34" s="62"/>
      <c r="O34" s="57"/>
      <c r="P34" s="62"/>
      <c r="Q34" s="57"/>
      <c r="R34" s="62"/>
      <c r="S34" s="57"/>
      <c r="T34" s="62"/>
      <c r="U34" s="57"/>
      <c r="V34" s="56"/>
      <c r="W34" s="57"/>
      <c r="X34" s="63"/>
      <c r="Y34" s="64"/>
      <c r="Z34" s="84"/>
      <c r="AA34" s="85"/>
      <c r="AB34" s="85"/>
      <c r="AC34" s="18"/>
      <c r="AD34" s="18"/>
      <c r="AE34" s="18"/>
      <c r="AF34" s="18"/>
    </row>
    <row r="35" ht="16.5" customHeight="1">
      <c r="A35" s="86"/>
      <c r="B35" s="65" t="s">
        <v>44</v>
      </c>
      <c r="C35" s="55"/>
      <c r="D35" s="87"/>
      <c r="E35" s="90"/>
      <c r="F35" s="61" t="s">
        <v>23</v>
      </c>
      <c r="G35" s="57"/>
      <c r="H35" s="62"/>
      <c r="I35" s="57"/>
      <c r="J35" s="62"/>
      <c r="K35" s="57"/>
      <c r="L35" s="62"/>
      <c r="M35" s="57"/>
      <c r="N35" s="62"/>
      <c r="O35" s="57"/>
      <c r="P35" s="62"/>
      <c r="Q35" s="57"/>
      <c r="R35" s="62"/>
      <c r="S35" s="57"/>
      <c r="T35" s="62"/>
      <c r="U35" s="57"/>
      <c r="V35" s="56"/>
      <c r="W35" s="57"/>
      <c r="X35" s="63"/>
      <c r="Y35" s="64"/>
      <c r="Z35" s="84"/>
      <c r="AA35" s="85"/>
      <c r="AB35" s="85"/>
      <c r="AC35" s="18"/>
      <c r="AD35" s="18"/>
      <c r="AE35" s="18"/>
      <c r="AF35" s="18"/>
    </row>
    <row r="36" ht="13.5" customHeight="1">
      <c r="A36" s="45">
        <v>6.0</v>
      </c>
      <c r="B36" s="46" t="s">
        <v>45</v>
      </c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8"/>
      <c r="Z36" s="84"/>
      <c r="AA36" s="85"/>
      <c r="AB36" s="85"/>
      <c r="AC36" s="18"/>
      <c r="AD36" s="18"/>
      <c r="AE36" s="18"/>
      <c r="AF36" s="18"/>
    </row>
    <row r="37" ht="13.5" customHeight="1">
      <c r="A37" s="49"/>
      <c r="B37" s="50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2"/>
      <c r="Z37" s="84"/>
      <c r="AA37" s="85"/>
      <c r="AB37" s="85"/>
      <c r="AC37" s="18"/>
      <c r="AD37" s="18"/>
      <c r="AE37" s="18"/>
      <c r="AF37" s="18"/>
    </row>
    <row r="38" ht="17.25" customHeight="1">
      <c r="A38" s="53"/>
      <c r="B38" s="91" t="s">
        <v>46</v>
      </c>
      <c r="C38" s="55"/>
      <c r="D38" s="56"/>
      <c r="E38" s="57"/>
      <c r="F38" s="61" t="s">
        <v>23</v>
      </c>
      <c r="G38" s="57"/>
      <c r="H38" s="62"/>
      <c r="I38" s="58"/>
      <c r="J38" s="62"/>
      <c r="K38" s="57"/>
      <c r="L38" s="62"/>
      <c r="M38" s="57"/>
      <c r="N38" s="62"/>
      <c r="O38" s="57"/>
      <c r="P38" s="62"/>
      <c r="Q38" s="57"/>
      <c r="R38" s="62"/>
      <c r="S38" s="57"/>
      <c r="T38" s="62"/>
      <c r="U38" s="57"/>
      <c r="V38" s="56"/>
      <c r="W38" s="57"/>
      <c r="X38" s="63"/>
      <c r="Y38" s="64"/>
      <c r="Z38" s="84"/>
      <c r="AA38" s="85"/>
      <c r="AB38" s="85"/>
      <c r="AC38" s="18"/>
      <c r="AD38" s="18"/>
      <c r="AE38" s="18"/>
      <c r="AF38" s="18"/>
    </row>
    <row r="39" ht="15.75" customHeight="1">
      <c r="A39" s="53"/>
      <c r="B39" s="91" t="s">
        <v>47</v>
      </c>
      <c r="C39" s="55"/>
      <c r="D39" s="66"/>
      <c r="E39" s="67"/>
      <c r="F39" s="61" t="s">
        <v>23</v>
      </c>
      <c r="G39" s="70"/>
      <c r="H39" s="71" t="s">
        <v>21</v>
      </c>
      <c r="I39" s="70"/>
      <c r="J39" s="71"/>
      <c r="K39" s="70"/>
      <c r="L39" s="62"/>
      <c r="M39" s="57"/>
      <c r="N39" s="62"/>
      <c r="O39" s="57"/>
      <c r="P39" s="62"/>
      <c r="Q39" s="57"/>
      <c r="R39" s="62"/>
      <c r="S39" s="57"/>
      <c r="T39" s="62"/>
      <c r="U39" s="57"/>
      <c r="V39" s="56"/>
      <c r="W39" s="57"/>
      <c r="X39" s="63"/>
      <c r="Y39" s="64"/>
      <c r="Z39" s="84"/>
      <c r="AA39" s="85"/>
      <c r="AB39" s="85"/>
      <c r="AC39" s="18"/>
      <c r="AD39" s="18"/>
      <c r="AE39" s="18"/>
      <c r="AF39" s="18"/>
    </row>
    <row r="40" ht="18.0" customHeight="1">
      <c r="A40" s="86"/>
      <c r="B40" s="91" t="s">
        <v>48</v>
      </c>
      <c r="C40" s="55"/>
      <c r="D40" s="62"/>
      <c r="E40" s="57"/>
      <c r="F40" s="61" t="s">
        <v>23</v>
      </c>
      <c r="G40" s="57"/>
      <c r="H40" s="62"/>
      <c r="I40" s="57"/>
      <c r="J40" s="62"/>
      <c r="K40" s="57"/>
      <c r="L40" s="62"/>
      <c r="M40" s="57"/>
      <c r="N40" s="62"/>
      <c r="O40" s="57"/>
      <c r="P40" s="62"/>
      <c r="Q40" s="57"/>
      <c r="R40" s="62"/>
      <c r="S40" s="57"/>
      <c r="T40" s="62"/>
      <c r="U40" s="57"/>
      <c r="V40" s="56"/>
      <c r="W40" s="57"/>
      <c r="X40" s="63"/>
      <c r="Y40" s="64"/>
      <c r="Z40" s="84"/>
      <c r="AA40" s="85"/>
      <c r="AB40" s="85"/>
      <c r="AC40" s="18"/>
      <c r="AD40" s="18"/>
      <c r="AE40" s="18"/>
      <c r="AF40" s="18"/>
    </row>
    <row r="41" ht="13.5" customHeight="1">
      <c r="A41" s="45">
        <v>7.0</v>
      </c>
      <c r="B41" s="46" t="s">
        <v>49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8"/>
      <c r="Z41" s="84"/>
      <c r="AA41" s="85"/>
      <c r="AB41" s="85"/>
      <c r="AC41" s="18"/>
      <c r="AD41" s="18"/>
      <c r="AE41" s="18"/>
      <c r="AF41" s="18"/>
    </row>
    <row r="42" ht="13.5" customHeight="1">
      <c r="A42" s="49"/>
      <c r="B42" s="50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2"/>
      <c r="Z42" s="84"/>
      <c r="AA42" s="85"/>
      <c r="AB42" s="85"/>
      <c r="AC42" s="18"/>
      <c r="AD42" s="18"/>
      <c r="AE42" s="18"/>
      <c r="AF42" s="18"/>
    </row>
    <row r="43" ht="15.75" customHeight="1">
      <c r="A43" s="53"/>
      <c r="B43" s="54" t="s">
        <v>50</v>
      </c>
      <c r="C43" s="55"/>
      <c r="D43" s="56"/>
      <c r="E43" s="57"/>
      <c r="F43" s="61" t="s">
        <v>23</v>
      </c>
      <c r="G43" s="57"/>
      <c r="H43" s="62"/>
      <c r="I43" s="58"/>
      <c r="J43" s="62"/>
      <c r="K43" s="57"/>
      <c r="L43" s="62"/>
      <c r="M43" s="57"/>
      <c r="N43" s="62"/>
      <c r="O43" s="57"/>
      <c r="P43" s="62"/>
      <c r="Q43" s="57"/>
      <c r="R43" s="62"/>
      <c r="S43" s="57"/>
      <c r="T43" s="62"/>
      <c r="U43" s="57"/>
      <c r="V43" s="56"/>
      <c r="W43" s="57"/>
      <c r="X43" s="63"/>
      <c r="Y43" s="64"/>
      <c r="Z43" s="84"/>
      <c r="AA43" s="85"/>
      <c r="AB43" s="85"/>
      <c r="AC43" s="18"/>
      <c r="AD43" s="18"/>
      <c r="AE43" s="18"/>
      <c r="AF43" s="18"/>
    </row>
    <row r="44" ht="15.0" customHeight="1">
      <c r="A44" s="53"/>
      <c r="B44" s="65" t="s">
        <v>51</v>
      </c>
      <c r="C44" s="55"/>
      <c r="D44" s="66"/>
      <c r="E44" s="67"/>
      <c r="F44" s="61" t="s">
        <v>23</v>
      </c>
      <c r="G44" s="70"/>
      <c r="H44" s="71"/>
      <c r="I44" s="70"/>
      <c r="J44" s="71"/>
      <c r="K44" s="70"/>
      <c r="L44" s="62"/>
      <c r="M44" s="57"/>
      <c r="N44" s="62"/>
      <c r="O44" s="57"/>
      <c r="P44" s="62"/>
      <c r="Q44" s="57"/>
      <c r="R44" s="62"/>
      <c r="S44" s="57"/>
      <c r="T44" s="62"/>
      <c r="U44" s="57"/>
      <c r="V44" s="56"/>
      <c r="W44" s="57"/>
      <c r="X44" s="63"/>
      <c r="Y44" s="64"/>
      <c r="Z44" s="84"/>
      <c r="AA44" s="85"/>
      <c r="AB44" s="85"/>
      <c r="AC44" s="18"/>
      <c r="AD44" s="18"/>
      <c r="AE44" s="18"/>
      <c r="AF44" s="18"/>
    </row>
    <row r="45" ht="15.0" customHeight="1">
      <c r="A45" s="86"/>
      <c r="B45" s="65" t="s">
        <v>52</v>
      </c>
      <c r="C45" s="55"/>
      <c r="D45" s="62"/>
      <c r="E45" s="57"/>
      <c r="F45" s="61" t="s">
        <v>23</v>
      </c>
      <c r="G45" s="57"/>
      <c r="H45" s="62"/>
      <c r="I45" s="57"/>
      <c r="J45" s="62"/>
      <c r="K45" s="57"/>
      <c r="L45" s="62"/>
      <c r="M45" s="57"/>
      <c r="N45" s="62"/>
      <c r="O45" s="57"/>
      <c r="P45" s="62"/>
      <c r="Q45" s="57"/>
      <c r="R45" s="62"/>
      <c r="S45" s="57"/>
      <c r="T45" s="62"/>
      <c r="U45" s="57"/>
      <c r="V45" s="56"/>
      <c r="W45" s="57"/>
      <c r="X45" s="63"/>
      <c r="Y45" s="64"/>
      <c r="Z45" s="84"/>
      <c r="AA45" s="85"/>
      <c r="AB45" s="85"/>
      <c r="AC45" s="18"/>
      <c r="AD45" s="18"/>
      <c r="AE45" s="18"/>
      <c r="AF45" s="18"/>
    </row>
    <row r="46" ht="13.5" customHeight="1">
      <c r="A46" s="45">
        <v>8.0</v>
      </c>
      <c r="B46" s="46" t="s">
        <v>53</v>
      </c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8"/>
      <c r="Z46" s="84"/>
      <c r="AA46" s="85"/>
      <c r="AB46" s="85"/>
      <c r="AC46" s="18"/>
      <c r="AD46" s="18"/>
      <c r="AE46" s="18"/>
      <c r="AF46" s="18"/>
    </row>
    <row r="47" ht="13.5" customHeight="1">
      <c r="A47" s="49"/>
      <c r="B47" s="50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2"/>
      <c r="Z47" s="84"/>
      <c r="AA47" s="85"/>
      <c r="AB47" s="85"/>
      <c r="AC47" s="18"/>
      <c r="AD47" s="18"/>
      <c r="AE47" s="18"/>
      <c r="AF47" s="18"/>
    </row>
    <row r="48" ht="15.75" customHeight="1">
      <c r="A48" s="53"/>
      <c r="B48" s="54" t="s">
        <v>54</v>
      </c>
      <c r="C48" s="55"/>
      <c r="D48" s="56"/>
      <c r="E48" s="57"/>
      <c r="F48" s="61" t="s">
        <v>23</v>
      </c>
      <c r="G48" s="57"/>
      <c r="H48" s="62"/>
      <c r="I48" s="58"/>
      <c r="J48" s="62"/>
      <c r="K48" s="57"/>
      <c r="L48" s="62"/>
      <c r="M48" s="57"/>
      <c r="N48" s="62"/>
      <c r="O48" s="57"/>
      <c r="P48" s="62"/>
      <c r="Q48" s="57"/>
      <c r="R48" s="62"/>
      <c r="S48" s="57"/>
      <c r="T48" s="62"/>
      <c r="U48" s="57"/>
      <c r="V48" s="56"/>
      <c r="W48" s="57"/>
      <c r="X48" s="63"/>
      <c r="Y48" s="64"/>
      <c r="Z48" s="84"/>
      <c r="AA48" s="85"/>
      <c r="AB48" s="85"/>
      <c r="AC48" s="18"/>
      <c r="AD48" s="18"/>
      <c r="AE48" s="18"/>
      <c r="AF48" s="18"/>
    </row>
    <row r="49" ht="15.75" customHeight="1">
      <c r="A49" s="53"/>
      <c r="B49" s="65" t="s">
        <v>55</v>
      </c>
      <c r="C49" s="55"/>
      <c r="D49" s="87"/>
      <c r="E49" s="67"/>
      <c r="F49" s="61" t="s">
        <v>23</v>
      </c>
      <c r="G49" s="70"/>
      <c r="H49" s="71"/>
      <c r="I49" s="70"/>
      <c r="J49" s="71"/>
      <c r="K49" s="70"/>
      <c r="L49" s="62"/>
      <c r="M49" s="57"/>
      <c r="N49" s="62"/>
      <c r="O49" s="57"/>
      <c r="P49" s="62"/>
      <c r="Q49" s="57"/>
      <c r="R49" s="62"/>
      <c r="S49" s="57"/>
      <c r="T49" s="62"/>
      <c r="U49" s="57"/>
      <c r="V49" s="56"/>
      <c r="W49" s="57"/>
      <c r="X49" s="63"/>
      <c r="Y49" s="64"/>
      <c r="Z49" s="84"/>
      <c r="AA49" s="85"/>
      <c r="AB49" s="85"/>
      <c r="AC49" s="18"/>
      <c r="AD49" s="18"/>
      <c r="AE49" s="18"/>
      <c r="AF49" s="18"/>
    </row>
    <row r="50" ht="15.75" customHeight="1">
      <c r="A50" s="86"/>
      <c r="B50" s="65" t="s">
        <v>56</v>
      </c>
      <c r="C50" s="55"/>
      <c r="D50" s="87"/>
      <c r="E50" s="57"/>
      <c r="F50" s="61" t="s">
        <v>23</v>
      </c>
      <c r="G50" s="57"/>
      <c r="H50" s="62"/>
      <c r="I50" s="57"/>
      <c r="J50" s="62"/>
      <c r="K50" s="57"/>
      <c r="L50" s="62"/>
      <c r="M50" s="57"/>
      <c r="N50" s="62"/>
      <c r="O50" s="57"/>
      <c r="P50" s="62"/>
      <c r="Q50" s="57"/>
      <c r="R50" s="62"/>
      <c r="S50" s="57"/>
      <c r="T50" s="62"/>
      <c r="U50" s="57"/>
      <c r="V50" s="56"/>
      <c r="W50" s="57"/>
      <c r="X50" s="63"/>
      <c r="Y50" s="64"/>
      <c r="Z50" s="84"/>
      <c r="AA50" s="85"/>
      <c r="AB50" s="85"/>
      <c r="AC50" s="18"/>
      <c r="AD50" s="18"/>
      <c r="AE50" s="18"/>
      <c r="AF50" s="18"/>
    </row>
    <row r="51" ht="13.5" customHeight="1">
      <c r="A51" s="45">
        <v>9.0</v>
      </c>
      <c r="B51" s="46" t="s">
        <v>57</v>
      </c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8"/>
      <c r="Z51" s="84"/>
      <c r="AA51" s="85"/>
      <c r="AB51" s="85"/>
      <c r="AC51" s="18"/>
      <c r="AD51" s="18"/>
      <c r="AE51" s="18"/>
      <c r="AF51" s="18"/>
    </row>
    <row r="52" ht="13.5" customHeight="1">
      <c r="A52" s="49"/>
      <c r="B52" s="50"/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2"/>
      <c r="Z52" s="84"/>
      <c r="AA52" s="85"/>
      <c r="AB52" s="85"/>
      <c r="AC52" s="18"/>
      <c r="AD52" s="18"/>
      <c r="AE52" s="18"/>
      <c r="AF52" s="18"/>
    </row>
    <row r="53" ht="15.75" customHeight="1">
      <c r="A53" s="86"/>
      <c r="B53" s="54" t="s">
        <v>58</v>
      </c>
      <c r="C53" s="55"/>
      <c r="D53" s="56"/>
      <c r="E53" s="57"/>
      <c r="F53" s="61" t="s">
        <v>23</v>
      </c>
      <c r="G53" s="57"/>
      <c r="H53" s="56"/>
      <c r="I53" s="58"/>
      <c r="J53" s="56"/>
      <c r="K53" s="57"/>
      <c r="L53" s="62"/>
      <c r="M53" s="57"/>
      <c r="N53" s="62"/>
      <c r="O53" s="57"/>
      <c r="P53" s="62"/>
      <c r="Q53" s="57"/>
      <c r="R53" s="62"/>
      <c r="S53" s="57"/>
      <c r="T53" s="62"/>
      <c r="U53" s="57"/>
      <c r="V53" s="56"/>
      <c r="W53" s="57"/>
      <c r="X53" s="63"/>
      <c r="Y53" s="64"/>
      <c r="Z53" s="84"/>
      <c r="AA53" s="85"/>
      <c r="AB53" s="85"/>
      <c r="AC53" s="18"/>
      <c r="AD53" s="18"/>
      <c r="AE53" s="18"/>
      <c r="AF53" s="18"/>
    </row>
    <row r="54" ht="15.75" customHeight="1">
      <c r="A54" s="53"/>
      <c r="B54" s="65" t="s">
        <v>59</v>
      </c>
      <c r="C54" s="55"/>
      <c r="D54" s="87"/>
      <c r="E54" s="67"/>
      <c r="F54" s="61" t="s">
        <v>23</v>
      </c>
      <c r="G54" s="70"/>
      <c r="H54" s="89"/>
      <c r="I54" s="92"/>
      <c r="J54" s="89"/>
      <c r="K54" s="70"/>
      <c r="L54" s="71"/>
      <c r="M54" s="70"/>
      <c r="N54" s="71"/>
      <c r="O54" s="70"/>
      <c r="P54" s="71"/>
      <c r="Q54" s="70"/>
      <c r="R54" s="71"/>
      <c r="S54" s="70"/>
      <c r="T54" s="71"/>
      <c r="U54" s="70"/>
      <c r="V54" s="89"/>
      <c r="W54" s="70"/>
      <c r="X54" s="72"/>
      <c r="Y54" s="64"/>
      <c r="Z54" s="84"/>
      <c r="AA54" s="85"/>
      <c r="AB54" s="85"/>
      <c r="AC54" s="18"/>
      <c r="AD54" s="18"/>
      <c r="AE54" s="18"/>
      <c r="AF54" s="18"/>
    </row>
    <row r="55" ht="15.75" customHeight="1">
      <c r="A55" s="53"/>
      <c r="B55" s="65" t="s">
        <v>60</v>
      </c>
      <c r="C55" s="55"/>
      <c r="D55" s="87"/>
      <c r="E55" s="67"/>
      <c r="F55" s="61" t="s">
        <v>23</v>
      </c>
      <c r="G55" s="70"/>
      <c r="H55" s="89"/>
      <c r="I55" s="70"/>
      <c r="J55" s="89"/>
      <c r="K55" s="70"/>
      <c r="L55" s="71"/>
      <c r="M55" s="70"/>
      <c r="N55" s="71"/>
      <c r="O55" s="70"/>
      <c r="P55" s="71"/>
      <c r="Q55" s="70"/>
      <c r="R55" s="71"/>
      <c r="S55" s="70"/>
      <c r="T55" s="71"/>
      <c r="U55" s="70"/>
      <c r="V55" s="71"/>
      <c r="W55" s="70"/>
      <c r="X55" s="82"/>
      <c r="Y55" s="83"/>
      <c r="Z55" s="84"/>
      <c r="AA55" s="85"/>
      <c r="AB55" s="85"/>
      <c r="AC55" s="18"/>
      <c r="AD55" s="18"/>
      <c r="AE55" s="18"/>
      <c r="AF55" s="18"/>
    </row>
    <row r="56" ht="13.5" customHeight="1">
      <c r="A56" s="45">
        <v>10.0</v>
      </c>
      <c r="B56" s="46" t="s">
        <v>61</v>
      </c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8"/>
      <c r="Z56" s="84"/>
      <c r="AA56" s="85"/>
      <c r="AB56" s="85"/>
      <c r="AC56" s="18"/>
      <c r="AD56" s="18"/>
      <c r="AE56" s="18"/>
      <c r="AF56" s="18"/>
    </row>
    <row r="57" ht="13.5" customHeight="1">
      <c r="A57" s="49"/>
      <c r="B57" s="50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2"/>
      <c r="Z57" s="84"/>
      <c r="AA57" s="85"/>
      <c r="AB57" s="85"/>
      <c r="AC57" s="18"/>
      <c r="AD57" s="18"/>
      <c r="AE57" s="18"/>
      <c r="AF57" s="18"/>
    </row>
    <row r="58" ht="15.75" customHeight="1">
      <c r="A58" s="86"/>
      <c r="B58" s="54" t="s">
        <v>62</v>
      </c>
      <c r="C58" s="55"/>
      <c r="D58" s="56"/>
      <c r="E58" s="57"/>
      <c r="F58" s="61" t="s">
        <v>23</v>
      </c>
      <c r="G58" s="57"/>
      <c r="H58" s="62"/>
      <c r="I58" s="58"/>
      <c r="J58" s="62"/>
      <c r="K58" s="57"/>
      <c r="L58" s="62"/>
      <c r="M58" s="57"/>
      <c r="N58" s="62"/>
      <c r="O58" s="57"/>
      <c r="P58" s="62"/>
      <c r="Q58" s="57"/>
      <c r="R58" s="62"/>
      <c r="S58" s="57"/>
      <c r="T58" s="62"/>
      <c r="U58" s="57"/>
      <c r="V58" s="56"/>
      <c r="W58" s="57"/>
      <c r="X58" s="63"/>
      <c r="Y58" s="64"/>
      <c r="Z58" s="84"/>
      <c r="AA58" s="85"/>
      <c r="AB58" s="85"/>
      <c r="AC58" s="18"/>
      <c r="AD58" s="18"/>
      <c r="AE58" s="18"/>
      <c r="AF58" s="18"/>
    </row>
    <row r="59" ht="15.75" customHeight="1">
      <c r="A59" s="53"/>
      <c r="B59" s="65" t="s">
        <v>63</v>
      </c>
      <c r="C59" s="55"/>
      <c r="D59" s="66"/>
      <c r="E59" s="67"/>
      <c r="F59" s="61" t="s">
        <v>23</v>
      </c>
      <c r="G59" s="70"/>
      <c r="H59" s="71"/>
      <c r="I59" s="92"/>
      <c r="J59" s="71"/>
      <c r="K59" s="70"/>
      <c r="L59" s="71"/>
      <c r="M59" s="70"/>
      <c r="N59" s="71"/>
      <c r="O59" s="70"/>
      <c r="P59" s="71"/>
      <c r="Q59" s="70"/>
      <c r="R59" s="71"/>
      <c r="S59" s="70"/>
      <c r="T59" s="71"/>
      <c r="U59" s="70"/>
      <c r="V59" s="89"/>
      <c r="W59" s="70"/>
      <c r="X59" s="72"/>
      <c r="Y59" s="64"/>
      <c r="Z59" s="84"/>
      <c r="AA59" s="85"/>
      <c r="AB59" s="85"/>
      <c r="AC59" s="18"/>
      <c r="AD59" s="18"/>
      <c r="AE59" s="18"/>
      <c r="AF59" s="18"/>
    </row>
    <row r="60" ht="14.25" customHeight="1">
      <c r="A60" s="53"/>
      <c r="B60" s="65" t="s">
        <v>64</v>
      </c>
      <c r="C60" s="55"/>
      <c r="D60" s="66"/>
      <c r="E60" s="67"/>
      <c r="F60" s="61" t="s">
        <v>23</v>
      </c>
      <c r="G60" s="70"/>
      <c r="H60" s="71"/>
      <c r="I60" s="92"/>
      <c r="J60" s="71"/>
      <c r="K60" s="70"/>
      <c r="L60" s="71"/>
      <c r="M60" s="70"/>
      <c r="N60" s="71"/>
      <c r="O60" s="70"/>
      <c r="P60" s="71"/>
      <c r="Q60" s="70"/>
      <c r="R60" s="71"/>
      <c r="S60" s="70"/>
      <c r="T60" s="71"/>
      <c r="U60" s="70"/>
      <c r="V60" s="89"/>
      <c r="W60" s="70"/>
      <c r="X60" s="72"/>
      <c r="Y60" s="64"/>
      <c r="Z60" s="84"/>
      <c r="AA60" s="85"/>
      <c r="AB60" s="85"/>
      <c r="AC60" s="18"/>
      <c r="AD60" s="18"/>
      <c r="AE60" s="18"/>
      <c r="AF60" s="18"/>
    </row>
    <row r="61" ht="20.25" customHeight="1">
      <c r="A61" s="42" t="s">
        <v>65</v>
      </c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4"/>
      <c r="Z61" s="84"/>
      <c r="AA61" s="85"/>
      <c r="AB61" s="85"/>
      <c r="AC61" s="18"/>
      <c r="AD61" s="18"/>
      <c r="AE61" s="18"/>
      <c r="AF61" s="18"/>
    </row>
    <row r="62" ht="13.5" customHeight="1">
      <c r="A62" s="45">
        <v>11.0</v>
      </c>
      <c r="B62" s="46" t="s">
        <v>66</v>
      </c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8"/>
      <c r="Z62" s="84"/>
      <c r="AA62" s="85"/>
      <c r="AB62" s="85"/>
      <c r="AC62" s="18"/>
      <c r="AD62" s="18"/>
      <c r="AE62" s="18"/>
      <c r="AF62" s="18"/>
    </row>
    <row r="63" ht="15.75" customHeight="1">
      <c r="A63" s="49"/>
      <c r="B63" s="50"/>
      <c r="C63" s="51"/>
      <c r="D63" s="51"/>
      <c r="E63" s="51"/>
      <c r="F63" s="51"/>
      <c r="G63" s="51"/>
      <c r="H63" s="51"/>
      <c r="I63" s="51"/>
      <c r="J63" s="51"/>
      <c r="K63" s="51"/>
      <c r="L63" s="51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1"/>
      <c r="X63" s="51"/>
      <c r="Y63" s="52"/>
      <c r="Z63" s="84"/>
      <c r="AA63" s="85"/>
      <c r="AB63" s="85"/>
      <c r="AC63" s="18"/>
      <c r="AD63" s="18"/>
      <c r="AE63" s="18"/>
      <c r="AF63" s="18"/>
    </row>
    <row r="64" ht="15.0" customHeight="1">
      <c r="A64" s="86"/>
      <c r="B64" s="54" t="s">
        <v>67</v>
      </c>
      <c r="C64" s="55"/>
      <c r="D64" s="56"/>
      <c r="E64" s="57"/>
      <c r="F64" s="56"/>
      <c r="G64" s="57"/>
      <c r="H64" s="56"/>
      <c r="I64" s="58"/>
      <c r="J64" s="61" t="s">
        <v>23</v>
      </c>
      <c r="K64" s="57"/>
      <c r="L64" s="62"/>
      <c r="M64" s="57"/>
      <c r="N64" s="62"/>
      <c r="O64" s="57"/>
      <c r="P64" s="62"/>
      <c r="Q64" s="57"/>
      <c r="R64" s="62"/>
      <c r="S64" s="57"/>
      <c r="T64" s="62"/>
      <c r="U64" s="57"/>
      <c r="V64" s="56"/>
      <c r="W64" s="57"/>
      <c r="X64" s="63"/>
      <c r="Y64" s="64"/>
      <c r="Z64" s="84"/>
      <c r="AA64" s="85"/>
      <c r="AB64" s="85"/>
      <c r="AC64" s="18"/>
      <c r="AD64" s="18"/>
      <c r="AE64" s="18"/>
      <c r="AF64" s="18"/>
    </row>
    <row r="65" ht="15.0" customHeight="1">
      <c r="A65" s="53"/>
      <c r="B65" s="65" t="s">
        <v>68</v>
      </c>
      <c r="C65" s="55"/>
      <c r="D65" s="66"/>
      <c r="E65" s="67"/>
      <c r="F65" s="66"/>
      <c r="G65" s="67"/>
      <c r="H65" s="66"/>
      <c r="I65" s="93"/>
      <c r="J65" s="61" t="s">
        <v>23</v>
      </c>
      <c r="K65" s="70"/>
      <c r="L65" s="71"/>
      <c r="M65" s="70"/>
      <c r="N65" s="71"/>
      <c r="O65" s="70"/>
      <c r="P65" s="71"/>
      <c r="Q65" s="70"/>
      <c r="R65" s="71"/>
      <c r="S65" s="70"/>
      <c r="T65" s="71"/>
      <c r="U65" s="70"/>
      <c r="V65" s="89"/>
      <c r="W65" s="70"/>
      <c r="X65" s="72"/>
      <c r="Y65" s="64"/>
      <c r="Z65" s="84"/>
      <c r="AA65" s="85"/>
      <c r="AB65" s="85"/>
      <c r="AC65" s="18"/>
      <c r="AD65" s="18"/>
      <c r="AE65" s="18"/>
      <c r="AF65" s="18"/>
    </row>
    <row r="66" ht="15.0" customHeight="1">
      <c r="A66" s="53"/>
      <c r="B66" s="65" t="s">
        <v>69</v>
      </c>
      <c r="C66" s="55"/>
      <c r="D66" s="66"/>
      <c r="E66" s="67"/>
      <c r="F66" s="66"/>
      <c r="G66" s="67"/>
      <c r="H66" s="66"/>
      <c r="I66" s="93"/>
      <c r="J66" s="61" t="s">
        <v>23</v>
      </c>
      <c r="K66" s="70"/>
      <c r="L66" s="71"/>
      <c r="M66" s="70"/>
      <c r="N66" s="71"/>
      <c r="O66" s="70"/>
      <c r="P66" s="71"/>
      <c r="Q66" s="70"/>
      <c r="R66" s="71"/>
      <c r="S66" s="70"/>
      <c r="T66" s="71"/>
      <c r="U66" s="70"/>
      <c r="V66" s="89"/>
      <c r="W66" s="70"/>
      <c r="X66" s="72"/>
      <c r="Y66" s="64"/>
      <c r="Z66" s="84"/>
      <c r="AA66" s="85"/>
      <c r="AB66" s="85"/>
      <c r="AC66" s="18"/>
      <c r="AD66" s="18"/>
      <c r="AE66" s="18"/>
      <c r="AF66" s="18"/>
    </row>
    <row r="67" ht="15.0" customHeight="1">
      <c r="A67" s="53"/>
      <c r="B67" s="65" t="s">
        <v>70</v>
      </c>
      <c r="C67" s="55"/>
      <c r="D67" s="66"/>
      <c r="E67" s="67"/>
      <c r="F67" s="66"/>
      <c r="G67" s="67"/>
      <c r="H67" s="66"/>
      <c r="I67" s="93"/>
      <c r="J67" s="61" t="s">
        <v>23</v>
      </c>
      <c r="K67" s="70"/>
      <c r="L67" s="71"/>
      <c r="M67" s="70"/>
      <c r="N67" s="71"/>
      <c r="O67" s="70"/>
      <c r="P67" s="71"/>
      <c r="Q67" s="70"/>
      <c r="R67" s="71"/>
      <c r="S67" s="70"/>
      <c r="T67" s="71"/>
      <c r="U67" s="70"/>
      <c r="V67" s="89"/>
      <c r="W67" s="70"/>
      <c r="X67" s="72"/>
      <c r="Y67" s="64"/>
      <c r="Z67" s="84"/>
      <c r="AA67" s="85"/>
      <c r="AB67" s="85"/>
      <c r="AC67" s="18"/>
      <c r="AD67" s="18"/>
      <c r="AE67" s="18"/>
      <c r="AF67" s="18"/>
    </row>
    <row r="68" ht="13.5" customHeight="1">
      <c r="A68" s="53"/>
      <c r="B68" s="65" t="s">
        <v>71</v>
      </c>
      <c r="C68" s="55"/>
      <c r="D68" s="66"/>
      <c r="E68" s="67"/>
      <c r="F68" s="66"/>
      <c r="G68" s="67"/>
      <c r="H68" s="66"/>
      <c r="I68" s="67"/>
      <c r="J68" s="61" t="s">
        <v>23</v>
      </c>
      <c r="K68" s="70"/>
      <c r="L68" s="71"/>
      <c r="M68" s="70"/>
      <c r="N68" s="71"/>
      <c r="O68" s="70"/>
      <c r="P68" s="71"/>
      <c r="Q68" s="70"/>
      <c r="R68" s="71"/>
      <c r="S68" s="70"/>
      <c r="T68" s="71"/>
      <c r="U68" s="70"/>
      <c r="V68" s="71"/>
      <c r="W68" s="70"/>
      <c r="X68" s="82"/>
      <c r="Y68" s="83"/>
      <c r="Z68" s="84"/>
      <c r="AA68" s="85"/>
      <c r="AB68" s="85"/>
      <c r="AC68" s="18"/>
      <c r="AD68" s="18"/>
      <c r="AE68" s="18"/>
      <c r="AF68" s="18"/>
    </row>
    <row r="69" ht="13.5" customHeight="1">
      <c r="A69" s="45">
        <v>12.0</v>
      </c>
      <c r="B69" s="46" t="s">
        <v>72</v>
      </c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8"/>
      <c r="Z69" s="84"/>
      <c r="AA69" s="85"/>
      <c r="AB69" s="85"/>
      <c r="AC69" s="18"/>
      <c r="AD69" s="18"/>
      <c r="AE69" s="18"/>
      <c r="AF69" s="18"/>
    </row>
    <row r="70" ht="18.0" customHeight="1">
      <c r="A70" s="49"/>
      <c r="B70" s="50"/>
      <c r="C70" s="51"/>
      <c r="D70" s="51"/>
      <c r="E70" s="51"/>
      <c r="F70" s="51"/>
      <c r="G70" s="51"/>
      <c r="H70" s="51"/>
      <c r="I70" s="51"/>
      <c r="J70" s="51"/>
      <c r="K70" s="51"/>
      <c r="L70" s="51"/>
      <c r="M70" s="51"/>
      <c r="N70" s="51"/>
      <c r="O70" s="51"/>
      <c r="P70" s="51"/>
      <c r="Q70" s="51"/>
      <c r="R70" s="51"/>
      <c r="S70" s="51"/>
      <c r="T70" s="51"/>
      <c r="U70" s="51"/>
      <c r="V70" s="51"/>
      <c r="W70" s="51"/>
      <c r="X70" s="51"/>
      <c r="Y70" s="52"/>
      <c r="Z70" s="84"/>
      <c r="AA70" s="85"/>
      <c r="AB70" s="85"/>
      <c r="AC70" s="18"/>
      <c r="AD70" s="18"/>
      <c r="AE70" s="18"/>
      <c r="AF70" s="18"/>
    </row>
    <row r="71" ht="15.0" customHeight="1">
      <c r="A71" s="53"/>
      <c r="B71" s="94" t="s">
        <v>73</v>
      </c>
      <c r="C71" s="55"/>
      <c r="D71" s="56"/>
      <c r="E71" s="57"/>
      <c r="F71" s="56"/>
      <c r="G71" s="57"/>
      <c r="H71" s="56"/>
      <c r="I71" s="58"/>
      <c r="J71" s="61" t="s">
        <v>23</v>
      </c>
      <c r="K71" s="57"/>
      <c r="L71" s="62"/>
      <c r="M71" s="57"/>
      <c r="N71" s="62"/>
      <c r="O71" s="57"/>
      <c r="P71" s="62"/>
      <c r="Q71" s="57"/>
      <c r="R71" s="62"/>
      <c r="S71" s="57"/>
      <c r="T71" s="62"/>
      <c r="U71" s="57"/>
      <c r="V71" s="56"/>
      <c r="W71" s="57"/>
      <c r="X71" s="63"/>
      <c r="Y71" s="64"/>
      <c r="Z71" s="84"/>
      <c r="AA71" s="85"/>
      <c r="AB71" s="85"/>
      <c r="AC71" s="18"/>
      <c r="AD71" s="18"/>
      <c r="AE71" s="18"/>
      <c r="AF71" s="18"/>
    </row>
    <row r="72" ht="15.0" customHeight="1">
      <c r="A72" s="53"/>
      <c r="B72" s="95" t="s">
        <v>74</v>
      </c>
      <c r="C72" s="55"/>
      <c r="D72" s="66"/>
      <c r="E72" s="67"/>
      <c r="F72" s="66"/>
      <c r="G72" s="67"/>
      <c r="H72" s="66"/>
      <c r="I72" s="67"/>
      <c r="J72" s="61" t="s">
        <v>23</v>
      </c>
      <c r="K72" s="70"/>
      <c r="L72" s="62"/>
      <c r="M72" s="57"/>
      <c r="N72" s="62"/>
      <c r="O72" s="57"/>
      <c r="P72" s="62"/>
      <c r="Q72" s="57"/>
      <c r="R72" s="62"/>
      <c r="S72" s="57"/>
      <c r="T72" s="62"/>
      <c r="U72" s="57"/>
      <c r="V72" s="56"/>
      <c r="W72" s="57"/>
      <c r="X72" s="63"/>
      <c r="Y72" s="64"/>
      <c r="Z72" s="84"/>
      <c r="AA72" s="85"/>
      <c r="AB72" s="85"/>
      <c r="AC72" s="18"/>
      <c r="AD72" s="18"/>
      <c r="AE72" s="18"/>
      <c r="AF72" s="18"/>
    </row>
    <row r="73" ht="13.5" customHeight="1">
      <c r="A73" s="45">
        <v>13.0</v>
      </c>
      <c r="B73" s="46" t="s">
        <v>75</v>
      </c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8"/>
      <c r="Z73" s="84"/>
      <c r="AA73" s="85"/>
      <c r="AB73" s="85"/>
      <c r="AC73" s="18"/>
      <c r="AD73" s="18"/>
      <c r="AE73" s="18"/>
      <c r="AF73" s="18"/>
    </row>
    <row r="74" ht="13.5" customHeight="1">
      <c r="A74" s="49"/>
      <c r="B74" s="50"/>
      <c r="C74" s="51"/>
      <c r="D74" s="51"/>
      <c r="E74" s="51"/>
      <c r="F74" s="51"/>
      <c r="G74" s="51"/>
      <c r="H74" s="51"/>
      <c r="I74" s="51"/>
      <c r="J74" s="51"/>
      <c r="K74" s="51"/>
      <c r="L74" s="51"/>
      <c r="M74" s="51"/>
      <c r="N74" s="51"/>
      <c r="O74" s="51"/>
      <c r="P74" s="51"/>
      <c r="Q74" s="51"/>
      <c r="R74" s="51"/>
      <c r="S74" s="51"/>
      <c r="T74" s="51"/>
      <c r="U74" s="51"/>
      <c r="V74" s="51"/>
      <c r="W74" s="51"/>
      <c r="X74" s="51"/>
      <c r="Y74" s="52"/>
      <c r="Z74" s="84"/>
      <c r="AA74" s="85"/>
      <c r="AB74" s="85"/>
      <c r="AC74" s="18"/>
      <c r="AD74" s="18"/>
      <c r="AE74" s="18"/>
      <c r="AF74" s="18"/>
    </row>
    <row r="75" ht="15.75" customHeight="1">
      <c r="A75" s="53"/>
      <c r="B75" s="54" t="s">
        <v>76</v>
      </c>
      <c r="C75" s="55"/>
      <c r="D75" s="56"/>
      <c r="E75" s="57"/>
      <c r="F75" s="56"/>
      <c r="G75" s="57"/>
      <c r="H75" s="56"/>
      <c r="I75" s="58"/>
      <c r="J75" s="61" t="s">
        <v>23</v>
      </c>
      <c r="K75" s="57"/>
      <c r="L75" s="62"/>
      <c r="M75" s="57"/>
      <c r="N75" s="62"/>
      <c r="O75" s="57"/>
      <c r="P75" s="62"/>
      <c r="Q75" s="57"/>
      <c r="R75" s="62"/>
      <c r="S75" s="57"/>
      <c r="T75" s="62"/>
      <c r="U75" s="57"/>
      <c r="V75" s="56"/>
      <c r="W75" s="57"/>
      <c r="X75" s="63"/>
      <c r="Y75" s="64"/>
      <c r="Z75" s="84"/>
      <c r="AA75" s="85"/>
      <c r="AB75" s="85"/>
      <c r="AC75" s="18"/>
      <c r="AD75" s="18"/>
      <c r="AE75" s="18"/>
      <c r="AF75" s="18"/>
    </row>
    <row r="76" ht="15.75" customHeight="1">
      <c r="A76" s="53"/>
      <c r="B76" s="65" t="s">
        <v>77</v>
      </c>
      <c r="C76" s="55"/>
      <c r="D76" s="66"/>
      <c r="E76" s="67"/>
      <c r="F76" s="66"/>
      <c r="G76" s="67"/>
      <c r="H76" s="66"/>
      <c r="I76" s="93"/>
      <c r="J76" s="61" t="s">
        <v>23</v>
      </c>
      <c r="K76" s="70"/>
      <c r="L76" s="71"/>
      <c r="M76" s="70"/>
      <c r="N76" s="71"/>
      <c r="O76" s="70"/>
      <c r="P76" s="71"/>
      <c r="Q76" s="70"/>
      <c r="R76" s="71"/>
      <c r="S76" s="70"/>
      <c r="T76" s="71"/>
      <c r="U76" s="70"/>
      <c r="V76" s="89"/>
      <c r="W76" s="70"/>
      <c r="X76" s="72"/>
      <c r="Y76" s="64"/>
      <c r="Z76" s="84"/>
      <c r="AA76" s="85"/>
      <c r="AB76" s="85"/>
      <c r="AC76" s="18"/>
      <c r="AD76" s="18"/>
      <c r="AE76" s="18"/>
      <c r="AF76" s="18"/>
    </row>
    <row r="77" ht="15.75" customHeight="1">
      <c r="A77" s="53"/>
      <c r="B77" s="65" t="s">
        <v>78</v>
      </c>
      <c r="C77" s="55"/>
      <c r="D77" s="66"/>
      <c r="E77" s="67"/>
      <c r="F77" s="66"/>
      <c r="G77" s="67"/>
      <c r="H77" s="66"/>
      <c r="I77" s="67"/>
      <c r="J77" s="61" t="s">
        <v>23</v>
      </c>
      <c r="K77" s="70"/>
      <c r="L77" s="71"/>
      <c r="M77" s="70"/>
      <c r="N77" s="71"/>
      <c r="O77" s="70"/>
      <c r="P77" s="71"/>
      <c r="Q77" s="70"/>
      <c r="R77" s="71"/>
      <c r="S77" s="70"/>
      <c r="T77" s="71"/>
      <c r="U77" s="70"/>
      <c r="V77" s="71"/>
      <c r="W77" s="70"/>
      <c r="X77" s="72"/>
      <c r="Y77" s="64"/>
      <c r="Z77" s="84"/>
      <c r="AA77" s="85"/>
      <c r="AB77" s="85"/>
      <c r="AC77" s="18"/>
      <c r="AD77" s="18"/>
      <c r="AE77" s="18"/>
      <c r="AF77" s="18"/>
    </row>
    <row r="78" ht="13.5" customHeight="1">
      <c r="A78" s="45">
        <v>14.0</v>
      </c>
      <c r="B78" s="46" t="s">
        <v>79</v>
      </c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8"/>
      <c r="Z78" s="84"/>
      <c r="AA78" s="85"/>
      <c r="AB78" s="85"/>
      <c r="AC78" s="18"/>
      <c r="AD78" s="18"/>
      <c r="AE78" s="18"/>
      <c r="AF78" s="18"/>
    </row>
    <row r="79" ht="15.0" customHeight="1">
      <c r="A79" s="49"/>
      <c r="B79" s="50"/>
      <c r="C79" s="51"/>
      <c r="D79" s="51"/>
      <c r="E79" s="51"/>
      <c r="F79" s="51"/>
      <c r="G79" s="51"/>
      <c r="H79" s="51"/>
      <c r="I79" s="51"/>
      <c r="J79" s="51"/>
      <c r="K79" s="51"/>
      <c r="L79" s="51"/>
      <c r="M79" s="51"/>
      <c r="N79" s="51"/>
      <c r="O79" s="51"/>
      <c r="P79" s="51"/>
      <c r="Q79" s="51"/>
      <c r="R79" s="51"/>
      <c r="S79" s="51"/>
      <c r="T79" s="51"/>
      <c r="U79" s="51"/>
      <c r="V79" s="51"/>
      <c r="W79" s="51"/>
      <c r="X79" s="51"/>
      <c r="Y79" s="52"/>
      <c r="Z79" s="84"/>
      <c r="AA79" s="85"/>
      <c r="AB79" s="85"/>
      <c r="AC79" s="18"/>
      <c r="AD79" s="18"/>
      <c r="AE79" s="18"/>
      <c r="AF79" s="18"/>
    </row>
    <row r="80" ht="15.0" customHeight="1">
      <c r="A80" s="86"/>
      <c r="B80" s="54" t="s">
        <v>80</v>
      </c>
      <c r="C80" s="55"/>
      <c r="D80" s="56"/>
      <c r="E80" s="57"/>
      <c r="F80" s="56"/>
      <c r="G80" s="57"/>
      <c r="H80" s="61" t="s">
        <v>23</v>
      </c>
      <c r="I80" s="58"/>
      <c r="J80" s="62"/>
      <c r="K80" s="57"/>
      <c r="L80" s="62"/>
      <c r="M80" s="57"/>
      <c r="N80" s="62"/>
      <c r="O80" s="57"/>
      <c r="P80" s="62"/>
      <c r="Q80" s="57"/>
      <c r="R80" s="62"/>
      <c r="S80" s="57"/>
      <c r="T80" s="62"/>
      <c r="U80" s="57"/>
      <c r="V80" s="56"/>
      <c r="W80" s="57"/>
      <c r="X80" s="63"/>
      <c r="Y80" s="64"/>
      <c r="Z80" s="84"/>
      <c r="AA80" s="85"/>
      <c r="AB80" s="85"/>
      <c r="AC80" s="18"/>
      <c r="AD80" s="18"/>
      <c r="AE80" s="18"/>
      <c r="AF80" s="18"/>
    </row>
    <row r="81" ht="15.75" customHeight="1">
      <c r="A81" s="53"/>
      <c r="B81" s="65" t="s">
        <v>81</v>
      </c>
      <c r="C81" s="55"/>
      <c r="D81" s="66"/>
      <c r="E81" s="67"/>
      <c r="F81" s="66"/>
      <c r="G81" s="67"/>
      <c r="H81" s="61" t="s">
        <v>23</v>
      </c>
      <c r="I81" s="92"/>
      <c r="J81" s="71"/>
      <c r="K81" s="70"/>
      <c r="L81" s="71"/>
      <c r="M81" s="70"/>
      <c r="N81" s="71"/>
      <c r="O81" s="70"/>
      <c r="P81" s="71"/>
      <c r="Q81" s="70"/>
      <c r="R81" s="71"/>
      <c r="S81" s="70"/>
      <c r="T81" s="71"/>
      <c r="U81" s="70"/>
      <c r="V81" s="89"/>
      <c r="W81" s="70"/>
      <c r="X81" s="72"/>
      <c r="Y81" s="64"/>
      <c r="Z81" s="84"/>
      <c r="AA81" s="85"/>
      <c r="AB81" s="85"/>
      <c r="AC81" s="18"/>
      <c r="AD81" s="18"/>
      <c r="AE81" s="18"/>
      <c r="AF81" s="18"/>
    </row>
    <row r="82" ht="15.0" customHeight="1">
      <c r="A82" s="53"/>
      <c r="B82" s="65" t="s">
        <v>82</v>
      </c>
      <c r="C82" s="55"/>
      <c r="D82" s="66"/>
      <c r="E82" s="67"/>
      <c r="F82" s="66"/>
      <c r="G82" s="67"/>
      <c r="H82" s="61" t="s">
        <v>23</v>
      </c>
      <c r="I82" s="70"/>
      <c r="J82" s="89"/>
      <c r="K82" s="70"/>
      <c r="L82" s="71"/>
      <c r="M82" s="70"/>
      <c r="N82" s="71"/>
      <c r="O82" s="70"/>
      <c r="P82" s="71"/>
      <c r="Q82" s="70"/>
      <c r="R82" s="71"/>
      <c r="S82" s="70"/>
      <c r="T82" s="71"/>
      <c r="U82" s="70"/>
      <c r="V82" s="71"/>
      <c r="W82" s="70"/>
      <c r="X82" s="82"/>
      <c r="Y82" s="83"/>
      <c r="Z82" s="84"/>
      <c r="AA82" s="85"/>
      <c r="AB82" s="85"/>
      <c r="AC82" s="18"/>
      <c r="AD82" s="18"/>
      <c r="AE82" s="18"/>
      <c r="AF82" s="18"/>
    </row>
    <row r="83" ht="13.5" customHeight="1">
      <c r="A83" s="45">
        <v>15.0</v>
      </c>
      <c r="B83" s="46" t="s">
        <v>83</v>
      </c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8"/>
      <c r="Z83" s="84"/>
      <c r="AA83" s="85"/>
      <c r="AB83" s="85"/>
      <c r="AC83" s="18"/>
      <c r="AD83" s="18"/>
      <c r="AE83" s="18"/>
      <c r="AF83" s="18"/>
    </row>
    <row r="84" ht="18.0" customHeight="1">
      <c r="A84" s="49"/>
      <c r="B84" s="50"/>
      <c r="C84" s="51"/>
      <c r="D84" s="51"/>
      <c r="E84" s="51"/>
      <c r="F84" s="51"/>
      <c r="G84" s="51"/>
      <c r="H84" s="51"/>
      <c r="I84" s="51"/>
      <c r="J84" s="51"/>
      <c r="K84" s="51"/>
      <c r="L84" s="51"/>
      <c r="M84" s="51"/>
      <c r="N84" s="51"/>
      <c r="O84" s="51"/>
      <c r="P84" s="51"/>
      <c r="Q84" s="51"/>
      <c r="R84" s="51"/>
      <c r="S84" s="51"/>
      <c r="T84" s="51"/>
      <c r="U84" s="51"/>
      <c r="V84" s="51"/>
      <c r="W84" s="51"/>
      <c r="X84" s="51"/>
      <c r="Y84" s="52"/>
      <c r="Z84" s="84"/>
      <c r="AA84" s="85"/>
      <c r="AB84" s="85"/>
      <c r="AC84" s="18"/>
      <c r="AD84" s="18"/>
      <c r="AE84" s="18"/>
      <c r="AF84" s="18"/>
    </row>
    <row r="85" ht="16.5" customHeight="1">
      <c r="A85" s="86"/>
      <c r="B85" s="54" t="s">
        <v>84</v>
      </c>
      <c r="C85" s="55"/>
      <c r="D85" s="56"/>
      <c r="E85" s="59"/>
      <c r="F85" s="56"/>
      <c r="G85" s="59"/>
      <c r="H85" s="56"/>
      <c r="I85" s="96"/>
      <c r="J85" s="56"/>
      <c r="K85" s="59"/>
      <c r="L85" s="61" t="s">
        <v>23</v>
      </c>
      <c r="M85" s="70"/>
      <c r="N85" s="62"/>
      <c r="O85" s="57"/>
      <c r="P85" s="62"/>
      <c r="Q85" s="57"/>
      <c r="R85" s="62"/>
      <c r="S85" s="57"/>
      <c r="T85" s="62"/>
      <c r="U85" s="57"/>
      <c r="V85" s="56"/>
      <c r="W85" s="57"/>
      <c r="X85" s="63"/>
      <c r="Y85" s="18"/>
      <c r="Z85" s="84"/>
      <c r="AA85" s="85"/>
      <c r="AB85" s="85"/>
      <c r="AC85" s="18"/>
      <c r="AD85" s="18"/>
      <c r="AE85" s="18"/>
      <c r="AF85" s="18"/>
    </row>
    <row r="86" ht="15.75" customHeight="1">
      <c r="A86" s="53"/>
      <c r="B86" s="65" t="s">
        <v>85</v>
      </c>
      <c r="C86" s="55"/>
      <c r="D86" s="66"/>
      <c r="E86" s="67"/>
      <c r="F86" s="66"/>
      <c r="G86" s="67"/>
      <c r="H86" s="68"/>
      <c r="I86" s="97"/>
      <c r="J86" s="68"/>
      <c r="K86" s="69"/>
      <c r="L86" s="61" t="s">
        <v>23</v>
      </c>
      <c r="M86" s="70"/>
      <c r="N86" s="71"/>
      <c r="O86" s="70"/>
      <c r="P86" s="71"/>
      <c r="Q86" s="70"/>
      <c r="R86" s="71"/>
      <c r="S86" s="70"/>
      <c r="T86" s="71"/>
      <c r="U86" s="70"/>
      <c r="V86" s="89"/>
      <c r="W86" s="70"/>
      <c r="X86" s="72"/>
      <c r="Y86" s="64"/>
      <c r="Z86" s="84"/>
      <c r="AA86" s="85"/>
      <c r="AB86" s="85"/>
      <c r="AC86" s="18"/>
      <c r="AD86" s="18"/>
      <c r="AE86" s="18"/>
      <c r="AF86" s="18"/>
    </row>
    <row r="87" ht="15.0" customHeight="1">
      <c r="A87" s="53"/>
      <c r="B87" s="65" t="s">
        <v>86</v>
      </c>
      <c r="C87" s="55"/>
      <c r="D87" s="66"/>
      <c r="E87" s="67"/>
      <c r="F87" s="66"/>
      <c r="G87" s="67"/>
      <c r="H87" s="68"/>
      <c r="I87" s="97"/>
      <c r="J87" s="68"/>
      <c r="K87" s="69"/>
      <c r="L87" s="61" t="s">
        <v>23</v>
      </c>
      <c r="M87" s="70"/>
      <c r="N87" s="71"/>
      <c r="O87" s="70"/>
      <c r="P87" s="71"/>
      <c r="Q87" s="70"/>
      <c r="R87" s="71"/>
      <c r="S87" s="70"/>
      <c r="T87" s="71"/>
      <c r="U87" s="70"/>
      <c r="V87" s="89"/>
      <c r="W87" s="70"/>
      <c r="X87" s="72"/>
      <c r="Y87" s="64"/>
      <c r="Z87" s="84"/>
      <c r="AA87" s="85"/>
      <c r="AB87" s="85"/>
      <c r="AC87" s="18"/>
      <c r="AD87" s="18"/>
      <c r="AE87" s="18"/>
      <c r="AF87" s="18"/>
    </row>
    <row r="88" ht="15.0" customHeight="1">
      <c r="A88" s="53"/>
      <c r="B88" s="65" t="s">
        <v>87</v>
      </c>
      <c r="C88" s="55"/>
      <c r="D88" s="66"/>
      <c r="E88" s="67"/>
      <c r="F88" s="66"/>
      <c r="G88" s="67"/>
      <c r="H88" s="68"/>
      <c r="I88" s="97"/>
      <c r="J88" s="68"/>
      <c r="K88" s="69"/>
      <c r="L88" s="61" t="s">
        <v>23</v>
      </c>
      <c r="M88" s="70"/>
      <c r="N88" s="71"/>
      <c r="O88" s="70"/>
      <c r="P88" s="71"/>
      <c r="Q88" s="70"/>
      <c r="R88" s="71"/>
      <c r="S88" s="70"/>
      <c r="T88" s="71"/>
      <c r="U88" s="70"/>
      <c r="V88" s="89"/>
      <c r="W88" s="70"/>
      <c r="X88" s="72"/>
      <c r="Y88" s="64"/>
      <c r="Z88" s="84"/>
      <c r="AA88" s="85"/>
      <c r="AB88" s="85"/>
      <c r="AC88" s="18"/>
      <c r="AD88" s="18"/>
      <c r="AE88" s="18"/>
      <c r="AF88" s="18"/>
    </row>
    <row r="89" ht="15.0" customHeight="1">
      <c r="A89" s="53"/>
      <c r="B89" s="65" t="s">
        <v>88</v>
      </c>
      <c r="C89" s="55"/>
      <c r="D89" s="66"/>
      <c r="E89" s="67"/>
      <c r="F89" s="66"/>
      <c r="G89" s="67"/>
      <c r="H89" s="68"/>
      <c r="I89" s="97"/>
      <c r="J89" s="68"/>
      <c r="K89" s="69"/>
      <c r="L89" s="61" t="s">
        <v>23</v>
      </c>
      <c r="M89" s="70"/>
      <c r="N89" s="71"/>
      <c r="O89" s="70"/>
      <c r="P89" s="71"/>
      <c r="Q89" s="70"/>
      <c r="R89" s="71"/>
      <c r="S89" s="70"/>
      <c r="T89" s="71"/>
      <c r="U89" s="70"/>
      <c r="V89" s="89"/>
      <c r="W89" s="70"/>
      <c r="X89" s="72"/>
      <c r="Y89" s="64"/>
      <c r="Z89" s="84"/>
      <c r="AA89" s="85"/>
      <c r="AB89" s="85"/>
      <c r="AC89" s="18"/>
      <c r="AD89" s="18"/>
      <c r="AE89" s="18"/>
      <c r="AF89" s="18"/>
    </row>
    <row r="90" ht="15.0" customHeight="1">
      <c r="A90" s="53"/>
      <c r="B90" s="65" t="s">
        <v>89</v>
      </c>
      <c r="C90" s="55"/>
      <c r="D90" s="66"/>
      <c r="E90" s="67"/>
      <c r="F90" s="66"/>
      <c r="G90" s="67"/>
      <c r="H90" s="68"/>
      <c r="I90" s="69"/>
      <c r="J90" s="68"/>
      <c r="K90" s="69"/>
      <c r="L90" s="61" t="s">
        <v>23</v>
      </c>
      <c r="M90" s="70"/>
      <c r="N90" s="71"/>
      <c r="O90" s="70"/>
      <c r="P90" s="71"/>
      <c r="Q90" s="70"/>
      <c r="R90" s="71"/>
      <c r="S90" s="70"/>
      <c r="T90" s="71"/>
      <c r="U90" s="70"/>
      <c r="V90" s="71"/>
      <c r="W90" s="70"/>
      <c r="X90" s="82"/>
      <c r="Y90" s="83"/>
      <c r="Z90" s="84"/>
      <c r="AA90" s="85"/>
      <c r="AB90" s="85"/>
      <c r="AC90" s="18"/>
      <c r="AD90" s="18"/>
      <c r="AE90" s="18"/>
      <c r="AF90" s="18"/>
    </row>
    <row r="91" ht="20.25" customHeight="1">
      <c r="A91" s="42" t="s">
        <v>90</v>
      </c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4"/>
      <c r="Z91" s="84"/>
      <c r="AA91" s="85"/>
      <c r="AB91" s="85"/>
      <c r="AC91" s="18"/>
      <c r="AD91" s="18"/>
      <c r="AE91" s="18"/>
      <c r="AF91" s="18"/>
    </row>
    <row r="92" ht="13.5" customHeight="1">
      <c r="A92" s="45">
        <v>16.0</v>
      </c>
      <c r="B92" s="46" t="s">
        <v>91</v>
      </c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8"/>
      <c r="Z92" s="84"/>
      <c r="AA92" s="85"/>
      <c r="AB92" s="85"/>
      <c r="AC92" s="18"/>
      <c r="AD92" s="18"/>
      <c r="AE92" s="18"/>
      <c r="AF92" s="18"/>
    </row>
    <row r="93" ht="16.5" customHeight="1">
      <c r="A93" s="49"/>
      <c r="B93" s="50"/>
      <c r="C93" s="51"/>
      <c r="D93" s="51"/>
      <c r="E93" s="51"/>
      <c r="F93" s="51"/>
      <c r="G93" s="51"/>
      <c r="H93" s="51"/>
      <c r="I93" s="51"/>
      <c r="J93" s="51"/>
      <c r="K93" s="51"/>
      <c r="L93" s="51"/>
      <c r="M93" s="51"/>
      <c r="N93" s="51"/>
      <c r="O93" s="51"/>
      <c r="P93" s="51"/>
      <c r="Q93" s="51"/>
      <c r="R93" s="51"/>
      <c r="S93" s="51"/>
      <c r="T93" s="51"/>
      <c r="U93" s="51"/>
      <c r="V93" s="51"/>
      <c r="W93" s="51"/>
      <c r="X93" s="51"/>
      <c r="Y93" s="52"/>
      <c r="Z93" s="84"/>
      <c r="AA93" s="85"/>
      <c r="AB93" s="85"/>
      <c r="AC93" s="18"/>
      <c r="AD93" s="18"/>
      <c r="AE93" s="18"/>
      <c r="AF93" s="18"/>
    </row>
    <row r="94" ht="16.5" customHeight="1">
      <c r="A94" s="86"/>
      <c r="B94" s="54" t="s">
        <v>92</v>
      </c>
      <c r="C94" s="55"/>
      <c r="D94" s="56"/>
      <c r="E94" s="59"/>
      <c r="F94" s="56"/>
      <c r="G94" s="59"/>
      <c r="H94" s="56"/>
      <c r="I94" s="96"/>
      <c r="J94" s="56"/>
      <c r="K94" s="69"/>
      <c r="L94" s="61" t="s">
        <v>23</v>
      </c>
      <c r="M94" s="57"/>
      <c r="N94" s="62"/>
      <c r="O94" s="57"/>
      <c r="P94" s="62"/>
      <c r="Q94" s="57"/>
      <c r="R94" s="62"/>
      <c r="S94" s="57"/>
      <c r="T94" s="62"/>
      <c r="U94" s="57"/>
      <c r="V94" s="56"/>
      <c r="W94" s="57"/>
      <c r="X94" s="63"/>
      <c r="Y94" s="64"/>
      <c r="Z94" s="84"/>
      <c r="AA94" s="85"/>
      <c r="AB94" s="85"/>
      <c r="AC94" s="18"/>
      <c r="AD94" s="18"/>
      <c r="AE94" s="18"/>
      <c r="AF94" s="18"/>
    </row>
    <row r="95" ht="16.5" customHeight="1">
      <c r="A95" s="53"/>
      <c r="B95" s="65" t="s">
        <v>93</v>
      </c>
      <c r="C95" s="55"/>
      <c r="D95" s="56"/>
      <c r="E95" s="57"/>
      <c r="F95" s="98"/>
      <c r="G95" s="59"/>
      <c r="H95" s="98"/>
      <c r="I95" s="96"/>
      <c r="J95" s="68"/>
      <c r="K95" s="69"/>
      <c r="L95" s="61" t="s">
        <v>23</v>
      </c>
      <c r="M95" s="57"/>
      <c r="N95" s="62"/>
      <c r="O95" s="57"/>
      <c r="P95" s="62"/>
      <c r="Q95" s="57"/>
      <c r="R95" s="62"/>
      <c r="S95" s="57"/>
      <c r="T95" s="62"/>
      <c r="U95" s="57"/>
      <c r="V95" s="56"/>
      <c r="W95" s="57"/>
      <c r="X95" s="63"/>
      <c r="Y95" s="64"/>
      <c r="Z95" s="84"/>
      <c r="AA95" s="85"/>
      <c r="AB95" s="85"/>
      <c r="AC95" s="18"/>
      <c r="AD95" s="18"/>
      <c r="AE95" s="18"/>
      <c r="AF95" s="18"/>
    </row>
    <row r="96" ht="16.5" customHeight="1">
      <c r="A96" s="53"/>
      <c r="B96" s="65" t="s">
        <v>94</v>
      </c>
      <c r="C96" s="55"/>
      <c r="D96" s="66"/>
      <c r="E96" s="67"/>
      <c r="F96" s="66"/>
      <c r="G96" s="67"/>
      <c r="H96" s="66"/>
      <c r="I96" s="69"/>
      <c r="J96" s="68"/>
      <c r="K96" s="69"/>
      <c r="L96" s="61" t="s">
        <v>23</v>
      </c>
      <c r="M96" s="57"/>
      <c r="N96" s="62"/>
      <c r="O96" s="57"/>
      <c r="P96" s="62"/>
      <c r="Q96" s="57"/>
      <c r="R96" s="62"/>
      <c r="S96" s="57"/>
      <c r="T96" s="62"/>
      <c r="U96" s="57"/>
      <c r="V96" s="56"/>
      <c r="W96" s="57"/>
      <c r="X96" s="63"/>
      <c r="Y96" s="64"/>
      <c r="Z96" s="84"/>
      <c r="AA96" s="85"/>
      <c r="AB96" s="85"/>
      <c r="AC96" s="18"/>
      <c r="AD96" s="18"/>
      <c r="AE96" s="18"/>
      <c r="AF96" s="18"/>
    </row>
    <row r="97" ht="15.75" customHeight="1">
      <c r="A97" s="53"/>
      <c r="B97" s="65" t="s">
        <v>95</v>
      </c>
      <c r="C97" s="55"/>
      <c r="D97" s="68"/>
      <c r="E97" s="69"/>
      <c r="F97" s="56"/>
      <c r="G97" s="69"/>
      <c r="H97" s="68"/>
      <c r="I97" s="69"/>
      <c r="J97" s="68"/>
      <c r="K97" s="69"/>
      <c r="L97" s="61" t="s">
        <v>23</v>
      </c>
      <c r="M97" s="57"/>
      <c r="N97" s="62"/>
      <c r="O97" s="57"/>
      <c r="P97" s="62"/>
      <c r="Q97" s="57"/>
      <c r="R97" s="62"/>
      <c r="S97" s="57"/>
      <c r="T97" s="62"/>
      <c r="U97" s="57"/>
      <c r="V97" s="56"/>
      <c r="W97" s="57"/>
      <c r="X97" s="63"/>
      <c r="Y97" s="64"/>
      <c r="Z97" s="84"/>
      <c r="AA97" s="85"/>
      <c r="AB97" s="85"/>
      <c r="AC97" s="18"/>
      <c r="AD97" s="18"/>
      <c r="AE97" s="18"/>
      <c r="AF97" s="18"/>
    </row>
    <row r="98" ht="13.5" customHeight="1">
      <c r="A98" s="45">
        <v>17.0</v>
      </c>
      <c r="B98" s="46" t="s">
        <v>96</v>
      </c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8"/>
      <c r="Z98" s="84"/>
      <c r="AA98" s="85"/>
      <c r="AB98" s="85"/>
      <c r="AC98" s="18"/>
      <c r="AD98" s="18"/>
      <c r="AE98" s="18"/>
      <c r="AF98" s="18"/>
    </row>
    <row r="99" ht="18.75" customHeight="1">
      <c r="A99" s="49"/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  <c r="O99" s="51"/>
      <c r="P99" s="51"/>
      <c r="Q99" s="51"/>
      <c r="R99" s="51"/>
      <c r="S99" s="51"/>
      <c r="T99" s="51"/>
      <c r="U99" s="51"/>
      <c r="V99" s="51"/>
      <c r="W99" s="51"/>
      <c r="X99" s="51"/>
      <c r="Y99" s="52"/>
      <c r="Z99" s="84"/>
      <c r="AA99" s="85"/>
      <c r="AB99" s="85"/>
      <c r="AC99" s="18"/>
      <c r="AD99" s="18"/>
      <c r="AE99" s="18"/>
      <c r="AF99" s="18"/>
    </row>
    <row r="100" ht="16.5" customHeight="1">
      <c r="A100" s="86"/>
      <c r="B100" s="54" t="s">
        <v>97</v>
      </c>
      <c r="C100" s="55"/>
      <c r="D100" s="56"/>
      <c r="E100" s="69"/>
      <c r="F100" s="56"/>
      <c r="G100" s="57"/>
      <c r="H100" s="56"/>
      <c r="I100" s="96"/>
      <c r="J100" s="56"/>
      <c r="K100" s="96"/>
      <c r="L100" s="61" t="s">
        <v>23</v>
      </c>
      <c r="M100" s="57"/>
      <c r="N100" s="62"/>
      <c r="O100" s="57"/>
      <c r="P100" s="62"/>
      <c r="Q100" s="57"/>
      <c r="R100" s="62"/>
      <c r="S100" s="57"/>
      <c r="T100" s="62"/>
      <c r="U100" s="57"/>
      <c r="V100" s="56"/>
      <c r="W100" s="57"/>
      <c r="X100" s="63"/>
      <c r="Y100" s="64"/>
      <c r="Z100" s="84"/>
      <c r="AA100" s="85"/>
      <c r="AB100" s="85"/>
      <c r="AC100" s="18"/>
      <c r="AD100" s="18"/>
      <c r="AE100" s="18"/>
      <c r="AF100" s="18"/>
    </row>
    <row r="101" ht="15.75" customHeight="1">
      <c r="A101" s="53"/>
      <c r="B101" s="65" t="s">
        <v>98</v>
      </c>
      <c r="C101" s="55"/>
      <c r="D101" s="68"/>
      <c r="E101" s="69"/>
      <c r="F101" s="68"/>
      <c r="G101" s="69"/>
      <c r="H101" s="56"/>
      <c r="I101" s="57"/>
      <c r="J101" s="56"/>
      <c r="K101" s="57"/>
      <c r="L101" s="61" t="s">
        <v>23</v>
      </c>
      <c r="M101" s="70"/>
      <c r="N101" s="71"/>
      <c r="O101" s="70"/>
      <c r="P101" s="71"/>
      <c r="Q101" s="70"/>
      <c r="R101" s="71"/>
      <c r="S101" s="70"/>
      <c r="T101" s="71"/>
      <c r="U101" s="70"/>
      <c r="V101" s="71"/>
      <c r="W101" s="70"/>
      <c r="X101" s="82"/>
      <c r="Y101" s="83"/>
      <c r="Z101" s="84"/>
      <c r="AA101" s="85"/>
      <c r="AB101" s="85"/>
      <c r="AC101" s="18"/>
      <c r="AD101" s="18"/>
      <c r="AE101" s="18"/>
      <c r="AF101" s="18"/>
    </row>
    <row r="102" ht="21.75" customHeight="1">
      <c r="A102" s="99" t="s">
        <v>99</v>
      </c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4"/>
      <c r="Z102" s="84"/>
      <c r="AA102" s="85"/>
      <c r="AB102" s="85"/>
      <c r="AC102" s="18"/>
      <c r="AD102" s="18"/>
      <c r="AE102" s="18"/>
      <c r="AF102" s="18"/>
    </row>
    <row r="103" ht="18.0" customHeight="1">
      <c r="A103" s="100" t="s">
        <v>19</v>
      </c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4"/>
      <c r="Z103" s="84"/>
      <c r="AA103" s="85"/>
      <c r="AB103" s="85"/>
      <c r="AC103" s="18"/>
      <c r="AD103" s="18"/>
      <c r="AE103" s="18"/>
      <c r="AF103" s="18"/>
    </row>
    <row r="104" ht="6.75" customHeight="1">
      <c r="A104" s="45">
        <v>1.0</v>
      </c>
      <c r="B104" s="46" t="s">
        <v>100</v>
      </c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8"/>
      <c r="Z104" s="84"/>
      <c r="AA104" s="85"/>
      <c r="AB104" s="85"/>
      <c r="AC104" s="18"/>
      <c r="AD104" s="18"/>
      <c r="AE104" s="18"/>
      <c r="AF104" s="18"/>
    </row>
    <row r="105" ht="15.0" customHeight="1">
      <c r="A105" s="49"/>
      <c r="B105" s="50"/>
      <c r="C105" s="51"/>
      <c r="D105" s="51"/>
      <c r="E105" s="51"/>
      <c r="F105" s="51"/>
      <c r="G105" s="51"/>
      <c r="H105" s="51"/>
      <c r="I105" s="51"/>
      <c r="J105" s="51"/>
      <c r="K105" s="51"/>
      <c r="L105" s="51"/>
      <c r="M105" s="51"/>
      <c r="N105" s="51"/>
      <c r="O105" s="51"/>
      <c r="P105" s="51"/>
      <c r="Q105" s="51"/>
      <c r="R105" s="51"/>
      <c r="S105" s="51"/>
      <c r="T105" s="51"/>
      <c r="U105" s="51"/>
      <c r="V105" s="51"/>
      <c r="W105" s="51"/>
      <c r="X105" s="51"/>
      <c r="Y105" s="52"/>
      <c r="Z105" s="84"/>
      <c r="AA105" s="85"/>
      <c r="AB105" s="85"/>
      <c r="AC105" s="18"/>
      <c r="AD105" s="18"/>
      <c r="AE105" s="18"/>
      <c r="AF105" s="18"/>
    </row>
    <row r="106" ht="15.0" customHeight="1">
      <c r="A106" s="86"/>
      <c r="B106" s="94" t="s">
        <v>101</v>
      </c>
      <c r="C106" s="55"/>
      <c r="D106" s="56"/>
      <c r="E106" s="57"/>
      <c r="F106" s="56"/>
      <c r="G106" s="57"/>
      <c r="H106" s="61" t="s">
        <v>23</v>
      </c>
      <c r="I106" s="58"/>
      <c r="J106" s="62"/>
      <c r="K106" s="57"/>
      <c r="L106" s="62"/>
      <c r="M106" s="57"/>
      <c r="N106" s="62"/>
      <c r="O106" s="57"/>
      <c r="P106" s="62"/>
      <c r="Q106" s="57"/>
      <c r="R106" s="62"/>
      <c r="S106" s="57"/>
      <c r="T106" s="62"/>
      <c r="U106" s="57"/>
      <c r="V106" s="56"/>
      <c r="W106" s="57"/>
      <c r="X106" s="63"/>
      <c r="Y106" s="64"/>
      <c r="Z106" s="84"/>
      <c r="AA106" s="85"/>
      <c r="AB106" s="85"/>
      <c r="AC106" s="18"/>
      <c r="AD106" s="18"/>
      <c r="AE106" s="18"/>
      <c r="AF106" s="18"/>
    </row>
    <row r="107" ht="10.5" customHeight="1">
      <c r="A107" s="45">
        <v>2.0</v>
      </c>
      <c r="B107" s="46" t="s">
        <v>102</v>
      </c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8"/>
      <c r="Z107" s="84"/>
      <c r="AA107" s="85"/>
      <c r="AB107" s="85"/>
      <c r="AC107" s="18"/>
      <c r="AD107" s="18"/>
      <c r="AE107" s="18"/>
      <c r="AF107" s="18"/>
    </row>
    <row r="108" ht="18.0" customHeight="1">
      <c r="A108" s="49"/>
      <c r="B108" s="50"/>
      <c r="C108" s="51"/>
      <c r="D108" s="51"/>
      <c r="E108" s="51"/>
      <c r="F108" s="51"/>
      <c r="G108" s="51"/>
      <c r="H108" s="51"/>
      <c r="I108" s="51"/>
      <c r="J108" s="51"/>
      <c r="K108" s="51"/>
      <c r="L108" s="51"/>
      <c r="M108" s="51"/>
      <c r="N108" s="51"/>
      <c r="O108" s="51"/>
      <c r="P108" s="51"/>
      <c r="Q108" s="51"/>
      <c r="R108" s="51"/>
      <c r="S108" s="51"/>
      <c r="T108" s="51"/>
      <c r="U108" s="51"/>
      <c r="V108" s="51"/>
      <c r="W108" s="51"/>
      <c r="X108" s="51"/>
      <c r="Y108" s="52"/>
      <c r="Z108" s="84"/>
      <c r="AA108" s="85"/>
      <c r="AB108" s="85"/>
      <c r="AC108" s="18"/>
      <c r="AD108" s="18"/>
      <c r="AE108" s="18"/>
      <c r="AF108" s="18"/>
    </row>
    <row r="109" ht="18.0" customHeight="1">
      <c r="A109" s="86"/>
      <c r="B109" s="54" t="s">
        <v>103</v>
      </c>
      <c r="C109" s="55"/>
      <c r="D109" s="56"/>
      <c r="E109" s="57"/>
      <c r="F109" s="56"/>
      <c r="G109" s="57"/>
      <c r="H109" s="61" t="s">
        <v>23</v>
      </c>
      <c r="I109" s="58"/>
      <c r="J109" s="62"/>
      <c r="K109" s="57"/>
      <c r="L109" s="62"/>
      <c r="M109" s="57"/>
      <c r="N109" s="62"/>
      <c r="O109" s="57"/>
      <c r="P109" s="62"/>
      <c r="Q109" s="57"/>
      <c r="R109" s="62"/>
      <c r="S109" s="57"/>
      <c r="T109" s="62"/>
      <c r="U109" s="57"/>
      <c r="V109" s="56"/>
      <c r="W109" s="57"/>
      <c r="X109" s="63"/>
      <c r="Y109" s="64"/>
      <c r="Z109" s="84"/>
      <c r="AA109" s="85"/>
      <c r="AB109" s="85"/>
      <c r="AC109" s="18"/>
      <c r="AD109" s="18"/>
      <c r="AE109" s="18"/>
      <c r="AF109" s="18"/>
    </row>
    <row r="110" ht="15.75" customHeight="1">
      <c r="A110" s="53"/>
      <c r="B110" s="65" t="s">
        <v>104</v>
      </c>
      <c r="C110" s="55"/>
      <c r="D110" s="66"/>
      <c r="E110" s="67"/>
      <c r="F110" s="66"/>
      <c r="G110" s="67"/>
      <c r="H110" s="61" t="s">
        <v>23</v>
      </c>
      <c r="I110" s="70"/>
      <c r="J110" s="89"/>
      <c r="K110" s="70"/>
      <c r="L110" s="71"/>
      <c r="M110" s="70"/>
      <c r="N110" s="71"/>
      <c r="O110" s="70"/>
      <c r="P110" s="71"/>
      <c r="Q110" s="70"/>
      <c r="R110" s="71"/>
      <c r="S110" s="70"/>
      <c r="T110" s="71"/>
      <c r="U110" s="70"/>
      <c r="V110" s="71"/>
      <c r="W110" s="70"/>
      <c r="X110" s="82"/>
      <c r="Y110" s="83"/>
      <c r="Z110" s="84"/>
      <c r="AA110" s="85"/>
      <c r="AB110" s="85"/>
      <c r="AC110" s="18"/>
      <c r="AD110" s="18"/>
      <c r="AE110" s="18"/>
      <c r="AF110" s="18"/>
    </row>
    <row r="111" ht="15.75" customHeight="1">
      <c r="A111" s="53"/>
      <c r="B111" s="65" t="s">
        <v>105</v>
      </c>
      <c r="C111" s="55"/>
      <c r="D111" s="66"/>
      <c r="E111" s="67"/>
      <c r="F111" s="66"/>
      <c r="G111" s="67"/>
      <c r="H111" s="61" t="s">
        <v>23</v>
      </c>
      <c r="I111" s="70"/>
      <c r="J111" s="71"/>
      <c r="K111" s="70"/>
      <c r="L111" s="71"/>
      <c r="M111" s="70"/>
      <c r="N111" s="71"/>
      <c r="O111" s="70"/>
      <c r="P111" s="71"/>
      <c r="Q111" s="70"/>
      <c r="R111" s="71"/>
      <c r="S111" s="70"/>
      <c r="T111" s="71"/>
      <c r="U111" s="70"/>
      <c r="V111" s="71"/>
      <c r="W111" s="70"/>
      <c r="X111" s="72"/>
      <c r="Y111" s="64"/>
      <c r="Z111" s="84"/>
      <c r="AA111" s="85"/>
      <c r="AB111" s="85"/>
      <c r="AC111" s="18"/>
      <c r="AD111" s="18"/>
      <c r="AE111" s="18"/>
      <c r="AF111" s="18"/>
    </row>
    <row r="112" ht="15.0" customHeight="1">
      <c r="A112" s="53"/>
      <c r="B112" s="65" t="s">
        <v>106</v>
      </c>
      <c r="C112" s="55"/>
      <c r="D112" s="66"/>
      <c r="E112" s="67"/>
      <c r="F112" s="66"/>
      <c r="G112" s="67"/>
      <c r="H112" s="61" t="s">
        <v>23</v>
      </c>
      <c r="I112" s="70"/>
      <c r="J112" s="71"/>
      <c r="K112" s="70"/>
      <c r="L112" s="71"/>
      <c r="M112" s="70"/>
      <c r="N112" s="71"/>
      <c r="O112" s="70"/>
      <c r="P112" s="71"/>
      <c r="Q112" s="70"/>
      <c r="R112" s="71"/>
      <c r="S112" s="70"/>
      <c r="T112" s="71"/>
      <c r="U112" s="70"/>
      <c r="V112" s="71"/>
      <c r="W112" s="70"/>
      <c r="X112" s="82"/>
      <c r="Y112" s="83"/>
      <c r="Z112" s="84"/>
      <c r="AA112" s="85"/>
      <c r="AB112" s="85"/>
      <c r="AC112" s="18"/>
      <c r="AD112" s="18"/>
      <c r="AE112" s="18"/>
      <c r="AF112" s="18"/>
    </row>
    <row r="113" ht="13.5" customHeight="1">
      <c r="A113" s="45">
        <v>3.0</v>
      </c>
      <c r="B113" s="46" t="s">
        <v>107</v>
      </c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8"/>
      <c r="Z113" s="84"/>
      <c r="AA113" s="85"/>
      <c r="AB113" s="85"/>
      <c r="AC113" s="18"/>
      <c r="AD113" s="18"/>
      <c r="AE113" s="18"/>
      <c r="AF113" s="18"/>
    </row>
    <row r="114" ht="18.0" customHeight="1">
      <c r="A114" s="49"/>
      <c r="B114" s="50"/>
      <c r="C114" s="51"/>
      <c r="D114" s="51"/>
      <c r="E114" s="51"/>
      <c r="F114" s="51"/>
      <c r="G114" s="51"/>
      <c r="H114" s="51"/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2"/>
      <c r="Z114" s="84"/>
      <c r="AA114" s="85"/>
      <c r="AB114" s="85"/>
      <c r="AC114" s="18"/>
      <c r="AD114" s="18"/>
      <c r="AE114" s="18"/>
      <c r="AF114" s="18"/>
    </row>
    <row r="115" ht="15.75" customHeight="1">
      <c r="A115" s="86"/>
      <c r="B115" s="94" t="s">
        <v>108</v>
      </c>
      <c r="C115" s="55"/>
      <c r="D115" s="56"/>
      <c r="E115" s="57"/>
      <c r="F115" s="56"/>
      <c r="G115" s="67"/>
      <c r="H115" s="61" t="s">
        <v>23</v>
      </c>
      <c r="I115" s="57"/>
      <c r="J115" s="62"/>
      <c r="K115" s="57"/>
      <c r="L115" s="62"/>
      <c r="M115" s="57"/>
      <c r="N115" s="62"/>
      <c r="O115" s="57"/>
      <c r="P115" s="62"/>
      <c r="Q115" s="57"/>
      <c r="R115" s="62"/>
      <c r="S115" s="57"/>
      <c r="T115" s="62"/>
      <c r="U115" s="57"/>
      <c r="V115" s="56"/>
      <c r="W115" s="57"/>
      <c r="X115" s="63"/>
      <c r="Y115" s="64"/>
      <c r="Z115" s="84"/>
      <c r="AA115" s="85"/>
      <c r="AB115" s="85"/>
      <c r="AC115" s="18"/>
      <c r="AD115" s="18"/>
      <c r="AE115" s="18"/>
      <c r="AF115" s="18"/>
    </row>
    <row r="116" ht="13.5" customHeight="1">
      <c r="A116" s="45">
        <v>4.0</v>
      </c>
      <c r="B116" s="46" t="s">
        <v>109</v>
      </c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  <c r="W116" s="47"/>
      <c r="X116" s="47"/>
      <c r="Y116" s="48"/>
      <c r="Z116" s="84"/>
      <c r="AA116" s="85"/>
      <c r="AB116" s="85"/>
      <c r="AC116" s="18"/>
      <c r="AD116" s="18"/>
      <c r="AE116" s="18"/>
      <c r="AF116" s="18"/>
    </row>
    <row r="117" ht="15.75" customHeight="1">
      <c r="A117" s="49"/>
      <c r="B117" s="50"/>
      <c r="C117" s="51"/>
      <c r="D117" s="51"/>
      <c r="E117" s="51"/>
      <c r="F117" s="51"/>
      <c r="G117" s="51"/>
      <c r="H117" s="51"/>
      <c r="I117" s="51"/>
      <c r="J117" s="51"/>
      <c r="K117" s="51"/>
      <c r="L117" s="51"/>
      <c r="M117" s="51"/>
      <c r="N117" s="51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2"/>
      <c r="Z117" s="84"/>
      <c r="AA117" s="85"/>
      <c r="AB117" s="85"/>
      <c r="AC117" s="18"/>
      <c r="AD117" s="18"/>
      <c r="AE117" s="18"/>
      <c r="AF117" s="18"/>
    </row>
    <row r="118" ht="18.0" customHeight="1">
      <c r="A118" s="53"/>
      <c r="B118" s="95" t="s">
        <v>110</v>
      </c>
      <c r="C118" s="55"/>
      <c r="D118" s="56"/>
      <c r="E118" s="57"/>
      <c r="F118" s="56"/>
      <c r="G118" s="67"/>
      <c r="H118" s="61" t="s">
        <v>23</v>
      </c>
      <c r="I118" s="70"/>
      <c r="J118" s="71"/>
      <c r="K118" s="70"/>
      <c r="L118" s="71"/>
      <c r="M118" s="70"/>
      <c r="N118" s="71"/>
      <c r="O118" s="70"/>
      <c r="P118" s="71"/>
      <c r="Q118" s="70"/>
      <c r="R118" s="71"/>
      <c r="S118" s="70"/>
      <c r="T118" s="71"/>
      <c r="U118" s="70"/>
      <c r="V118" s="71"/>
      <c r="W118" s="70"/>
      <c r="X118" s="82"/>
      <c r="Y118" s="83"/>
      <c r="Z118" s="84"/>
      <c r="AA118" s="85"/>
      <c r="AB118" s="85"/>
      <c r="AC118" s="18"/>
      <c r="AD118" s="18"/>
      <c r="AE118" s="18"/>
      <c r="AF118" s="18"/>
    </row>
    <row r="119" ht="13.5" customHeight="1">
      <c r="A119" s="45">
        <v>5.0</v>
      </c>
      <c r="B119" s="46" t="s">
        <v>111</v>
      </c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8"/>
      <c r="Z119" s="84"/>
      <c r="AA119" s="85"/>
      <c r="AB119" s="85"/>
      <c r="AC119" s="18"/>
      <c r="AD119" s="18"/>
      <c r="AE119" s="18"/>
      <c r="AF119" s="18"/>
    </row>
    <row r="120" ht="9.0" customHeight="1">
      <c r="A120" s="49"/>
      <c r="B120" s="50"/>
      <c r="C120" s="51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2"/>
      <c r="Z120" s="84"/>
      <c r="AA120" s="85"/>
      <c r="AB120" s="85"/>
      <c r="AC120" s="18"/>
      <c r="AD120" s="18"/>
      <c r="AE120" s="18"/>
      <c r="AF120" s="18"/>
    </row>
    <row r="121" ht="17.25" customHeight="1">
      <c r="A121" s="53"/>
      <c r="B121" s="95" t="s">
        <v>112</v>
      </c>
      <c r="C121" s="55"/>
      <c r="D121" s="56"/>
      <c r="E121" s="57"/>
      <c r="F121" s="56"/>
      <c r="G121" s="67"/>
      <c r="H121" s="61" t="s">
        <v>23</v>
      </c>
      <c r="I121" s="70"/>
      <c r="J121" s="71"/>
      <c r="K121" s="70"/>
      <c r="L121" s="71"/>
      <c r="M121" s="70"/>
      <c r="N121" s="71"/>
      <c r="O121" s="70"/>
      <c r="P121" s="71"/>
      <c r="Q121" s="70"/>
      <c r="R121" s="71"/>
      <c r="S121" s="70"/>
      <c r="T121" s="71"/>
      <c r="U121" s="70"/>
      <c r="V121" s="71"/>
      <c r="W121" s="70"/>
      <c r="X121" s="82"/>
      <c r="Y121" s="83"/>
      <c r="Z121" s="84"/>
      <c r="AA121" s="85"/>
      <c r="AB121" s="85"/>
      <c r="AC121" s="18"/>
      <c r="AD121" s="18"/>
      <c r="AE121" s="18"/>
      <c r="AF121" s="18"/>
    </row>
    <row r="122" ht="13.5" customHeight="1">
      <c r="A122" s="45">
        <v>6.0</v>
      </c>
      <c r="B122" s="46" t="s">
        <v>113</v>
      </c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8"/>
      <c r="Z122" s="84"/>
      <c r="AA122" s="85"/>
      <c r="AB122" s="85"/>
      <c r="AC122" s="18"/>
      <c r="AD122" s="18"/>
      <c r="AE122" s="18"/>
      <c r="AF122" s="18"/>
    </row>
    <row r="123" ht="16.5" customHeight="1">
      <c r="A123" s="49"/>
      <c r="B123" s="50"/>
      <c r="C123" s="51"/>
      <c r="D123" s="51"/>
      <c r="E123" s="51"/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2"/>
      <c r="Z123" s="84"/>
      <c r="AA123" s="85"/>
      <c r="AB123" s="85"/>
      <c r="AC123" s="18"/>
      <c r="AD123" s="18"/>
      <c r="AE123" s="18"/>
      <c r="AF123" s="18"/>
    </row>
    <row r="124" ht="15.75" customHeight="1">
      <c r="A124" s="101"/>
      <c r="B124" s="102"/>
      <c r="C124" s="86"/>
      <c r="D124" s="103" t="s">
        <v>114</v>
      </c>
      <c r="E124" s="44"/>
      <c r="F124" s="103" t="s">
        <v>115</v>
      </c>
      <c r="G124" s="44"/>
      <c r="H124" s="103" t="s">
        <v>116</v>
      </c>
      <c r="I124" s="44"/>
      <c r="J124" s="103" t="s">
        <v>117</v>
      </c>
      <c r="K124" s="44"/>
      <c r="L124" s="103" t="s">
        <v>118</v>
      </c>
      <c r="M124" s="44"/>
      <c r="N124" s="103" t="s">
        <v>119</v>
      </c>
      <c r="O124" s="44"/>
      <c r="P124" s="103" t="s">
        <v>120</v>
      </c>
      <c r="Q124" s="44"/>
      <c r="R124" s="103" t="s">
        <v>121</v>
      </c>
      <c r="S124" s="44"/>
      <c r="T124" s="103" t="s">
        <v>122</v>
      </c>
      <c r="U124" s="44"/>
      <c r="V124" s="103" t="s">
        <v>123</v>
      </c>
      <c r="W124" s="44"/>
      <c r="X124" s="104"/>
      <c r="Y124" s="105" t="s">
        <v>124</v>
      </c>
      <c r="Z124" s="84"/>
      <c r="AA124" s="85"/>
      <c r="AB124" s="85"/>
      <c r="AC124" s="18"/>
      <c r="AD124" s="18"/>
      <c r="AE124" s="18"/>
      <c r="AF124" s="18"/>
    </row>
    <row r="125" ht="15.75" customHeight="1">
      <c r="A125" s="106"/>
      <c r="B125" s="107" t="s">
        <v>125</v>
      </c>
      <c r="C125" s="106"/>
      <c r="D125" s="56"/>
      <c r="E125" s="108"/>
      <c r="F125" s="56"/>
      <c r="G125" s="108"/>
      <c r="H125" s="56"/>
      <c r="I125" s="108"/>
      <c r="J125" s="56"/>
      <c r="K125" s="108"/>
      <c r="L125" s="56"/>
      <c r="M125" s="108"/>
      <c r="N125" s="56"/>
      <c r="O125" s="108"/>
      <c r="P125" s="109"/>
      <c r="Q125" s="108"/>
      <c r="R125" s="109"/>
      <c r="S125" s="108"/>
      <c r="T125" s="109"/>
      <c r="U125" s="108"/>
      <c r="V125" s="109"/>
      <c r="W125" s="108"/>
      <c r="X125" s="61" t="s">
        <v>23</v>
      </c>
      <c r="Y125" s="110" t="s">
        <v>126</v>
      </c>
      <c r="Z125" s="84"/>
      <c r="AA125" s="85"/>
      <c r="AB125" s="85"/>
      <c r="AC125" s="18"/>
      <c r="AD125" s="18"/>
      <c r="AE125" s="18"/>
      <c r="AF125" s="18"/>
    </row>
    <row r="126" ht="15.75" customHeight="1">
      <c r="A126" s="49"/>
      <c r="B126" s="49"/>
      <c r="C126" s="49"/>
      <c r="D126" s="56"/>
      <c r="E126" s="111"/>
      <c r="F126" s="56"/>
      <c r="G126" s="111"/>
      <c r="H126" s="56"/>
      <c r="I126" s="111"/>
      <c r="J126" s="56"/>
      <c r="K126" s="111"/>
      <c r="L126" s="56"/>
      <c r="M126" s="111"/>
      <c r="N126" s="56"/>
      <c r="O126" s="111"/>
      <c r="P126" s="112"/>
      <c r="Q126" s="113"/>
      <c r="R126" s="112"/>
      <c r="S126" s="113"/>
      <c r="T126" s="112"/>
      <c r="U126" s="113"/>
      <c r="V126" s="112"/>
      <c r="W126" s="113"/>
      <c r="X126" s="61" t="s">
        <v>23</v>
      </c>
      <c r="Y126" s="114" t="s">
        <v>127</v>
      </c>
      <c r="Z126" s="84"/>
      <c r="AA126" s="85"/>
      <c r="AB126" s="85"/>
      <c r="AC126" s="18"/>
      <c r="AD126" s="18"/>
      <c r="AE126" s="18"/>
      <c r="AF126" s="18"/>
    </row>
    <row r="127" ht="15.75" customHeight="1">
      <c r="A127" s="106"/>
      <c r="B127" s="107" t="s">
        <v>128</v>
      </c>
      <c r="C127" s="106"/>
      <c r="D127" s="115"/>
      <c r="E127" s="108"/>
      <c r="F127" s="115"/>
      <c r="G127" s="108"/>
      <c r="H127" s="115"/>
      <c r="I127" s="108"/>
      <c r="J127" s="115"/>
      <c r="K127" s="108"/>
      <c r="L127" s="66"/>
      <c r="M127" s="108"/>
      <c r="N127" s="115"/>
      <c r="O127" s="108"/>
      <c r="P127" s="109"/>
      <c r="Q127" s="108"/>
      <c r="R127" s="109"/>
      <c r="S127" s="108"/>
      <c r="T127" s="109"/>
      <c r="U127" s="108"/>
      <c r="V127" s="109"/>
      <c r="W127" s="108"/>
      <c r="X127" s="61" t="s">
        <v>23</v>
      </c>
      <c r="Y127" s="110" t="s">
        <v>126</v>
      </c>
      <c r="Z127" s="84"/>
      <c r="AA127" s="85"/>
      <c r="AB127" s="85"/>
      <c r="AC127" s="18"/>
      <c r="AD127" s="18"/>
      <c r="AE127" s="18"/>
      <c r="AF127" s="18"/>
    </row>
    <row r="128" ht="15.75" customHeight="1">
      <c r="A128" s="49"/>
      <c r="B128" s="49"/>
      <c r="C128" s="49"/>
      <c r="D128" s="66"/>
      <c r="E128" s="111"/>
      <c r="F128" s="66"/>
      <c r="G128" s="111"/>
      <c r="H128" s="66"/>
      <c r="I128" s="111"/>
      <c r="J128" s="66"/>
      <c r="K128" s="111"/>
      <c r="L128" s="66"/>
      <c r="M128" s="111"/>
      <c r="N128" s="66"/>
      <c r="O128" s="111"/>
      <c r="P128" s="112"/>
      <c r="Q128" s="113"/>
      <c r="R128" s="112"/>
      <c r="S128" s="113"/>
      <c r="T128" s="112"/>
      <c r="U128" s="113"/>
      <c r="V128" s="112"/>
      <c r="W128" s="113"/>
      <c r="X128" s="61" t="s">
        <v>23</v>
      </c>
      <c r="Y128" s="114" t="s">
        <v>127</v>
      </c>
      <c r="Z128" s="84"/>
      <c r="AA128" s="85"/>
      <c r="AB128" s="85"/>
      <c r="AC128" s="18"/>
      <c r="AD128" s="18"/>
      <c r="AE128" s="18"/>
      <c r="AF128" s="18"/>
    </row>
    <row r="129" ht="15.75" customHeight="1">
      <c r="A129" s="106"/>
      <c r="B129" s="107" t="s">
        <v>129</v>
      </c>
      <c r="C129" s="106"/>
      <c r="D129" s="115"/>
      <c r="E129" s="108"/>
      <c r="F129" s="115"/>
      <c r="G129" s="108"/>
      <c r="H129" s="115"/>
      <c r="I129" s="108"/>
      <c r="J129" s="115"/>
      <c r="K129" s="108"/>
      <c r="L129" s="66"/>
      <c r="M129" s="108"/>
      <c r="N129" s="66"/>
      <c r="O129" s="108"/>
      <c r="P129" s="109"/>
      <c r="Q129" s="108"/>
      <c r="R129" s="109"/>
      <c r="S129" s="108"/>
      <c r="T129" s="109"/>
      <c r="U129" s="108"/>
      <c r="V129" s="109"/>
      <c r="W129" s="108"/>
      <c r="X129" s="61" t="s">
        <v>23</v>
      </c>
      <c r="Y129" s="110" t="s">
        <v>126</v>
      </c>
      <c r="Z129" s="84"/>
      <c r="AA129" s="85"/>
      <c r="AB129" s="85"/>
      <c r="AC129" s="18"/>
      <c r="AD129" s="18"/>
      <c r="AE129" s="18"/>
      <c r="AF129" s="18"/>
    </row>
    <row r="130" ht="15.75" customHeight="1">
      <c r="A130" s="49"/>
      <c r="B130" s="49"/>
      <c r="C130" s="49"/>
      <c r="D130" s="66"/>
      <c r="E130" s="111"/>
      <c r="F130" s="66"/>
      <c r="G130" s="111"/>
      <c r="H130" s="66"/>
      <c r="I130" s="111"/>
      <c r="J130" s="66"/>
      <c r="K130" s="111"/>
      <c r="L130" s="66"/>
      <c r="M130" s="111"/>
      <c r="N130" s="66"/>
      <c r="O130" s="111"/>
      <c r="P130" s="112"/>
      <c r="Q130" s="113"/>
      <c r="R130" s="112"/>
      <c r="S130" s="113"/>
      <c r="T130" s="112"/>
      <c r="U130" s="113"/>
      <c r="V130" s="112"/>
      <c r="W130" s="113"/>
      <c r="X130" s="61" t="s">
        <v>23</v>
      </c>
      <c r="Y130" s="114" t="s">
        <v>127</v>
      </c>
      <c r="Z130" s="84"/>
      <c r="AA130" s="85"/>
      <c r="AB130" s="85"/>
      <c r="AC130" s="18"/>
      <c r="AD130" s="18"/>
      <c r="AE130" s="18"/>
      <c r="AF130" s="18"/>
    </row>
    <row r="131" ht="15.75" customHeight="1">
      <c r="A131" s="106"/>
      <c r="B131" s="107" t="s">
        <v>130</v>
      </c>
      <c r="C131" s="106"/>
      <c r="D131" s="115"/>
      <c r="E131" s="116"/>
      <c r="F131" s="115"/>
      <c r="G131" s="116"/>
      <c r="H131" s="115"/>
      <c r="I131" s="116"/>
      <c r="J131" s="115"/>
      <c r="K131" s="116"/>
      <c r="L131" s="115"/>
      <c r="M131" s="116"/>
      <c r="N131" s="115"/>
      <c r="O131" s="116"/>
      <c r="P131" s="109"/>
      <c r="Q131" s="108"/>
      <c r="R131" s="109"/>
      <c r="S131" s="108"/>
      <c r="T131" s="109"/>
      <c r="U131" s="108"/>
      <c r="V131" s="109"/>
      <c r="W131" s="108"/>
      <c r="X131" s="61" t="s">
        <v>23</v>
      </c>
      <c r="Y131" s="110" t="s">
        <v>126</v>
      </c>
      <c r="Z131" s="84"/>
      <c r="AA131" s="85"/>
      <c r="AB131" s="85"/>
      <c r="AC131" s="18"/>
      <c r="AD131" s="18"/>
      <c r="AE131" s="18"/>
      <c r="AF131" s="18"/>
    </row>
    <row r="132" ht="15.75" customHeight="1">
      <c r="A132" s="49"/>
      <c r="B132" s="49"/>
      <c r="C132" s="49"/>
      <c r="D132" s="117"/>
      <c r="E132" s="111"/>
      <c r="F132" s="117"/>
      <c r="G132" s="111"/>
      <c r="H132" s="117"/>
      <c r="I132" s="111"/>
      <c r="J132" s="117"/>
      <c r="K132" s="111"/>
      <c r="L132" s="117"/>
      <c r="M132" s="111"/>
      <c r="N132" s="117"/>
      <c r="O132" s="111"/>
      <c r="P132" s="112"/>
      <c r="Q132" s="113"/>
      <c r="R132" s="112"/>
      <c r="S132" s="113"/>
      <c r="T132" s="112"/>
      <c r="U132" s="113"/>
      <c r="V132" s="112"/>
      <c r="W132" s="113"/>
      <c r="X132" s="61" t="s">
        <v>23</v>
      </c>
      <c r="Y132" s="114" t="s">
        <v>127</v>
      </c>
      <c r="Z132" s="84"/>
      <c r="AA132" s="85"/>
      <c r="AB132" s="85"/>
      <c r="AC132" s="18"/>
      <c r="AD132" s="18"/>
      <c r="AE132" s="18"/>
      <c r="AF132" s="18"/>
    </row>
    <row r="133" ht="13.5" customHeight="1">
      <c r="A133" s="106"/>
      <c r="B133" s="107" t="s">
        <v>131</v>
      </c>
      <c r="C133" s="106"/>
      <c r="D133" s="115"/>
      <c r="E133" s="108"/>
      <c r="F133" s="115"/>
      <c r="G133" s="108"/>
      <c r="H133" s="115"/>
      <c r="I133" s="108"/>
      <c r="J133" s="115"/>
      <c r="K133" s="108"/>
      <c r="L133" s="115"/>
      <c r="M133" s="108"/>
      <c r="N133" s="115"/>
      <c r="O133" s="108"/>
      <c r="P133" s="109"/>
      <c r="Q133" s="108"/>
      <c r="R133" s="109"/>
      <c r="S133" s="108"/>
      <c r="T133" s="109"/>
      <c r="U133" s="108"/>
      <c r="V133" s="109"/>
      <c r="W133" s="108"/>
      <c r="X133" s="61" t="s">
        <v>23</v>
      </c>
      <c r="Y133" s="110" t="s">
        <v>126</v>
      </c>
      <c r="Z133" s="84"/>
      <c r="AA133" s="85"/>
      <c r="AB133" s="85"/>
      <c r="AC133" s="18"/>
      <c r="AD133" s="18"/>
      <c r="AE133" s="18"/>
      <c r="AF133" s="18"/>
    </row>
    <row r="134" ht="15.0" customHeight="1">
      <c r="A134" s="49"/>
      <c r="B134" s="49"/>
      <c r="C134" s="49"/>
      <c r="D134" s="66"/>
      <c r="E134" s="111"/>
      <c r="F134" s="66"/>
      <c r="G134" s="111"/>
      <c r="H134" s="66"/>
      <c r="I134" s="111"/>
      <c r="J134" s="66"/>
      <c r="K134" s="111"/>
      <c r="L134" s="66"/>
      <c r="M134" s="111"/>
      <c r="N134" s="66"/>
      <c r="O134" s="111"/>
      <c r="P134" s="112"/>
      <c r="Q134" s="113"/>
      <c r="R134" s="112"/>
      <c r="S134" s="113"/>
      <c r="T134" s="112"/>
      <c r="U134" s="113"/>
      <c r="V134" s="112"/>
      <c r="W134" s="113"/>
      <c r="X134" s="61" t="s">
        <v>23</v>
      </c>
      <c r="Y134" s="114" t="s">
        <v>127</v>
      </c>
      <c r="Z134" s="84"/>
      <c r="AA134" s="85"/>
      <c r="AB134" s="85"/>
      <c r="AC134" s="18"/>
      <c r="AD134" s="18"/>
      <c r="AE134" s="18"/>
      <c r="AF134" s="18"/>
    </row>
    <row r="135" ht="15.75" customHeight="1">
      <c r="A135" s="106"/>
      <c r="B135" s="107" t="s">
        <v>132</v>
      </c>
      <c r="C135" s="106"/>
      <c r="D135" s="115"/>
      <c r="E135" s="108"/>
      <c r="F135" s="115"/>
      <c r="G135" s="108"/>
      <c r="H135" s="115"/>
      <c r="I135" s="108"/>
      <c r="J135" s="115"/>
      <c r="K135" s="108"/>
      <c r="L135" s="115"/>
      <c r="M135" s="108"/>
      <c r="N135" s="115"/>
      <c r="O135" s="108"/>
      <c r="P135" s="109"/>
      <c r="Q135" s="108"/>
      <c r="R135" s="109"/>
      <c r="S135" s="108"/>
      <c r="T135" s="109"/>
      <c r="U135" s="108"/>
      <c r="V135" s="109"/>
      <c r="W135" s="108"/>
      <c r="X135" s="61" t="s">
        <v>23</v>
      </c>
      <c r="Y135" s="110" t="s">
        <v>126</v>
      </c>
      <c r="Z135" s="84"/>
      <c r="AA135" s="85"/>
      <c r="AB135" s="85"/>
      <c r="AC135" s="18"/>
      <c r="AD135" s="18"/>
      <c r="AE135" s="18"/>
      <c r="AF135" s="18"/>
    </row>
    <row r="136" ht="15.75" customHeight="1">
      <c r="A136" s="49"/>
      <c r="B136" s="49"/>
      <c r="C136" s="49"/>
      <c r="D136" s="66"/>
      <c r="E136" s="111"/>
      <c r="F136" s="66"/>
      <c r="G136" s="111"/>
      <c r="H136" s="115"/>
      <c r="I136" s="111"/>
      <c r="J136" s="66"/>
      <c r="K136" s="111"/>
      <c r="L136" s="66"/>
      <c r="M136" s="111"/>
      <c r="N136" s="66"/>
      <c r="O136" s="111"/>
      <c r="P136" s="112"/>
      <c r="Q136" s="113"/>
      <c r="R136" s="112"/>
      <c r="S136" s="113"/>
      <c r="T136" s="112"/>
      <c r="U136" s="113"/>
      <c r="V136" s="112"/>
      <c r="W136" s="113"/>
      <c r="X136" s="61" t="s">
        <v>23</v>
      </c>
      <c r="Y136" s="114" t="s">
        <v>127</v>
      </c>
      <c r="Z136" s="84"/>
      <c r="AA136" s="85"/>
      <c r="AB136" s="85"/>
      <c r="AC136" s="18"/>
      <c r="AD136" s="18"/>
      <c r="AE136" s="18"/>
      <c r="AF136" s="18"/>
    </row>
    <row r="137" ht="20.25" customHeight="1">
      <c r="A137" s="42" t="s">
        <v>65</v>
      </c>
      <c r="B137" s="43"/>
      <c r="C137" s="43"/>
      <c r="D137" s="43"/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4"/>
      <c r="Z137" s="84"/>
      <c r="AA137" s="85"/>
      <c r="AB137" s="85"/>
      <c r="AC137" s="18"/>
      <c r="AD137" s="18"/>
      <c r="AE137" s="18"/>
      <c r="AF137" s="18"/>
    </row>
    <row r="138" ht="13.5" customHeight="1">
      <c r="A138" s="45">
        <v>7.0</v>
      </c>
      <c r="B138" s="46" t="s">
        <v>133</v>
      </c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7"/>
      <c r="S138" s="47"/>
      <c r="T138" s="47"/>
      <c r="U138" s="47"/>
      <c r="V138" s="47"/>
      <c r="W138" s="47"/>
      <c r="X138" s="47"/>
      <c r="Y138" s="48"/>
      <c r="Z138" s="84"/>
      <c r="AA138" s="85"/>
      <c r="AB138" s="85"/>
      <c r="AC138" s="18"/>
      <c r="AD138" s="18"/>
      <c r="AE138" s="18"/>
      <c r="AF138" s="18"/>
    </row>
    <row r="139" ht="17.25" customHeight="1">
      <c r="A139" s="49"/>
      <c r="B139" s="50"/>
      <c r="C139" s="51"/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  <c r="Q139" s="51"/>
      <c r="R139" s="51"/>
      <c r="S139" s="51"/>
      <c r="T139" s="51"/>
      <c r="U139" s="51"/>
      <c r="V139" s="51"/>
      <c r="W139" s="51"/>
      <c r="X139" s="51"/>
      <c r="Y139" s="52"/>
      <c r="Z139" s="84"/>
      <c r="AA139" s="85"/>
      <c r="AB139" s="85"/>
      <c r="AC139" s="18"/>
      <c r="AD139" s="18"/>
      <c r="AE139" s="18"/>
      <c r="AF139" s="18"/>
    </row>
    <row r="140" ht="15.75" customHeight="1">
      <c r="A140" s="86"/>
      <c r="B140" s="118" t="s">
        <v>134</v>
      </c>
      <c r="C140" s="55"/>
      <c r="D140" s="56"/>
      <c r="E140" s="57"/>
      <c r="F140" s="56"/>
      <c r="G140" s="57"/>
      <c r="H140" s="56"/>
      <c r="I140" s="58"/>
      <c r="J140" s="56"/>
      <c r="K140" s="57"/>
      <c r="L140" s="56"/>
      <c r="M140" s="56"/>
      <c r="N140" s="61" t="s">
        <v>23</v>
      </c>
      <c r="O140" s="57"/>
      <c r="P140" s="62"/>
      <c r="Q140" s="57"/>
      <c r="R140" s="62"/>
      <c r="S140" s="57"/>
      <c r="T140" s="62"/>
      <c r="U140" s="57"/>
      <c r="V140" s="56"/>
      <c r="W140" s="57"/>
      <c r="X140" s="63"/>
      <c r="Y140" s="64"/>
      <c r="Z140" s="84"/>
      <c r="AA140" s="85"/>
      <c r="AB140" s="85"/>
      <c r="AC140" s="18"/>
      <c r="AD140" s="18"/>
      <c r="AE140" s="18"/>
      <c r="AF140" s="18"/>
    </row>
    <row r="141" ht="15.75" customHeight="1">
      <c r="A141" s="53"/>
      <c r="B141" s="119" t="s">
        <v>135</v>
      </c>
      <c r="C141" s="55"/>
      <c r="D141" s="68"/>
      <c r="E141" s="69"/>
      <c r="F141" s="68"/>
      <c r="G141" s="69"/>
      <c r="H141" s="68"/>
      <c r="I141" s="69"/>
      <c r="J141" s="68"/>
      <c r="K141" s="69"/>
      <c r="L141" s="56"/>
      <c r="M141" s="56"/>
      <c r="N141" s="61" t="s">
        <v>23</v>
      </c>
      <c r="O141" s="70"/>
      <c r="P141" s="71"/>
      <c r="Q141" s="70"/>
      <c r="R141" s="71"/>
      <c r="S141" s="70"/>
      <c r="T141" s="71"/>
      <c r="U141" s="70"/>
      <c r="V141" s="71"/>
      <c r="W141" s="70"/>
      <c r="X141" s="82"/>
      <c r="Y141" s="83"/>
      <c r="Z141" s="84"/>
      <c r="AA141" s="85"/>
      <c r="AB141" s="85"/>
      <c r="AC141" s="18"/>
      <c r="AD141" s="18"/>
      <c r="AE141" s="18"/>
      <c r="AF141" s="18"/>
    </row>
    <row r="142" ht="15.75" customHeight="1">
      <c r="A142" s="53"/>
      <c r="B142" s="119" t="s">
        <v>136</v>
      </c>
      <c r="C142" s="55"/>
      <c r="D142" s="66"/>
      <c r="E142" s="67"/>
      <c r="F142" s="66"/>
      <c r="G142" s="67"/>
      <c r="H142" s="66"/>
      <c r="I142" s="67"/>
      <c r="J142" s="66"/>
      <c r="K142" s="67"/>
      <c r="L142" s="56"/>
      <c r="M142" s="56"/>
      <c r="N142" s="61" t="s">
        <v>23</v>
      </c>
      <c r="O142" s="70"/>
      <c r="P142" s="71"/>
      <c r="Q142" s="70"/>
      <c r="R142" s="71"/>
      <c r="S142" s="70"/>
      <c r="T142" s="71"/>
      <c r="U142" s="70"/>
      <c r="V142" s="71"/>
      <c r="W142" s="70"/>
      <c r="X142" s="72"/>
      <c r="Y142" s="64"/>
      <c r="Z142" s="84"/>
      <c r="AA142" s="85"/>
      <c r="AB142" s="85"/>
      <c r="AC142" s="18"/>
      <c r="AD142" s="18"/>
      <c r="AE142" s="18"/>
      <c r="AF142" s="18"/>
    </row>
    <row r="143" ht="16.5" customHeight="1">
      <c r="A143" s="86"/>
      <c r="B143" s="119" t="s">
        <v>137</v>
      </c>
      <c r="C143" s="55"/>
      <c r="D143" s="56"/>
      <c r="E143" s="57"/>
      <c r="F143" s="56"/>
      <c r="G143" s="57"/>
      <c r="H143" s="56"/>
      <c r="I143" s="58"/>
      <c r="J143" s="56"/>
      <c r="K143" s="57"/>
      <c r="L143" s="56"/>
      <c r="M143" s="56"/>
      <c r="N143" s="61" t="s">
        <v>23</v>
      </c>
      <c r="O143" s="57"/>
      <c r="P143" s="62"/>
      <c r="Q143" s="57"/>
      <c r="R143" s="62"/>
      <c r="S143" s="57"/>
      <c r="T143" s="62"/>
      <c r="U143" s="57"/>
      <c r="V143" s="56"/>
      <c r="W143" s="57"/>
      <c r="X143" s="63"/>
      <c r="Y143" s="64"/>
      <c r="Z143" s="84"/>
      <c r="AA143" s="85"/>
      <c r="AB143" s="85"/>
      <c r="AC143" s="18"/>
      <c r="AD143" s="18"/>
      <c r="AE143" s="18"/>
      <c r="AF143" s="18"/>
    </row>
    <row r="144" ht="15.0" customHeight="1">
      <c r="A144" s="53"/>
      <c r="B144" s="119" t="s">
        <v>138</v>
      </c>
      <c r="C144" s="55"/>
      <c r="D144" s="66"/>
      <c r="E144" s="67"/>
      <c r="F144" s="66"/>
      <c r="G144" s="67"/>
      <c r="H144" s="66"/>
      <c r="I144" s="67"/>
      <c r="J144" s="66"/>
      <c r="K144" s="67"/>
      <c r="L144" s="56"/>
      <c r="M144" s="56"/>
      <c r="N144" s="61" t="s">
        <v>23</v>
      </c>
      <c r="O144" s="70"/>
      <c r="P144" s="71"/>
      <c r="Q144" s="70"/>
      <c r="R144" s="71"/>
      <c r="S144" s="70"/>
      <c r="T144" s="71"/>
      <c r="U144" s="70"/>
      <c r="V144" s="71"/>
      <c r="W144" s="70"/>
      <c r="X144" s="82"/>
      <c r="Y144" s="83"/>
      <c r="Z144" s="84"/>
      <c r="AA144" s="85"/>
      <c r="AB144" s="85"/>
      <c r="AC144" s="18"/>
      <c r="AD144" s="18"/>
      <c r="AE144" s="18"/>
      <c r="AF144" s="18"/>
    </row>
    <row r="145" ht="15.0" customHeight="1">
      <c r="A145" s="53"/>
      <c r="B145" s="119" t="s">
        <v>139</v>
      </c>
      <c r="C145" s="55"/>
      <c r="D145" s="66"/>
      <c r="E145" s="67"/>
      <c r="F145" s="66"/>
      <c r="G145" s="67"/>
      <c r="H145" s="66"/>
      <c r="I145" s="67"/>
      <c r="J145" s="66"/>
      <c r="K145" s="67"/>
      <c r="L145" s="56"/>
      <c r="M145" s="56"/>
      <c r="N145" s="61" t="s">
        <v>23</v>
      </c>
      <c r="O145" s="70"/>
      <c r="P145" s="71"/>
      <c r="Q145" s="70"/>
      <c r="R145" s="71"/>
      <c r="S145" s="70"/>
      <c r="T145" s="71"/>
      <c r="U145" s="70"/>
      <c r="V145" s="71"/>
      <c r="W145" s="70"/>
      <c r="X145" s="72"/>
      <c r="Y145" s="64"/>
      <c r="Z145" s="84"/>
      <c r="AA145" s="85"/>
      <c r="AB145" s="85"/>
      <c r="AC145" s="18"/>
      <c r="AD145" s="18"/>
      <c r="AE145" s="18"/>
      <c r="AF145" s="18"/>
    </row>
    <row r="146" ht="14.25" customHeight="1">
      <c r="A146" s="53"/>
      <c r="B146" s="119" t="s">
        <v>140</v>
      </c>
      <c r="C146" s="55"/>
      <c r="D146" s="66"/>
      <c r="E146" s="67"/>
      <c r="F146" s="66"/>
      <c r="G146" s="67"/>
      <c r="H146" s="66"/>
      <c r="I146" s="67"/>
      <c r="J146" s="66"/>
      <c r="K146" s="67"/>
      <c r="L146" s="56"/>
      <c r="M146" s="56"/>
      <c r="N146" s="61" t="s">
        <v>23</v>
      </c>
      <c r="O146" s="70"/>
      <c r="P146" s="71"/>
      <c r="Q146" s="70"/>
      <c r="R146" s="71"/>
      <c r="S146" s="70"/>
      <c r="T146" s="71"/>
      <c r="U146" s="70"/>
      <c r="V146" s="71"/>
      <c r="W146" s="70"/>
      <c r="X146" s="72"/>
      <c r="Y146" s="64"/>
      <c r="Z146" s="84"/>
      <c r="AA146" s="85"/>
      <c r="AB146" s="85"/>
      <c r="AC146" s="18"/>
      <c r="AD146" s="18"/>
      <c r="AE146" s="18"/>
      <c r="AF146" s="18"/>
    </row>
    <row r="147" ht="14.25" customHeight="1">
      <c r="A147" s="53"/>
      <c r="B147" s="119" t="s">
        <v>141</v>
      </c>
      <c r="C147" s="55"/>
      <c r="D147" s="66"/>
      <c r="E147" s="67"/>
      <c r="F147" s="66"/>
      <c r="G147" s="67"/>
      <c r="H147" s="66"/>
      <c r="I147" s="67"/>
      <c r="J147" s="66"/>
      <c r="K147" s="67"/>
      <c r="L147" s="56"/>
      <c r="M147" s="56"/>
      <c r="N147" s="61" t="s">
        <v>23</v>
      </c>
      <c r="O147" s="70"/>
      <c r="P147" s="71"/>
      <c r="Q147" s="70"/>
      <c r="R147" s="71"/>
      <c r="S147" s="70"/>
      <c r="T147" s="71"/>
      <c r="U147" s="70"/>
      <c r="V147" s="71"/>
      <c r="W147" s="70"/>
      <c r="X147" s="72"/>
      <c r="Y147" s="64"/>
      <c r="Z147" s="84"/>
      <c r="AA147" s="85"/>
      <c r="AB147" s="85"/>
      <c r="AC147" s="18"/>
      <c r="AD147" s="18"/>
      <c r="AE147" s="18"/>
      <c r="AF147" s="18"/>
    </row>
    <row r="148" ht="15.0" customHeight="1">
      <c r="A148" s="53"/>
      <c r="B148" s="119" t="s">
        <v>142</v>
      </c>
      <c r="C148" s="55"/>
      <c r="D148" s="66"/>
      <c r="E148" s="67"/>
      <c r="F148" s="66"/>
      <c r="G148" s="67"/>
      <c r="H148" s="66"/>
      <c r="I148" s="67"/>
      <c r="J148" s="66"/>
      <c r="K148" s="67"/>
      <c r="L148" s="56"/>
      <c r="M148" s="56"/>
      <c r="N148" s="61" t="s">
        <v>23</v>
      </c>
      <c r="O148" s="70"/>
      <c r="P148" s="71"/>
      <c r="Q148" s="70"/>
      <c r="R148" s="71"/>
      <c r="S148" s="70"/>
      <c r="T148" s="71"/>
      <c r="U148" s="70"/>
      <c r="V148" s="71"/>
      <c r="W148" s="70"/>
      <c r="X148" s="72"/>
      <c r="Y148" s="64"/>
      <c r="Z148" s="84"/>
      <c r="AA148" s="85"/>
      <c r="AB148" s="85"/>
      <c r="AC148" s="18"/>
      <c r="AD148" s="18"/>
      <c r="AE148" s="18"/>
      <c r="AF148" s="18"/>
    </row>
    <row r="149" ht="15.0" customHeight="1">
      <c r="A149" s="53"/>
      <c r="B149" s="119" t="s">
        <v>143</v>
      </c>
      <c r="C149" s="55"/>
      <c r="D149" s="73"/>
      <c r="E149" s="67"/>
      <c r="F149" s="73"/>
      <c r="G149" s="67"/>
      <c r="H149" s="73"/>
      <c r="I149" s="67"/>
      <c r="J149" s="73"/>
      <c r="K149" s="67"/>
      <c r="L149" s="56"/>
      <c r="M149" s="56"/>
      <c r="N149" s="61" t="s">
        <v>23</v>
      </c>
      <c r="O149" s="70"/>
      <c r="P149" s="71"/>
      <c r="Q149" s="70"/>
      <c r="R149" s="71"/>
      <c r="S149" s="70"/>
      <c r="T149" s="71"/>
      <c r="U149" s="70"/>
      <c r="V149" s="71"/>
      <c r="W149" s="70"/>
      <c r="X149" s="72"/>
      <c r="Y149" s="64"/>
      <c r="Z149" s="84"/>
      <c r="AA149" s="85"/>
      <c r="AB149" s="85"/>
      <c r="AC149" s="18"/>
      <c r="AD149" s="18"/>
      <c r="AE149" s="18"/>
      <c r="AF149" s="18"/>
    </row>
    <row r="150" ht="13.5" customHeight="1">
      <c r="A150" s="45">
        <v>8.0</v>
      </c>
      <c r="B150" s="46" t="s">
        <v>144</v>
      </c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7"/>
      <c r="W150" s="47"/>
      <c r="X150" s="47"/>
      <c r="Y150" s="48"/>
      <c r="Z150" s="84"/>
      <c r="AA150" s="85"/>
      <c r="AB150" s="85"/>
      <c r="AC150" s="18"/>
      <c r="AD150" s="18"/>
      <c r="AE150" s="18"/>
      <c r="AF150" s="18"/>
    </row>
    <row r="151" ht="16.5" customHeight="1">
      <c r="A151" s="49"/>
      <c r="B151" s="50"/>
      <c r="C151" s="51"/>
      <c r="D151" s="51"/>
      <c r="E151" s="51"/>
      <c r="F151" s="51"/>
      <c r="G151" s="51"/>
      <c r="H151" s="51"/>
      <c r="I151" s="51"/>
      <c r="J151" s="51"/>
      <c r="K151" s="51"/>
      <c r="L151" s="51"/>
      <c r="M151" s="51"/>
      <c r="N151" s="51"/>
      <c r="O151" s="51"/>
      <c r="P151" s="51"/>
      <c r="Q151" s="51"/>
      <c r="R151" s="51"/>
      <c r="S151" s="51"/>
      <c r="T151" s="51"/>
      <c r="U151" s="51"/>
      <c r="V151" s="51"/>
      <c r="W151" s="51"/>
      <c r="X151" s="51"/>
      <c r="Y151" s="52"/>
      <c r="Z151" s="84"/>
      <c r="AA151" s="85"/>
      <c r="AB151" s="85"/>
      <c r="AC151" s="18"/>
      <c r="AD151" s="18"/>
      <c r="AE151" s="18"/>
      <c r="AF151" s="18"/>
    </row>
    <row r="152" ht="15.75" customHeight="1">
      <c r="A152" s="86"/>
      <c r="B152" s="118" t="s">
        <v>145</v>
      </c>
      <c r="C152" s="55"/>
      <c r="D152" s="56"/>
      <c r="E152" s="57"/>
      <c r="F152" s="56"/>
      <c r="G152" s="57"/>
      <c r="H152" s="56"/>
      <c r="I152" s="56"/>
      <c r="J152" s="61" t="s">
        <v>23</v>
      </c>
      <c r="K152" s="57"/>
      <c r="L152" s="62"/>
      <c r="M152" s="57"/>
      <c r="N152" s="62"/>
      <c r="O152" s="57"/>
      <c r="P152" s="62"/>
      <c r="Q152" s="57"/>
      <c r="R152" s="62"/>
      <c r="S152" s="57"/>
      <c r="T152" s="62"/>
      <c r="U152" s="57"/>
      <c r="V152" s="56"/>
      <c r="W152" s="57"/>
      <c r="X152" s="63"/>
      <c r="Y152" s="64"/>
      <c r="Z152" s="84"/>
      <c r="AA152" s="85"/>
      <c r="AB152" s="85"/>
      <c r="AC152" s="18"/>
      <c r="AD152" s="18"/>
      <c r="AE152" s="18"/>
      <c r="AF152" s="18"/>
    </row>
    <row r="153" ht="15.0" customHeight="1">
      <c r="A153" s="53"/>
      <c r="B153" s="119" t="s">
        <v>146</v>
      </c>
      <c r="C153" s="55"/>
      <c r="D153" s="56"/>
      <c r="E153" s="57"/>
      <c r="F153" s="56"/>
      <c r="G153" s="57"/>
      <c r="H153" s="56"/>
      <c r="I153" s="57"/>
      <c r="J153" s="61" t="s">
        <v>23</v>
      </c>
      <c r="K153" s="70"/>
      <c r="L153" s="71"/>
      <c r="M153" s="70"/>
      <c r="N153" s="71"/>
      <c r="O153" s="70"/>
      <c r="P153" s="71"/>
      <c r="Q153" s="70"/>
      <c r="R153" s="71"/>
      <c r="S153" s="70"/>
      <c r="T153" s="71"/>
      <c r="U153" s="70"/>
      <c r="V153" s="71"/>
      <c r="W153" s="70"/>
      <c r="X153" s="82"/>
      <c r="Y153" s="83"/>
      <c r="Z153" s="84"/>
      <c r="AA153" s="85"/>
      <c r="AB153" s="85"/>
      <c r="AC153" s="18"/>
      <c r="AD153" s="18"/>
      <c r="AE153" s="18"/>
      <c r="AF153" s="18"/>
    </row>
    <row r="154" ht="15.75" customHeight="1">
      <c r="A154" s="53"/>
      <c r="B154" s="119" t="s">
        <v>147</v>
      </c>
      <c r="C154" s="55"/>
      <c r="D154" s="56"/>
      <c r="E154" s="57"/>
      <c r="F154" s="56"/>
      <c r="G154" s="57"/>
      <c r="H154" s="56"/>
      <c r="I154" s="57"/>
      <c r="J154" s="61" t="s">
        <v>23</v>
      </c>
      <c r="K154" s="70"/>
      <c r="L154" s="71"/>
      <c r="M154" s="70"/>
      <c r="N154" s="71"/>
      <c r="O154" s="70"/>
      <c r="P154" s="71"/>
      <c r="Q154" s="70"/>
      <c r="R154" s="71"/>
      <c r="S154" s="70"/>
      <c r="T154" s="71"/>
      <c r="U154" s="70"/>
      <c r="V154" s="71"/>
      <c r="W154" s="70"/>
      <c r="X154" s="72"/>
      <c r="Y154" s="64"/>
      <c r="Z154" s="84"/>
      <c r="AA154" s="85"/>
      <c r="AB154" s="85"/>
      <c r="AC154" s="18"/>
      <c r="AD154" s="18"/>
      <c r="AE154" s="18"/>
      <c r="AF154" s="18"/>
    </row>
    <row r="155" ht="15.0" customHeight="1">
      <c r="A155" s="53"/>
      <c r="B155" s="119" t="s">
        <v>148</v>
      </c>
      <c r="C155" s="55"/>
      <c r="D155" s="73"/>
      <c r="E155" s="67"/>
      <c r="F155" s="73"/>
      <c r="G155" s="67"/>
      <c r="H155" s="71"/>
      <c r="I155" s="70"/>
      <c r="J155" s="61" t="s">
        <v>23</v>
      </c>
      <c r="K155" s="70"/>
      <c r="L155" s="71"/>
      <c r="M155" s="70"/>
      <c r="N155" s="71"/>
      <c r="O155" s="70"/>
      <c r="P155" s="71"/>
      <c r="Q155" s="70"/>
      <c r="R155" s="71"/>
      <c r="S155" s="70"/>
      <c r="T155" s="71"/>
      <c r="U155" s="70"/>
      <c r="V155" s="71"/>
      <c r="W155" s="70"/>
      <c r="X155" s="72"/>
      <c r="Y155" s="64"/>
      <c r="Z155" s="84"/>
      <c r="AA155" s="85"/>
      <c r="AB155" s="85"/>
      <c r="AC155" s="18"/>
      <c r="AD155" s="18"/>
      <c r="AE155" s="18"/>
      <c r="AF155" s="18"/>
    </row>
    <row r="156" ht="15.75" customHeight="1">
      <c r="A156" s="53"/>
      <c r="B156" s="119" t="s">
        <v>149</v>
      </c>
      <c r="C156" s="55"/>
      <c r="D156" s="73"/>
      <c r="E156" s="67"/>
      <c r="F156" s="73"/>
      <c r="G156" s="67"/>
      <c r="H156" s="71"/>
      <c r="I156" s="70"/>
      <c r="J156" s="61" t="s">
        <v>23</v>
      </c>
      <c r="K156" s="70"/>
      <c r="L156" s="71"/>
      <c r="M156" s="70"/>
      <c r="N156" s="71"/>
      <c r="O156" s="70"/>
      <c r="P156" s="71"/>
      <c r="Q156" s="70"/>
      <c r="R156" s="71"/>
      <c r="S156" s="70"/>
      <c r="T156" s="71"/>
      <c r="U156" s="70"/>
      <c r="V156" s="71"/>
      <c r="W156" s="70"/>
      <c r="X156" s="72"/>
      <c r="Y156" s="64"/>
      <c r="Z156" s="84"/>
      <c r="AA156" s="85"/>
      <c r="AB156" s="85"/>
      <c r="AC156" s="18"/>
      <c r="AD156" s="18"/>
      <c r="AE156" s="18"/>
      <c r="AF156" s="18"/>
    </row>
    <row r="157" ht="16.5" customHeight="1">
      <c r="A157" s="53"/>
      <c r="B157" s="119" t="s">
        <v>150</v>
      </c>
      <c r="C157" s="55"/>
      <c r="D157" s="73"/>
      <c r="E157" s="67"/>
      <c r="F157" s="73"/>
      <c r="G157" s="67"/>
      <c r="H157" s="71"/>
      <c r="I157" s="70"/>
      <c r="J157" s="61" t="s">
        <v>23</v>
      </c>
      <c r="K157" s="70"/>
      <c r="L157" s="71"/>
      <c r="M157" s="70"/>
      <c r="N157" s="71"/>
      <c r="O157" s="70"/>
      <c r="P157" s="71"/>
      <c r="Q157" s="70"/>
      <c r="R157" s="71"/>
      <c r="S157" s="70"/>
      <c r="T157" s="71"/>
      <c r="U157" s="70"/>
      <c r="V157" s="71"/>
      <c r="W157" s="70"/>
      <c r="X157" s="82"/>
      <c r="Y157" s="83"/>
      <c r="Z157" s="84"/>
      <c r="AA157" s="85"/>
      <c r="AB157" s="85"/>
      <c r="AC157" s="18"/>
      <c r="AD157" s="18"/>
      <c r="AE157" s="18"/>
      <c r="AF157" s="18"/>
    </row>
    <row r="158" ht="13.5" customHeight="1">
      <c r="A158" s="45">
        <v>9.0</v>
      </c>
      <c r="B158" s="46" t="s">
        <v>151</v>
      </c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Y158" s="48"/>
      <c r="Z158" s="84"/>
      <c r="AA158" s="85"/>
      <c r="AB158" s="85"/>
      <c r="AC158" s="18"/>
      <c r="AD158" s="18"/>
      <c r="AE158" s="18"/>
      <c r="AF158" s="18"/>
    </row>
    <row r="159" ht="18.75" customHeight="1">
      <c r="A159" s="49"/>
      <c r="B159" s="50"/>
      <c r="C159" s="51"/>
      <c r="D159" s="51"/>
      <c r="E159" s="51"/>
      <c r="F159" s="51"/>
      <c r="G159" s="51"/>
      <c r="H159" s="51"/>
      <c r="I159" s="51"/>
      <c r="J159" s="51"/>
      <c r="K159" s="51"/>
      <c r="L159" s="51"/>
      <c r="M159" s="51"/>
      <c r="N159" s="51"/>
      <c r="O159" s="51"/>
      <c r="P159" s="51"/>
      <c r="Q159" s="51"/>
      <c r="R159" s="51"/>
      <c r="S159" s="51"/>
      <c r="T159" s="51"/>
      <c r="U159" s="51"/>
      <c r="V159" s="51"/>
      <c r="W159" s="51"/>
      <c r="X159" s="51"/>
      <c r="Y159" s="52"/>
      <c r="Z159" s="84"/>
      <c r="AA159" s="85"/>
      <c r="AB159" s="85"/>
      <c r="AC159" s="18"/>
      <c r="AD159" s="18"/>
      <c r="AE159" s="18"/>
      <c r="AF159" s="18"/>
    </row>
    <row r="160" ht="20.25" customHeight="1">
      <c r="A160" s="86"/>
      <c r="B160" s="118" t="s">
        <v>152</v>
      </c>
      <c r="C160" s="55"/>
      <c r="D160" s="56"/>
      <c r="E160" s="57"/>
      <c r="F160" s="56"/>
      <c r="G160" s="57"/>
      <c r="H160" s="56"/>
      <c r="I160" s="58"/>
      <c r="J160" s="61" t="s">
        <v>23</v>
      </c>
      <c r="K160" s="57"/>
      <c r="L160" s="62"/>
      <c r="M160" s="57"/>
      <c r="N160" s="62"/>
      <c r="O160" s="57"/>
      <c r="P160" s="62"/>
      <c r="Q160" s="57"/>
      <c r="R160" s="62"/>
      <c r="S160" s="57"/>
      <c r="T160" s="62"/>
      <c r="U160" s="57"/>
      <c r="V160" s="56"/>
      <c r="W160" s="57"/>
      <c r="X160" s="63"/>
      <c r="Y160" s="64"/>
      <c r="Z160" s="84"/>
      <c r="AA160" s="85"/>
      <c r="AB160" s="85"/>
      <c r="AC160" s="18"/>
      <c r="AD160" s="18"/>
      <c r="AE160" s="18"/>
      <c r="AF160" s="18"/>
    </row>
    <row r="161" ht="21.0" customHeight="1">
      <c r="A161" s="53"/>
      <c r="B161" s="119" t="s">
        <v>153</v>
      </c>
      <c r="C161" s="55"/>
      <c r="D161" s="66"/>
      <c r="E161" s="67"/>
      <c r="F161" s="66"/>
      <c r="G161" s="67"/>
      <c r="H161" s="66"/>
      <c r="I161" s="67"/>
      <c r="J161" s="61" t="s">
        <v>23</v>
      </c>
      <c r="K161" s="70"/>
      <c r="L161" s="71"/>
      <c r="M161" s="70"/>
      <c r="N161" s="71"/>
      <c r="O161" s="70"/>
      <c r="P161" s="71"/>
      <c r="Q161" s="70"/>
      <c r="R161" s="71"/>
      <c r="S161" s="70"/>
      <c r="T161" s="71"/>
      <c r="U161" s="70"/>
      <c r="V161" s="71"/>
      <c r="W161" s="70"/>
      <c r="X161" s="82"/>
      <c r="Y161" s="83"/>
      <c r="Z161" s="84"/>
      <c r="AA161" s="85"/>
      <c r="AB161" s="85"/>
      <c r="AC161" s="18"/>
      <c r="AD161" s="18"/>
      <c r="AE161" s="18"/>
      <c r="AF161" s="18"/>
    </row>
    <row r="162" ht="13.5" customHeight="1">
      <c r="A162" s="45">
        <v>10.0</v>
      </c>
      <c r="B162" s="46" t="s">
        <v>154</v>
      </c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47"/>
      <c r="P162" s="47"/>
      <c r="Q162" s="47"/>
      <c r="R162" s="47"/>
      <c r="S162" s="47"/>
      <c r="T162" s="47"/>
      <c r="U162" s="47"/>
      <c r="V162" s="47"/>
      <c r="W162" s="120"/>
      <c r="X162" s="121"/>
      <c r="Y162" s="122"/>
      <c r="Z162" s="84"/>
      <c r="AA162" s="85"/>
      <c r="AB162" s="85"/>
      <c r="AC162" s="18"/>
      <c r="AD162" s="18"/>
      <c r="AE162" s="18"/>
      <c r="AF162" s="18"/>
    </row>
    <row r="163" ht="16.5" customHeight="1">
      <c r="A163" s="49"/>
      <c r="B163" s="50"/>
      <c r="C163" s="51"/>
      <c r="D163" s="51"/>
      <c r="E163" s="51"/>
      <c r="F163" s="51"/>
      <c r="G163" s="51"/>
      <c r="H163" s="51"/>
      <c r="I163" s="51"/>
      <c r="J163" s="51"/>
      <c r="K163" s="51"/>
      <c r="L163" s="51"/>
      <c r="M163" s="51"/>
      <c r="N163" s="51"/>
      <c r="O163" s="51"/>
      <c r="P163" s="51"/>
      <c r="Q163" s="51"/>
      <c r="R163" s="51"/>
      <c r="S163" s="51"/>
      <c r="T163" s="51"/>
      <c r="U163" s="51"/>
      <c r="V163" s="51"/>
      <c r="W163" s="123"/>
      <c r="X163" s="124"/>
      <c r="Y163" s="49"/>
      <c r="Z163" s="84"/>
      <c r="AA163" s="85"/>
      <c r="AB163" s="85"/>
      <c r="AC163" s="18"/>
      <c r="AD163" s="18"/>
      <c r="AE163" s="18"/>
      <c r="AF163" s="18"/>
    </row>
    <row r="164" ht="15.75" customHeight="1">
      <c r="A164" s="86"/>
      <c r="B164" s="118" t="s">
        <v>155</v>
      </c>
      <c r="C164" s="55"/>
      <c r="D164" s="56"/>
      <c r="E164" s="57"/>
      <c r="F164" s="56"/>
      <c r="G164" s="57"/>
      <c r="H164" s="56"/>
      <c r="I164" s="58"/>
      <c r="J164" s="56"/>
      <c r="K164" s="57"/>
      <c r="L164" s="56"/>
      <c r="M164" s="57"/>
      <c r="N164" s="56"/>
      <c r="O164" s="57"/>
      <c r="P164" s="56"/>
      <c r="Q164" s="57"/>
      <c r="R164" s="56"/>
      <c r="S164" s="57"/>
      <c r="T164" s="56"/>
      <c r="U164" s="57"/>
      <c r="V164" s="56"/>
      <c r="W164" s="57"/>
      <c r="X164" s="56"/>
      <c r="Y164" s="61" t="s">
        <v>23</v>
      </c>
      <c r="Z164" s="84"/>
      <c r="AA164" s="85"/>
      <c r="AB164" s="85"/>
      <c r="AC164" s="18"/>
      <c r="AD164" s="18"/>
      <c r="AE164" s="18"/>
      <c r="AF164" s="18"/>
    </row>
    <row r="165" ht="15.75" customHeight="1">
      <c r="A165" s="53"/>
      <c r="B165" s="119" t="s">
        <v>156</v>
      </c>
      <c r="C165" s="55"/>
      <c r="D165" s="66"/>
      <c r="E165" s="67"/>
      <c r="F165" s="56"/>
      <c r="G165" s="67"/>
      <c r="H165" s="56"/>
      <c r="I165" s="67"/>
      <c r="J165" s="56"/>
      <c r="K165" s="67"/>
      <c r="L165" s="56"/>
      <c r="M165" s="67"/>
      <c r="N165" s="66"/>
      <c r="O165" s="67"/>
      <c r="P165" s="56"/>
      <c r="Q165" s="67"/>
      <c r="R165" s="56"/>
      <c r="S165" s="67"/>
      <c r="T165" s="56"/>
      <c r="U165" s="67"/>
      <c r="V165" s="56"/>
      <c r="W165" s="67"/>
      <c r="X165" s="125"/>
      <c r="Y165" s="61" t="s">
        <v>23</v>
      </c>
      <c r="Z165" s="84"/>
      <c r="AA165" s="85"/>
      <c r="AB165" s="85"/>
      <c r="AC165" s="18"/>
      <c r="AD165" s="18"/>
      <c r="AE165" s="18"/>
      <c r="AF165" s="18"/>
    </row>
    <row r="166" ht="15.75" customHeight="1">
      <c r="A166" s="53"/>
      <c r="B166" s="119" t="s">
        <v>157</v>
      </c>
      <c r="C166" s="55"/>
      <c r="D166" s="66"/>
      <c r="E166" s="67"/>
      <c r="F166" s="66"/>
      <c r="G166" s="67"/>
      <c r="H166" s="66"/>
      <c r="I166" s="67"/>
      <c r="J166" s="66"/>
      <c r="K166" s="67"/>
      <c r="L166" s="66"/>
      <c r="M166" s="67"/>
      <c r="N166" s="66"/>
      <c r="O166" s="67"/>
      <c r="P166" s="66"/>
      <c r="Q166" s="67"/>
      <c r="R166" s="66"/>
      <c r="S166" s="67"/>
      <c r="T166" s="66"/>
      <c r="U166" s="67"/>
      <c r="V166" s="66"/>
      <c r="W166" s="67"/>
      <c r="X166" s="125"/>
      <c r="Y166" s="61" t="s">
        <v>23</v>
      </c>
      <c r="Z166" s="84"/>
      <c r="AA166" s="85"/>
      <c r="AB166" s="85"/>
      <c r="AC166" s="18"/>
      <c r="AD166" s="18"/>
      <c r="AE166" s="18"/>
      <c r="AF166" s="18"/>
    </row>
    <row r="167" ht="18.0" customHeight="1">
      <c r="A167" s="53"/>
      <c r="B167" s="119" t="s">
        <v>158</v>
      </c>
      <c r="C167" s="55"/>
      <c r="D167" s="66"/>
      <c r="E167" s="67"/>
      <c r="F167" s="66"/>
      <c r="G167" s="67"/>
      <c r="H167" s="66"/>
      <c r="I167" s="67"/>
      <c r="J167" s="66"/>
      <c r="K167" s="67"/>
      <c r="L167" s="66"/>
      <c r="M167" s="67"/>
      <c r="N167" s="66"/>
      <c r="O167" s="67"/>
      <c r="P167" s="66"/>
      <c r="Q167" s="67"/>
      <c r="R167" s="66"/>
      <c r="S167" s="67"/>
      <c r="T167" s="66"/>
      <c r="U167" s="67"/>
      <c r="V167" s="66"/>
      <c r="W167" s="67"/>
      <c r="X167" s="125"/>
      <c r="Y167" s="61" t="s">
        <v>23</v>
      </c>
      <c r="Z167" s="84"/>
      <c r="AA167" s="85"/>
      <c r="AB167" s="85"/>
      <c r="AC167" s="18"/>
      <c r="AD167" s="18"/>
      <c r="AE167" s="18"/>
      <c r="AF167" s="18"/>
    </row>
    <row r="168" ht="22.5" customHeight="1">
      <c r="A168" s="99" t="s">
        <v>159</v>
      </c>
      <c r="B168" s="43"/>
      <c r="C168" s="43"/>
      <c r="D168" s="43"/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4"/>
      <c r="Z168" s="84"/>
      <c r="AA168" s="85"/>
      <c r="AB168" s="85"/>
      <c r="AC168" s="18"/>
      <c r="AD168" s="18"/>
      <c r="AE168" s="18"/>
      <c r="AF168" s="18"/>
    </row>
    <row r="169" ht="13.5" customHeight="1">
      <c r="A169" s="42" t="s">
        <v>21</v>
      </c>
      <c r="B169" s="43"/>
      <c r="C169" s="43"/>
      <c r="D169" s="43"/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4"/>
      <c r="Z169" s="84"/>
      <c r="AA169" s="85"/>
      <c r="AB169" s="85"/>
      <c r="AC169" s="18"/>
      <c r="AD169" s="18"/>
      <c r="AE169" s="18"/>
      <c r="AF169" s="18"/>
    </row>
    <row r="170" ht="10.5" customHeight="1">
      <c r="A170" s="45">
        <v>1.0</v>
      </c>
      <c r="B170" s="46" t="s">
        <v>160</v>
      </c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  <c r="S170" s="47"/>
      <c r="T170" s="47"/>
      <c r="U170" s="47"/>
      <c r="V170" s="47"/>
      <c r="W170" s="47"/>
      <c r="X170" s="47"/>
      <c r="Y170" s="48"/>
      <c r="Z170" s="84"/>
      <c r="AA170" s="85"/>
      <c r="AB170" s="85"/>
      <c r="AC170" s="18"/>
      <c r="AD170" s="18"/>
      <c r="AE170" s="18"/>
      <c r="AF170" s="18"/>
    </row>
    <row r="171" ht="16.5" customHeight="1">
      <c r="A171" s="49"/>
      <c r="B171" s="50"/>
      <c r="C171" s="51"/>
      <c r="D171" s="51"/>
      <c r="E171" s="51"/>
      <c r="F171" s="51"/>
      <c r="G171" s="51"/>
      <c r="H171" s="51"/>
      <c r="I171" s="51"/>
      <c r="J171" s="51"/>
      <c r="K171" s="51"/>
      <c r="L171" s="51"/>
      <c r="M171" s="51"/>
      <c r="N171" s="51"/>
      <c r="O171" s="51"/>
      <c r="P171" s="51"/>
      <c r="Q171" s="51"/>
      <c r="R171" s="51"/>
      <c r="S171" s="51"/>
      <c r="T171" s="51"/>
      <c r="U171" s="51"/>
      <c r="V171" s="51"/>
      <c r="W171" s="51"/>
      <c r="X171" s="51"/>
      <c r="Y171" s="52"/>
      <c r="Z171" s="84"/>
      <c r="AA171" s="85"/>
      <c r="AB171" s="85"/>
      <c r="AC171" s="18"/>
      <c r="AD171" s="18"/>
      <c r="AE171" s="18"/>
      <c r="AF171" s="18"/>
    </row>
    <row r="172" ht="17.25" customHeight="1">
      <c r="A172" s="86"/>
      <c r="B172" s="126" t="s">
        <v>161</v>
      </c>
      <c r="C172" s="55"/>
      <c r="D172" s="56"/>
      <c r="E172" s="57"/>
      <c r="F172" s="56"/>
      <c r="G172" s="57"/>
      <c r="H172" s="56"/>
      <c r="I172" s="58"/>
      <c r="J172" s="56"/>
      <c r="K172" s="57"/>
      <c r="L172" s="61" t="s">
        <v>23</v>
      </c>
      <c r="M172" s="57"/>
      <c r="N172" s="62"/>
      <c r="O172" s="57"/>
      <c r="P172" s="62"/>
      <c r="Q172" s="57"/>
      <c r="R172" s="62"/>
      <c r="S172" s="57"/>
      <c r="T172" s="62"/>
      <c r="U172" s="57"/>
      <c r="V172" s="56"/>
      <c r="W172" s="57"/>
      <c r="X172" s="63"/>
      <c r="Y172" s="64"/>
      <c r="Z172" s="84"/>
      <c r="AA172" s="85"/>
      <c r="AB172" s="85"/>
      <c r="AC172" s="18"/>
      <c r="AD172" s="18"/>
      <c r="AE172" s="18"/>
      <c r="AF172" s="18"/>
    </row>
    <row r="173" ht="13.5" customHeight="1">
      <c r="A173" s="45">
        <v>2.0</v>
      </c>
      <c r="B173" s="46" t="s">
        <v>162</v>
      </c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47"/>
      <c r="P173" s="47"/>
      <c r="Q173" s="47"/>
      <c r="R173" s="47"/>
      <c r="S173" s="47"/>
      <c r="T173" s="47"/>
      <c r="U173" s="47"/>
      <c r="V173" s="47"/>
      <c r="W173" s="47"/>
      <c r="X173" s="47"/>
      <c r="Y173" s="48"/>
      <c r="Z173" s="84"/>
      <c r="AA173" s="85"/>
      <c r="AB173" s="85"/>
      <c r="AC173" s="18"/>
      <c r="AD173" s="18"/>
      <c r="AE173" s="18"/>
      <c r="AF173" s="18"/>
    </row>
    <row r="174" ht="15.0" customHeight="1">
      <c r="A174" s="49"/>
      <c r="B174" s="50"/>
      <c r="C174" s="51"/>
      <c r="D174" s="51"/>
      <c r="E174" s="51"/>
      <c r="F174" s="51"/>
      <c r="G174" s="51"/>
      <c r="H174" s="51"/>
      <c r="I174" s="51"/>
      <c r="J174" s="51"/>
      <c r="K174" s="51"/>
      <c r="L174" s="51"/>
      <c r="M174" s="51"/>
      <c r="N174" s="51"/>
      <c r="O174" s="51"/>
      <c r="P174" s="51"/>
      <c r="Q174" s="51"/>
      <c r="R174" s="51"/>
      <c r="S174" s="51"/>
      <c r="T174" s="51"/>
      <c r="U174" s="51"/>
      <c r="V174" s="51"/>
      <c r="W174" s="51"/>
      <c r="X174" s="51"/>
      <c r="Y174" s="52"/>
      <c r="Z174" s="84"/>
      <c r="AA174" s="85"/>
      <c r="AB174" s="85"/>
      <c r="AC174" s="18"/>
      <c r="AD174" s="18"/>
      <c r="AE174" s="18"/>
      <c r="AF174" s="18"/>
    </row>
    <row r="175" ht="15.0" customHeight="1">
      <c r="A175" s="86"/>
      <c r="B175" s="118" t="s">
        <v>163</v>
      </c>
      <c r="C175" s="55"/>
      <c r="D175" s="56"/>
      <c r="E175" s="57"/>
      <c r="F175" s="56"/>
      <c r="G175" s="57"/>
      <c r="H175" s="56"/>
      <c r="I175" s="58"/>
      <c r="J175" s="56"/>
      <c r="K175" s="57"/>
      <c r="L175" s="61" t="s">
        <v>23</v>
      </c>
      <c r="M175" s="57"/>
      <c r="N175" s="62"/>
      <c r="O175" s="57"/>
      <c r="P175" s="62"/>
      <c r="Q175" s="57"/>
      <c r="R175" s="62"/>
      <c r="S175" s="57"/>
      <c r="T175" s="62"/>
      <c r="U175" s="57"/>
      <c r="V175" s="56"/>
      <c r="W175" s="57"/>
      <c r="X175" s="63"/>
      <c r="Y175" s="64"/>
      <c r="Z175" s="84"/>
      <c r="AA175" s="85"/>
      <c r="AB175" s="85"/>
      <c r="AC175" s="18"/>
      <c r="AD175" s="18"/>
      <c r="AE175" s="18"/>
      <c r="AF175" s="18"/>
    </row>
    <row r="176" ht="15.0" customHeight="1">
      <c r="A176" s="86"/>
      <c r="B176" s="119" t="s">
        <v>164</v>
      </c>
      <c r="C176" s="55"/>
      <c r="D176" s="56"/>
      <c r="E176" s="57"/>
      <c r="F176" s="56"/>
      <c r="G176" s="57"/>
      <c r="H176" s="56"/>
      <c r="I176" s="58"/>
      <c r="J176" s="56"/>
      <c r="K176" s="57"/>
      <c r="L176" s="61" t="s">
        <v>23</v>
      </c>
      <c r="M176" s="57"/>
      <c r="N176" s="62"/>
      <c r="O176" s="57"/>
      <c r="P176" s="62"/>
      <c r="Q176" s="57"/>
      <c r="R176" s="62"/>
      <c r="S176" s="57"/>
      <c r="T176" s="62"/>
      <c r="U176" s="57"/>
      <c r="V176" s="56"/>
      <c r="W176" s="57"/>
      <c r="X176" s="63"/>
      <c r="Y176" s="64"/>
      <c r="Z176" s="84"/>
      <c r="AA176" s="85"/>
      <c r="AB176" s="85"/>
      <c r="AC176" s="18"/>
      <c r="AD176" s="18"/>
      <c r="AE176" s="18"/>
      <c r="AF176" s="18"/>
    </row>
    <row r="177" ht="15.0" customHeight="1">
      <c r="A177" s="86"/>
      <c r="B177" s="119" t="s">
        <v>165</v>
      </c>
      <c r="C177" s="55"/>
      <c r="D177" s="56"/>
      <c r="E177" s="57"/>
      <c r="F177" s="56"/>
      <c r="G177" s="57"/>
      <c r="H177" s="56"/>
      <c r="I177" s="58"/>
      <c r="J177" s="56"/>
      <c r="K177" s="57"/>
      <c r="L177" s="61" t="s">
        <v>23</v>
      </c>
      <c r="M177" s="57"/>
      <c r="N177" s="62"/>
      <c r="O177" s="57"/>
      <c r="P177" s="62"/>
      <c r="Q177" s="57"/>
      <c r="R177" s="62"/>
      <c r="S177" s="57"/>
      <c r="T177" s="62"/>
      <c r="U177" s="57"/>
      <c r="V177" s="56"/>
      <c r="W177" s="57"/>
      <c r="X177" s="63"/>
      <c r="Y177" s="64"/>
      <c r="Z177" s="84"/>
      <c r="AA177" s="85"/>
      <c r="AB177" s="85"/>
      <c r="AC177" s="18"/>
      <c r="AD177" s="18"/>
      <c r="AE177" s="18"/>
      <c r="AF177" s="18"/>
    </row>
    <row r="178" ht="15.0" customHeight="1">
      <c r="A178" s="86"/>
      <c r="B178" s="119" t="s">
        <v>166</v>
      </c>
      <c r="C178" s="55"/>
      <c r="D178" s="56"/>
      <c r="E178" s="57"/>
      <c r="F178" s="56"/>
      <c r="G178" s="57"/>
      <c r="H178" s="56"/>
      <c r="I178" s="58"/>
      <c r="J178" s="56"/>
      <c r="K178" s="57"/>
      <c r="L178" s="61" t="s">
        <v>23</v>
      </c>
      <c r="M178" s="57"/>
      <c r="N178" s="62"/>
      <c r="O178" s="57"/>
      <c r="P178" s="62"/>
      <c r="Q178" s="57"/>
      <c r="R178" s="62"/>
      <c r="S178" s="57"/>
      <c r="T178" s="62"/>
      <c r="U178" s="57"/>
      <c r="V178" s="56"/>
      <c r="W178" s="57"/>
      <c r="X178" s="63"/>
      <c r="Y178" s="64"/>
      <c r="Z178" s="84"/>
      <c r="AA178" s="85"/>
      <c r="AB178" s="85"/>
      <c r="AC178" s="18"/>
      <c r="AD178" s="18"/>
      <c r="AE178" s="18"/>
      <c r="AF178" s="18"/>
    </row>
    <row r="179" ht="15.0" customHeight="1">
      <c r="A179" s="86"/>
      <c r="B179" s="119" t="s">
        <v>167</v>
      </c>
      <c r="C179" s="55"/>
      <c r="D179" s="56"/>
      <c r="E179" s="57"/>
      <c r="F179" s="56"/>
      <c r="G179" s="57"/>
      <c r="H179" s="56"/>
      <c r="I179" s="58"/>
      <c r="J179" s="56"/>
      <c r="K179" s="57"/>
      <c r="L179" s="61" t="s">
        <v>23</v>
      </c>
      <c r="M179" s="57"/>
      <c r="N179" s="62"/>
      <c r="O179" s="57"/>
      <c r="P179" s="62"/>
      <c r="Q179" s="57"/>
      <c r="R179" s="62"/>
      <c r="S179" s="57"/>
      <c r="T179" s="62"/>
      <c r="U179" s="57"/>
      <c r="V179" s="56"/>
      <c r="W179" s="57"/>
      <c r="X179" s="63"/>
      <c r="Y179" s="64"/>
      <c r="Z179" s="84"/>
      <c r="AA179" s="85"/>
      <c r="AB179" s="85"/>
      <c r="AC179" s="18"/>
      <c r="AD179" s="18"/>
      <c r="AE179" s="18"/>
      <c r="AF179" s="18"/>
    </row>
    <row r="180" ht="15.0" customHeight="1">
      <c r="A180" s="86"/>
      <c r="B180" s="119" t="s">
        <v>168</v>
      </c>
      <c r="C180" s="55"/>
      <c r="D180" s="56"/>
      <c r="E180" s="57"/>
      <c r="F180" s="56"/>
      <c r="G180" s="57"/>
      <c r="H180" s="56"/>
      <c r="I180" s="58"/>
      <c r="J180" s="56"/>
      <c r="K180" s="57"/>
      <c r="L180" s="61" t="s">
        <v>23</v>
      </c>
      <c r="M180" s="57"/>
      <c r="N180" s="62"/>
      <c r="O180" s="57"/>
      <c r="P180" s="62"/>
      <c r="Q180" s="57"/>
      <c r="R180" s="62"/>
      <c r="S180" s="57"/>
      <c r="T180" s="62"/>
      <c r="U180" s="57"/>
      <c r="V180" s="56"/>
      <c r="W180" s="57"/>
      <c r="X180" s="63"/>
      <c r="Y180" s="64"/>
      <c r="Z180" s="84"/>
      <c r="AA180" s="85"/>
      <c r="AB180" s="85"/>
      <c r="AC180" s="18"/>
      <c r="AD180" s="18"/>
      <c r="AE180" s="18"/>
      <c r="AF180" s="18"/>
    </row>
    <row r="181" ht="15.0" customHeight="1">
      <c r="A181" s="86"/>
      <c r="B181" s="119" t="s">
        <v>169</v>
      </c>
      <c r="C181" s="55"/>
      <c r="D181" s="56"/>
      <c r="E181" s="57"/>
      <c r="F181" s="56"/>
      <c r="G181" s="57"/>
      <c r="H181" s="56"/>
      <c r="I181" s="58"/>
      <c r="J181" s="56"/>
      <c r="K181" s="57"/>
      <c r="L181" s="61" t="s">
        <v>23</v>
      </c>
      <c r="M181" s="57"/>
      <c r="N181" s="62"/>
      <c r="O181" s="57"/>
      <c r="P181" s="62"/>
      <c r="Q181" s="57"/>
      <c r="R181" s="62"/>
      <c r="S181" s="57"/>
      <c r="T181" s="62"/>
      <c r="U181" s="57"/>
      <c r="V181" s="56"/>
      <c r="W181" s="57"/>
      <c r="X181" s="63"/>
      <c r="Y181" s="64"/>
      <c r="Z181" s="84"/>
      <c r="AA181" s="85"/>
      <c r="AB181" s="85"/>
      <c r="AC181" s="18"/>
      <c r="AD181" s="18"/>
      <c r="AE181" s="18"/>
      <c r="AF181" s="18"/>
    </row>
    <row r="182" ht="15.0" customHeight="1">
      <c r="A182" s="86"/>
      <c r="B182" s="119" t="s">
        <v>170</v>
      </c>
      <c r="C182" s="55"/>
      <c r="D182" s="56"/>
      <c r="E182" s="57"/>
      <c r="F182" s="56"/>
      <c r="G182" s="57"/>
      <c r="H182" s="56"/>
      <c r="I182" s="58"/>
      <c r="J182" s="56"/>
      <c r="K182" s="57"/>
      <c r="L182" s="61" t="s">
        <v>23</v>
      </c>
      <c r="M182" s="57"/>
      <c r="N182" s="62"/>
      <c r="O182" s="57"/>
      <c r="P182" s="62"/>
      <c r="Q182" s="57"/>
      <c r="R182" s="62"/>
      <c r="S182" s="57"/>
      <c r="T182" s="62"/>
      <c r="U182" s="57"/>
      <c r="V182" s="56"/>
      <c r="W182" s="57"/>
      <c r="X182" s="63"/>
      <c r="Y182" s="64"/>
      <c r="Z182" s="84"/>
      <c r="AA182" s="85"/>
      <c r="AB182" s="85"/>
      <c r="AC182" s="18"/>
      <c r="AD182" s="18"/>
      <c r="AE182" s="18"/>
      <c r="AF182" s="18"/>
    </row>
    <row r="183" ht="13.5" customHeight="1">
      <c r="A183" s="45">
        <v>3.0</v>
      </c>
      <c r="B183" s="127" t="s">
        <v>171</v>
      </c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7"/>
      <c r="S183" s="47"/>
      <c r="T183" s="47"/>
      <c r="U183" s="47"/>
      <c r="V183" s="47"/>
      <c r="W183" s="47"/>
      <c r="X183" s="47"/>
      <c r="Y183" s="48"/>
      <c r="Z183" s="84"/>
      <c r="AA183" s="85"/>
      <c r="AB183" s="85"/>
      <c r="AC183" s="18"/>
      <c r="AD183" s="18"/>
      <c r="AE183" s="18"/>
      <c r="AF183" s="18"/>
    </row>
    <row r="184" ht="15.75" customHeight="1">
      <c r="A184" s="49"/>
      <c r="B184" s="50"/>
      <c r="C184" s="51"/>
      <c r="D184" s="51"/>
      <c r="E184" s="51"/>
      <c r="F184" s="51"/>
      <c r="G184" s="51"/>
      <c r="H184" s="51"/>
      <c r="I184" s="51"/>
      <c r="J184" s="51"/>
      <c r="K184" s="51"/>
      <c r="L184" s="51"/>
      <c r="M184" s="51"/>
      <c r="N184" s="51"/>
      <c r="O184" s="51"/>
      <c r="P184" s="51"/>
      <c r="Q184" s="51"/>
      <c r="R184" s="51"/>
      <c r="S184" s="51"/>
      <c r="T184" s="51"/>
      <c r="U184" s="51"/>
      <c r="V184" s="51"/>
      <c r="W184" s="51"/>
      <c r="X184" s="51"/>
      <c r="Y184" s="52"/>
      <c r="Z184" s="84"/>
      <c r="AA184" s="85"/>
      <c r="AB184" s="85"/>
      <c r="AC184" s="18"/>
      <c r="AD184" s="18"/>
      <c r="AE184" s="18"/>
      <c r="AF184" s="18"/>
    </row>
    <row r="185" ht="15.75" customHeight="1">
      <c r="A185" s="86"/>
      <c r="B185" s="118" t="s">
        <v>172</v>
      </c>
      <c r="C185" s="55"/>
      <c r="D185" s="56"/>
      <c r="E185" s="57"/>
      <c r="F185" s="56"/>
      <c r="G185" s="57"/>
      <c r="H185" s="56"/>
      <c r="I185" s="58"/>
      <c r="J185" s="56"/>
      <c r="K185" s="57"/>
      <c r="L185" s="61" t="s">
        <v>23</v>
      </c>
      <c r="M185" s="57"/>
      <c r="N185" s="62"/>
      <c r="O185" s="57"/>
      <c r="P185" s="62"/>
      <c r="Q185" s="57"/>
      <c r="R185" s="62"/>
      <c r="S185" s="57"/>
      <c r="T185" s="62"/>
      <c r="U185" s="57"/>
      <c r="V185" s="56"/>
      <c r="W185" s="57"/>
      <c r="X185" s="63"/>
      <c r="Y185" s="64"/>
      <c r="Z185" s="84"/>
      <c r="AA185" s="85"/>
      <c r="AB185" s="85"/>
      <c r="AC185" s="18"/>
      <c r="AD185" s="18"/>
      <c r="AE185" s="18"/>
      <c r="AF185" s="18"/>
    </row>
    <row r="186" ht="15.0" customHeight="1">
      <c r="A186" s="86"/>
      <c r="B186" s="119" t="s">
        <v>173</v>
      </c>
      <c r="C186" s="55"/>
      <c r="D186" s="56"/>
      <c r="E186" s="57"/>
      <c r="F186" s="56"/>
      <c r="G186" s="57"/>
      <c r="H186" s="62"/>
      <c r="I186" s="58"/>
      <c r="J186" s="62"/>
      <c r="K186" s="57"/>
      <c r="L186" s="61" t="s">
        <v>23</v>
      </c>
      <c r="M186" s="57"/>
      <c r="N186" s="62"/>
      <c r="O186" s="57"/>
      <c r="P186" s="62"/>
      <c r="Q186" s="57"/>
      <c r="R186" s="62"/>
      <c r="S186" s="57"/>
      <c r="T186" s="62"/>
      <c r="U186" s="57"/>
      <c r="V186" s="56"/>
      <c r="W186" s="57"/>
      <c r="X186" s="63"/>
      <c r="Y186" s="64"/>
      <c r="Z186" s="84"/>
      <c r="AA186" s="85"/>
      <c r="AB186" s="85"/>
      <c r="AC186" s="18"/>
      <c r="AD186" s="18"/>
      <c r="AE186" s="18"/>
      <c r="AF186" s="18"/>
    </row>
    <row r="187" ht="13.5" customHeight="1">
      <c r="A187" s="45">
        <v>4.0</v>
      </c>
      <c r="B187" s="127" t="s">
        <v>174</v>
      </c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47"/>
      <c r="P187" s="47"/>
      <c r="Q187" s="47"/>
      <c r="R187" s="47"/>
      <c r="S187" s="47"/>
      <c r="T187" s="47"/>
      <c r="U187" s="47"/>
      <c r="V187" s="47"/>
      <c r="W187" s="47"/>
      <c r="X187" s="47"/>
      <c r="Y187" s="48"/>
      <c r="Z187" s="84"/>
      <c r="AA187" s="85"/>
      <c r="AB187" s="85"/>
      <c r="AC187" s="18"/>
      <c r="AD187" s="18"/>
      <c r="AE187" s="18"/>
      <c r="AF187" s="18"/>
    </row>
    <row r="188" ht="15.75" customHeight="1">
      <c r="A188" s="49"/>
      <c r="B188" s="50"/>
      <c r="C188" s="51"/>
      <c r="D188" s="51"/>
      <c r="E188" s="51"/>
      <c r="F188" s="51"/>
      <c r="G188" s="51"/>
      <c r="H188" s="51"/>
      <c r="I188" s="51"/>
      <c r="J188" s="51"/>
      <c r="K188" s="51"/>
      <c r="L188" s="51"/>
      <c r="M188" s="51"/>
      <c r="N188" s="51"/>
      <c r="O188" s="51"/>
      <c r="P188" s="51"/>
      <c r="Q188" s="51"/>
      <c r="R188" s="51"/>
      <c r="S188" s="51"/>
      <c r="T188" s="51"/>
      <c r="U188" s="51"/>
      <c r="V188" s="51"/>
      <c r="W188" s="51"/>
      <c r="X188" s="51"/>
      <c r="Y188" s="52"/>
      <c r="Z188" s="84"/>
      <c r="AA188" s="85"/>
      <c r="AB188" s="85"/>
      <c r="AC188" s="18"/>
      <c r="AD188" s="18"/>
      <c r="AE188" s="18"/>
      <c r="AF188" s="18"/>
    </row>
    <row r="189" ht="15.75" customHeight="1">
      <c r="A189" s="86"/>
      <c r="B189" s="118" t="s">
        <v>175</v>
      </c>
      <c r="C189" s="55"/>
      <c r="D189" s="56"/>
      <c r="E189" s="57"/>
      <c r="F189" s="56"/>
      <c r="G189" s="57"/>
      <c r="H189" s="56"/>
      <c r="I189" s="58"/>
      <c r="J189" s="56"/>
      <c r="K189" s="57"/>
      <c r="L189" s="61" t="s">
        <v>23</v>
      </c>
      <c r="M189" s="57"/>
      <c r="N189" s="62"/>
      <c r="O189" s="57"/>
      <c r="P189" s="62"/>
      <c r="Q189" s="57"/>
      <c r="R189" s="62"/>
      <c r="S189" s="57"/>
      <c r="T189" s="62"/>
      <c r="U189" s="57"/>
      <c r="V189" s="56"/>
      <c r="W189" s="57"/>
      <c r="X189" s="63"/>
      <c r="Y189" s="64"/>
      <c r="Z189" s="84"/>
      <c r="AA189" s="85"/>
      <c r="AB189" s="85"/>
      <c r="AC189" s="18"/>
      <c r="AD189" s="18"/>
      <c r="AE189" s="18"/>
      <c r="AF189" s="18"/>
    </row>
    <row r="190" ht="15.75" customHeight="1">
      <c r="A190" s="86"/>
      <c r="B190" s="119" t="s">
        <v>176</v>
      </c>
      <c r="C190" s="55"/>
      <c r="D190" s="56"/>
      <c r="E190" s="57"/>
      <c r="F190" s="56"/>
      <c r="G190" s="57"/>
      <c r="H190" s="56"/>
      <c r="I190" s="58"/>
      <c r="J190" s="56"/>
      <c r="K190" s="57"/>
      <c r="L190" s="61" t="s">
        <v>23</v>
      </c>
      <c r="M190" s="57"/>
      <c r="N190" s="62"/>
      <c r="O190" s="57"/>
      <c r="P190" s="62"/>
      <c r="Q190" s="57"/>
      <c r="R190" s="62"/>
      <c r="S190" s="57"/>
      <c r="T190" s="62"/>
      <c r="U190" s="57"/>
      <c r="V190" s="56"/>
      <c r="W190" s="57"/>
      <c r="X190" s="63"/>
      <c r="Y190" s="64"/>
      <c r="Z190" s="84"/>
      <c r="AA190" s="85"/>
      <c r="AB190" s="85"/>
      <c r="AC190" s="18"/>
      <c r="AD190" s="18"/>
      <c r="AE190" s="18"/>
      <c r="AF190" s="18"/>
    </row>
    <row r="191" ht="15.75" customHeight="1">
      <c r="A191" s="86"/>
      <c r="B191" s="119" t="s">
        <v>177</v>
      </c>
      <c r="C191" s="55"/>
      <c r="D191" s="56"/>
      <c r="E191" s="57"/>
      <c r="F191" s="56"/>
      <c r="G191" s="57"/>
      <c r="H191" s="56"/>
      <c r="I191" s="58"/>
      <c r="J191" s="56"/>
      <c r="K191" s="57"/>
      <c r="L191" s="61" t="s">
        <v>23</v>
      </c>
      <c r="M191" s="57"/>
      <c r="N191" s="62"/>
      <c r="O191" s="57"/>
      <c r="P191" s="62"/>
      <c r="Q191" s="57"/>
      <c r="R191" s="62"/>
      <c r="S191" s="57"/>
      <c r="T191" s="62"/>
      <c r="U191" s="57"/>
      <c r="V191" s="56"/>
      <c r="W191" s="57"/>
      <c r="X191" s="63"/>
      <c r="Y191" s="64"/>
      <c r="Z191" s="84"/>
      <c r="AA191" s="85"/>
      <c r="AB191" s="85"/>
      <c r="AC191" s="18"/>
      <c r="AD191" s="18"/>
      <c r="AE191" s="18"/>
      <c r="AF191" s="18"/>
    </row>
    <row r="192" ht="15.75" customHeight="1">
      <c r="A192" s="86"/>
      <c r="B192" s="119" t="s">
        <v>178</v>
      </c>
      <c r="C192" s="55"/>
      <c r="D192" s="56"/>
      <c r="E192" s="57"/>
      <c r="F192" s="56"/>
      <c r="G192" s="57"/>
      <c r="H192" s="56"/>
      <c r="I192" s="58"/>
      <c r="J192" s="56"/>
      <c r="K192" s="57"/>
      <c r="L192" s="61" t="s">
        <v>23</v>
      </c>
      <c r="M192" s="57"/>
      <c r="N192" s="62"/>
      <c r="O192" s="57"/>
      <c r="P192" s="62"/>
      <c r="Q192" s="57"/>
      <c r="R192" s="62"/>
      <c r="S192" s="57"/>
      <c r="T192" s="62"/>
      <c r="U192" s="57"/>
      <c r="V192" s="56"/>
      <c r="W192" s="57"/>
      <c r="X192" s="63"/>
      <c r="Y192" s="64"/>
      <c r="Z192" s="84"/>
      <c r="AA192" s="85"/>
      <c r="AB192" s="85"/>
      <c r="AC192" s="18"/>
      <c r="AD192" s="18"/>
      <c r="AE192" s="18"/>
      <c r="AF192" s="18"/>
    </row>
    <row r="193" ht="15.75" customHeight="1">
      <c r="A193" s="86"/>
      <c r="B193" s="119" t="s">
        <v>179</v>
      </c>
      <c r="C193" s="55"/>
      <c r="D193" s="56"/>
      <c r="E193" s="57"/>
      <c r="F193" s="56"/>
      <c r="G193" s="57"/>
      <c r="H193" s="56"/>
      <c r="I193" s="58"/>
      <c r="J193" s="56"/>
      <c r="K193" s="57"/>
      <c r="L193" s="61" t="s">
        <v>23</v>
      </c>
      <c r="M193" s="57"/>
      <c r="N193" s="62"/>
      <c r="O193" s="57"/>
      <c r="P193" s="62"/>
      <c r="Q193" s="57"/>
      <c r="R193" s="62"/>
      <c r="S193" s="57"/>
      <c r="T193" s="62"/>
      <c r="U193" s="57"/>
      <c r="V193" s="56"/>
      <c r="W193" s="57"/>
      <c r="X193" s="63"/>
      <c r="Y193" s="64"/>
      <c r="Z193" s="84"/>
      <c r="AA193" s="85"/>
      <c r="AB193" s="85"/>
      <c r="AC193" s="18"/>
      <c r="AD193" s="18"/>
      <c r="AE193" s="18"/>
      <c r="AF193" s="18"/>
    </row>
    <row r="194" ht="15.75" customHeight="1">
      <c r="A194" s="86"/>
      <c r="B194" s="119" t="s">
        <v>180</v>
      </c>
      <c r="C194" s="55"/>
      <c r="D194" s="56"/>
      <c r="E194" s="57"/>
      <c r="F194" s="56"/>
      <c r="G194" s="57"/>
      <c r="H194" s="56"/>
      <c r="I194" s="58"/>
      <c r="J194" s="56"/>
      <c r="K194" s="57"/>
      <c r="L194" s="61" t="s">
        <v>23</v>
      </c>
      <c r="M194" s="57"/>
      <c r="N194" s="62"/>
      <c r="O194" s="57"/>
      <c r="P194" s="62"/>
      <c r="Q194" s="57"/>
      <c r="R194" s="62"/>
      <c r="S194" s="57"/>
      <c r="T194" s="62"/>
      <c r="U194" s="57"/>
      <c r="V194" s="56"/>
      <c r="W194" s="57"/>
      <c r="X194" s="63"/>
      <c r="Y194" s="64"/>
      <c r="Z194" s="84"/>
      <c r="AA194" s="85"/>
      <c r="AB194" s="85"/>
      <c r="AC194" s="18"/>
      <c r="AD194" s="18"/>
      <c r="AE194" s="18"/>
      <c r="AF194" s="18"/>
    </row>
    <row r="195" ht="15.75" customHeight="1">
      <c r="A195" s="86"/>
      <c r="B195" s="118" t="s">
        <v>181</v>
      </c>
      <c r="C195" s="55"/>
      <c r="D195" s="56"/>
      <c r="E195" s="57"/>
      <c r="F195" s="56"/>
      <c r="G195" s="57"/>
      <c r="H195" s="56"/>
      <c r="I195" s="58"/>
      <c r="J195" s="56"/>
      <c r="K195" s="57"/>
      <c r="L195" s="61" t="s">
        <v>23</v>
      </c>
      <c r="M195" s="57"/>
      <c r="N195" s="62"/>
      <c r="O195" s="57"/>
      <c r="P195" s="62"/>
      <c r="Q195" s="57"/>
      <c r="R195" s="62"/>
      <c r="S195" s="57"/>
      <c r="T195" s="62"/>
      <c r="U195" s="57"/>
      <c r="V195" s="56"/>
      <c r="W195" s="57"/>
      <c r="X195" s="63"/>
      <c r="Y195" s="64"/>
      <c r="Z195" s="84"/>
      <c r="AA195" s="85"/>
      <c r="AB195" s="85"/>
      <c r="AC195" s="18"/>
      <c r="AD195" s="18"/>
      <c r="AE195" s="18"/>
      <c r="AF195" s="18"/>
    </row>
    <row r="196" ht="14.25" customHeight="1">
      <c r="A196" s="86"/>
      <c r="B196" s="119" t="s">
        <v>182</v>
      </c>
      <c r="C196" s="55"/>
      <c r="D196" s="56"/>
      <c r="E196" s="57"/>
      <c r="F196" s="56"/>
      <c r="G196" s="57"/>
      <c r="H196" s="56"/>
      <c r="I196" s="58"/>
      <c r="J196" s="56"/>
      <c r="K196" s="57"/>
      <c r="L196" s="61" t="s">
        <v>23</v>
      </c>
      <c r="M196" s="57"/>
      <c r="N196" s="62"/>
      <c r="O196" s="57"/>
      <c r="P196" s="62"/>
      <c r="Q196" s="57"/>
      <c r="R196" s="62"/>
      <c r="S196" s="57"/>
      <c r="T196" s="62"/>
      <c r="U196" s="57"/>
      <c r="V196" s="56"/>
      <c r="W196" s="57"/>
      <c r="X196" s="63"/>
      <c r="Y196" s="64"/>
      <c r="Z196" s="84"/>
      <c r="AA196" s="85"/>
      <c r="AB196" s="85"/>
      <c r="AC196" s="18"/>
      <c r="AD196" s="18"/>
      <c r="AE196" s="18"/>
      <c r="AF196" s="18"/>
    </row>
    <row r="197" ht="13.5" customHeight="1">
      <c r="A197" s="45">
        <v>5.0</v>
      </c>
      <c r="B197" s="46" t="s">
        <v>183</v>
      </c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47"/>
      <c r="P197" s="47"/>
      <c r="Q197" s="47"/>
      <c r="R197" s="47"/>
      <c r="S197" s="47"/>
      <c r="T197" s="47"/>
      <c r="U197" s="47"/>
      <c r="V197" s="47"/>
      <c r="W197" s="47"/>
      <c r="X197" s="47"/>
      <c r="Y197" s="48"/>
      <c r="Z197" s="84"/>
      <c r="AA197" s="85"/>
      <c r="AB197" s="85"/>
      <c r="AC197" s="18"/>
      <c r="AD197" s="18"/>
      <c r="AE197" s="18"/>
      <c r="AF197" s="18"/>
    </row>
    <row r="198" ht="15.75" customHeight="1">
      <c r="A198" s="49"/>
      <c r="B198" s="50"/>
      <c r="C198" s="51"/>
      <c r="D198" s="51"/>
      <c r="E198" s="51"/>
      <c r="F198" s="51"/>
      <c r="G198" s="51"/>
      <c r="H198" s="51"/>
      <c r="I198" s="51"/>
      <c r="J198" s="51"/>
      <c r="K198" s="51"/>
      <c r="L198" s="51"/>
      <c r="M198" s="51"/>
      <c r="N198" s="51"/>
      <c r="O198" s="51"/>
      <c r="P198" s="51"/>
      <c r="Q198" s="51"/>
      <c r="R198" s="51"/>
      <c r="S198" s="51"/>
      <c r="T198" s="51"/>
      <c r="U198" s="51"/>
      <c r="V198" s="51"/>
      <c r="W198" s="51"/>
      <c r="X198" s="51"/>
      <c r="Y198" s="52"/>
      <c r="Z198" s="84"/>
      <c r="AA198" s="85"/>
      <c r="AB198" s="85"/>
      <c r="AC198" s="18"/>
      <c r="AD198" s="18"/>
      <c r="AE198" s="18"/>
      <c r="AF198" s="18"/>
    </row>
    <row r="199" ht="15.75" customHeight="1">
      <c r="A199" s="86"/>
      <c r="B199" s="118" t="s">
        <v>184</v>
      </c>
      <c r="C199" s="55"/>
      <c r="D199" s="56"/>
      <c r="E199" s="57"/>
      <c r="F199" s="56"/>
      <c r="G199" s="57"/>
      <c r="H199" s="56"/>
      <c r="I199" s="58"/>
      <c r="J199" s="56"/>
      <c r="K199" s="57"/>
      <c r="L199" s="61" t="s">
        <v>23</v>
      </c>
      <c r="M199" s="57"/>
      <c r="N199" s="62"/>
      <c r="O199" s="57"/>
      <c r="P199" s="62"/>
      <c r="Q199" s="57"/>
      <c r="R199" s="62"/>
      <c r="S199" s="57"/>
      <c r="T199" s="62"/>
      <c r="U199" s="57"/>
      <c r="V199" s="56"/>
      <c r="W199" s="57"/>
      <c r="X199" s="63"/>
      <c r="Y199" s="64"/>
      <c r="Z199" s="84"/>
      <c r="AA199" s="85"/>
      <c r="AB199" s="85"/>
      <c r="AC199" s="18"/>
      <c r="AD199" s="18"/>
      <c r="AE199" s="18"/>
      <c r="AF199" s="18"/>
    </row>
    <row r="200" ht="15.75" customHeight="1">
      <c r="A200" s="86"/>
      <c r="B200" s="119" t="s">
        <v>185</v>
      </c>
      <c r="C200" s="55"/>
      <c r="D200" s="56"/>
      <c r="E200" s="57"/>
      <c r="F200" s="56"/>
      <c r="G200" s="57"/>
      <c r="H200" s="56"/>
      <c r="I200" s="58"/>
      <c r="J200" s="56"/>
      <c r="K200" s="57"/>
      <c r="L200" s="61" t="s">
        <v>23</v>
      </c>
      <c r="M200" s="57"/>
      <c r="N200" s="62"/>
      <c r="O200" s="57"/>
      <c r="P200" s="62"/>
      <c r="Q200" s="57"/>
      <c r="R200" s="62"/>
      <c r="S200" s="57"/>
      <c r="T200" s="62"/>
      <c r="U200" s="57"/>
      <c r="V200" s="56"/>
      <c r="W200" s="57"/>
      <c r="X200" s="63"/>
      <c r="Y200" s="64"/>
      <c r="Z200" s="84"/>
      <c r="AA200" s="85"/>
      <c r="AB200" s="85"/>
      <c r="AC200" s="18"/>
      <c r="AD200" s="18"/>
      <c r="AE200" s="18"/>
      <c r="AF200" s="18"/>
    </row>
    <row r="201" ht="15.75" customHeight="1">
      <c r="A201" s="86"/>
      <c r="B201" s="119" t="s">
        <v>186</v>
      </c>
      <c r="C201" s="55"/>
      <c r="D201" s="56"/>
      <c r="E201" s="57"/>
      <c r="F201" s="56"/>
      <c r="G201" s="57"/>
      <c r="H201" s="56"/>
      <c r="I201" s="58"/>
      <c r="J201" s="56"/>
      <c r="K201" s="57"/>
      <c r="L201" s="61" t="s">
        <v>23</v>
      </c>
      <c r="M201" s="57"/>
      <c r="N201" s="62"/>
      <c r="O201" s="57"/>
      <c r="P201" s="62"/>
      <c r="Q201" s="57"/>
      <c r="R201" s="62"/>
      <c r="S201" s="57"/>
      <c r="T201" s="62"/>
      <c r="U201" s="57"/>
      <c r="V201" s="56"/>
      <c r="W201" s="57"/>
      <c r="X201" s="63"/>
      <c r="Y201" s="64"/>
      <c r="Z201" s="84"/>
      <c r="AA201" s="85"/>
      <c r="AB201" s="85"/>
      <c r="AC201" s="18"/>
      <c r="AD201" s="18"/>
      <c r="AE201" s="18"/>
      <c r="AF201" s="18"/>
    </row>
    <row r="202" ht="15.75" customHeight="1">
      <c r="A202" s="86"/>
      <c r="B202" s="119" t="s">
        <v>187</v>
      </c>
      <c r="C202" s="55"/>
      <c r="D202" s="56"/>
      <c r="E202" s="57"/>
      <c r="F202" s="56"/>
      <c r="G202" s="57"/>
      <c r="H202" s="56"/>
      <c r="I202" s="58"/>
      <c r="J202" s="56"/>
      <c r="K202" s="57"/>
      <c r="L202" s="61" t="s">
        <v>23</v>
      </c>
      <c r="M202" s="57"/>
      <c r="N202" s="62"/>
      <c r="O202" s="57"/>
      <c r="P202" s="62"/>
      <c r="Q202" s="57"/>
      <c r="R202" s="62"/>
      <c r="S202" s="57"/>
      <c r="T202" s="62"/>
      <c r="U202" s="57"/>
      <c r="V202" s="56"/>
      <c r="W202" s="57"/>
      <c r="X202" s="63"/>
      <c r="Y202" s="64"/>
      <c r="Z202" s="84"/>
      <c r="AA202" s="85"/>
      <c r="AB202" s="85"/>
      <c r="AC202" s="18"/>
      <c r="AD202" s="18"/>
      <c r="AE202" s="18"/>
      <c r="AF202" s="18"/>
    </row>
    <row r="203" ht="15.75" customHeight="1">
      <c r="A203" s="86"/>
      <c r="B203" s="119" t="s">
        <v>188</v>
      </c>
      <c r="C203" s="55"/>
      <c r="D203" s="56"/>
      <c r="E203" s="57"/>
      <c r="F203" s="56"/>
      <c r="G203" s="57"/>
      <c r="H203" s="56"/>
      <c r="I203" s="58"/>
      <c r="J203" s="56"/>
      <c r="K203" s="57"/>
      <c r="L203" s="61" t="s">
        <v>23</v>
      </c>
      <c r="M203" s="57"/>
      <c r="N203" s="62"/>
      <c r="O203" s="57"/>
      <c r="P203" s="62"/>
      <c r="Q203" s="57"/>
      <c r="R203" s="62"/>
      <c r="S203" s="57"/>
      <c r="T203" s="62"/>
      <c r="U203" s="57"/>
      <c r="V203" s="56"/>
      <c r="W203" s="57"/>
      <c r="X203" s="63"/>
      <c r="Y203" s="64"/>
      <c r="Z203" s="84"/>
      <c r="AA203" s="85"/>
      <c r="AB203" s="85"/>
      <c r="AC203" s="18"/>
      <c r="AD203" s="18"/>
      <c r="AE203" s="18"/>
      <c r="AF203" s="18"/>
    </row>
    <row r="204" ht="15.75" customHeight="1">
      <c r="A204" s="86"/>
      <c r="B204" s="119" t="s">
        <v>189</v>
      </c>
      <c r="C204" s="55"/>
      <c r="D204" s="56"/>
      <c r="E204" s="57"/>
      <c r="F204" s="56"/>
      <c r="G204" s="57"/>
      <c r="H204" s="56"/>
      <c r="I204" s="58"/>
      <c r="J204" s="56"/>
      <c r="K204" s="57"/>
      <c r="L204" s="61" t="s">
        <v>23</v>
      </c>
      <c r="M204" s="57"/>
      <c r="N204" s="62"/>
      <c r="O204" s="57"/>
      <c r="P204" s="62"/>
      <c r="Q204" s="57"/>
      <c r="R204" s="62"/>
      <c r="S204" s="57"/>
      <c r="T204" s="62"/>
      <c r="U204" s="57"/>
      <c r="V204" s="56"/>
      <c r="W204" s="57"/>
      <c r="X204" s="63"/>
      <c r="Y204" s="64"/>
      <c r="Z204" s="84"/>
      <c r="AA204" s="85"/>
      <c r="AB204" s="85"/>
      <c r="AC204" s="18"/>
      <c r="AD204" s="18"/>
      <c r="AE204" s="18"/>
      <c r="AF204" s="18"/>
    </row>
    <row r="205" ht="15.75" customHeight="1">
      <c r="A205" s="86"/>
      <c r="B205" s="119" t="s">
        <v>190</v>
      </c>
      <c r="C205" s="55"/>
      <c r="D205" s="56"/>
      <c r="E205" s="57"/>
      <c r="F205" s="56"/>
      <c r="G205" s="57"/>
      <c r="H205" s="62"/>
      <c r="I205" s="58"/>
      <c r="J205" s="62"/>
      <c r="K205" s="57"/>
      <c r="L205" s="61" t="s">
        <v>23</v>
      </c>
      <c r="M205" s="57"/>
      <c r="N205" s="62"/>
      <c r="O205" s="57"/>
      <c r="P205" s="62"/>
      <c r="Q205" s="57"/>
      <c r="R205" s="62"/>
      <c r="S205" s="57"/>
      <c r="T205" s="62"/>
      <c r="U205" s="57"/>
      <c r="V205" s="56"/>
      <c r="W205" s="57"/>
      <c r="X205" s="63"/>
      <c r="Y205" s="64"/>
      <c r="Z205" s="84"/>
      <c r="AA205" s="85"/>
      <c r="AB205" s="85"/>
      <c r="AC205" s="18"/>
      <c r="AD205" s="18"/>
      <c r="AE205" s="18"/>
      <c r="AF205" s="18"/>
    </row>
    <row r="206" ht="15.75" customHeight="1">
      <c r="A206" s="86"/>
      <c r="B206" s="119" t="s">
        <v>191</v>
      </c>
      <c r="C206" s="55"/>
      <c r="D206" s="56"/>
      <c r="E206" s="57"/>
      <c r="F206" s="56"/>
      <c r="G206" s="57"/>
      <c r="H206" s="62"/>
      <c r="I206" s="58"/>
      <c r="J206" s="62"/>
      <c r="K206" s="57"/>
      <c r="L206" s="61" t="s">
        <v>23</v>
      </c>
      <c r="M206" s="57"/>
      <c r="N206" s="62"/>
      <c r="O206" s="57"/>
      <c r="P206" s="62"/>
      <c r="Q206" s="57"/>
      <c r="R206" s="62"/>
      <c r="S206" s="57"/>
      <c r="T206" s="62"/>
      <c r="U206" s="57"/>
      <c r="V206" s="56"/>
      <c r="W206" s="57"/>
      <c r="X206" s="63"/>
      <c r="Y206" s="64"/>
      <c r="Z206" s="84"/>
      <c r="AA206" s="85"/>
      <c r="AB206" s="85"/>
      <c r="AC206" s="18"/>
      <c r="AD206" s="18"/>
      <c r="AE206" s="18"/>
      <c r="AF206" s="18"/>
    </row>
    <row r="207" ht="15.75" customHeight="1">
      <c r="A207" s="86"/>
      <c r="B207" s="119" t="s">
        <v>192</v>
      </c>
      <c r="C207" s="55"/>
      <c r="D207" s="56"/>
      <c r="E207" s="57"/>
      <c r="F207" s="56"/>
      <c r="G207" s="57"/>
      <c r="H207" s="56"/>
      <c r="I207" s="58"/>
      <c r="J207" s="56"/>
      <c r="K207" s="57"/>
      <c r="L207" s="61" t="s">
        <v>23</v>
      </c>
      <c r="M207" s="57"/>
      <c r="N207" s="62"/>
      <c r="O207" s="57"/>
      <c r="P207" s="62"/>
      <c r="Q207" s="57"/>
      <c r="R207" s="62"/>
      <c r="S207" s="57"/>
      <c r="T207" s="62"/>
      <c r="U207" s="57"/>
      <c r="V207" s="56"/>
      <c r="W207" s="57"/>
      <c r="X207" s="56"/>
      <c r="Y207" s="64"/>
      <c r="Z207" s="84"/>
      <c r="AA207" s="85"/>
      <c r="AB207" s="85"/>
      <c r="AC207" s="18"/>
      <c r="AD207" s="18"/>
      <c r="AE207" s="18"/>
      <c r="AF207" s="18"/>
    </row>
    <row r="208" ht="15.75" customHeight="1">
      <c r="A208" s="53"/>
      <c r="B208" s="119" t="s">
        <v>193</v>
      </c>
      <c r="C208" s="55"/>
      <c r="D208" s="66"/>
      <c r="E208" s="67"/>
      <c r="F208" s="66"/>
      <c r="G208" s="67"/>
      <c r="H208" s="66"/>
      <c r="I208" s="67"/>
      <c r="J208" s="66"/>
      <c r="K208" s="67"/>
      <c r="L208" s="61" t="s">
        <v>23</v>
      </c>
      <c r="M208" s="70"/>
      <c r="N208" s="71"/>
      <c r="O208" s="70"/>
      <c r="P208" s="71"/>
      <c r="Q208" s="70"/>
      <c r="R208" s="71"/>
      <c r="S208" s="70"/>
      <c r="T208" s="71"/>
      <c r="U208" s="70"/>
      <c r="V208" s="71"/>
      <c r="W208" s="70"/>
      <c r="X208" s="71"/>
      <c r="Y208" s="83"/>
      <c r="Z208" s="84"/>
      <c r="AA208" s="85"/>
      <c r="AB208" s="85"/>
      <c r="AC208" s="18"/>
      <c r="AD208" s="18"/>
      <c r="AE208" s="18"/>
      <c r="AF208" s="18"/>
    </row>
    <row r="209" ht="15.75" customHeight="1">
      <c r="A209" s="53"/>
      <c r="B209" s="119" t="s">
        <v>194</v>
      </c>
      <c r="C209" s="55"/>
      <c r="D209" s="73"/>
      <c r="E209" s="67"/>
      <c r="F209" s="73"/>
      <c r="G209" s="67"/>
      <c r="H209" s="73"/>
      <c r="I209" s="67"/>
      <c r="J209" s="73"/>
      <c r="K209" s="67"/>
      <c r="L209" s="61" t="s">
        <v>23</v>
      </c>
      <c r="M209" s="70"/>
      <c r="N209" s="71"/>
      <c r="O209" s="70"/>
      <c r="P209" s="71"/>
      <c r="Q209" s="70"/>
      <c r="R209" s="71"/>
      <c r="S209" s="70"/>
      <c r="T209" s="71"/>
      <c r="U209" s="70"/>
      <c r="V209" s="71"/>
      <c r="W209" s="70"/>
      <c r="X209" s="71"/>
      <c r="Y209" s="64"/>
      <c r="Z209" s="84"/>
      <c r="AA209" s="85"/>
      <c r="AB209" s="85"/>
      <c r="AC209" s="18"/>
      <c r="AD209" s="18"/>
      <c r="AE209" s="18"/>
      <c r="AF209" s="18"/>
    </row>
    <row r="210" ht="13.5" customHeight="1">
      <c r="A210" s="53"/>
      <c r="B210" s="119" t="s">
        <v>195</v>
      </c>
      <c r="C210" s="55"/>
      <c r="D210" s="73"/>
      <c r="E210" s="67"/>
      <c r="F210" s="73"/>
      <c r="G210" s="67"/>
      <c r="H210" s="73"/>
      <c r="I210" s="67"/>
      <c r="J210" s="73"/>
      <c r="K210" s="67"/>
      <c r="L210" s="61" t="s">
        <v>23</v>
      </c>
      <c r="M210" s="70"/>
      <c r="N210" s="71"/>
      <c r="O210" s="70"/>
      <c r="P210" s="71"/>
      <c r="Q210" s="70"/>
      <c r="R210" s="71"/>
      <c r="S210" s="70"/>
      <c r="T210" s="71"/>
      <c r="U210" s="70"/>
      <c r="V210" s="71"/>
      <c r="W210" s="70"/>
      <c r="X210" s="71"/>
      <c r="Y210" s="64"/>
      <c r="Z210" s="84"/>
      <c r="AA210" s="85"/>
      <c r="AB210" s="85"/>
      <c r="AC210" s="18"/>
      <c r="AD210" s="18"/>
      <c r="AE210" s="18"/>
      <c r="AF210" s="18"/>
    </row>
    <row r="211" ht="13.5" customHeight="1">
      <c r="A211" s="45">
        <v>6.0</v>
      </c>
      <c r="B211" s="46" t="s">
        <v>196</v>
      </c>
      <c r="C211" s="47"/>
      <c r="D211" s="47"/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47"/>
      <c r="X211" s="47"/>
      <c r="Y211" s="48"/>
      <c r="Z211" s="84"/>
      <c r="AA211" s="85"/>
      <c r="AB211" s="85"/>
      <c r="AC211" s="18"/>
      <c r="AD211" s="18"/>
      <c r="AE211" s="18"/>
      <c r="AF211" s="18"/>
    </row>
    <row r="212" ht="15.75" customHeight="1">
      <c r="A212" s="49"/>
      <c r="B212" s="50"/>
      <c r="C212" s="51"/>
      <c r="D212" s="51"/>
      <c r="E212" s="51"/>
      <c r="F212" s="51"/>
      <c r="G212" s="51"/>
      <c r="H212" s="51"/>
      <c r="I212" s="51"/>
      <c r="J212" s="51"/>
      <c r="K212" s="51"/>
      <c r="L212" s="51"/>
      <c r="M212" s="51"/>
      <c r="N212" s="51"/>
      <c r="O212" s="51"/>
      <c r="P212" s="51"/>
      <c r="Q212" s="51"/>
      <c r="R212" s="51"/>
      <c r="S212" s="51"/>
      <c r="T212" s="51"/>
      <c r="U212" s="51"/>
      <c r="V212" s="51"/>
      <c r="W212" s="51"/>
      <c r="X212" s="51"/>
      <c r="Y212" s="52"/>
      <c r="Z212" s="84"/>
      <c r="AA212" s="85"/>
      <c r="AB212" s="85"/>
      <c r="AC212" s="18"/>
      <c r="AD212" s="18"/>
      <c r="AE212" s="18"/>
      <c r="AF212" s="18"/>
    </row>
    <row r="213" ht="15.75" customHeight="1">
      <c r="A213" s="86"/>
      <c r="B213" s="118" t="s">
        <v>197</v>
      </c>
      <c r="C213" s="55"/>
      <c r="D213" s="56"/>
      <c r="E213" s="57"/>
      <c r="F213" s="56"/>
      <c r="G213" s="57"/>
      <c r="H213" s="56"/>
      <c r="I213" s="58"/>
      <c r="J213" s="56"/>
      <c r="K213" s="57"/>
      <c r="L213" s="61" t="s">
        <v>23</v>
      </c>
      <c r="M213" s="57"/>
      <c r="N213" s="62"/>
      <c r="O213" s="57"/>
      <c r="P213" s="62"/>
      <c r="Q213" s="57"/>
      <c r="R213" s="62"/>
      <c r="S213" s="57"/>
      <c r="T213" s="62"/>
      <c r="U213" s="57"/>
      <c r="V213" s="56"/>
      <c r="W213" s="57"/>
      <c r="X213" s="63"/>
      <c r="Y213" s="64"/>
      <c r="Z213" s="84"/>
      <c r="AA213" s="85"/>
      <c r="AB213" s="85"/>
      <c r="AC213" s="18"/>
      <c r="AD213" s="18"/>
      <c r="AE213" s="18"/>
      <c r="AF213" s="18"/>
    </row>
    <row r="214" ht="15.75" customHeight="1">
      <c r="A214" s="86"/>
      <c r="B214" s="119" t="s">
        <v>198</v>
      </c>
      <c r="C214" s="55"/>
      <c r="D214" s="56"/>
      <c r="E214" s="57"/>
      <c r="F214" s="56"/>
      <c r="G214" s="57"/>
      <c r="H214" s="62"/>
      <c r="I214" s="58"/>
      <c r="J214" s="62"/>
      <c r="K214" s="57"/>
      <c r="L214" s="61" t="s">
        <v>23</v>
      </c>
      <c r="M214" s="57"/>
      <c r="N214" s="62"/>
      <c r="O214" s="57"/>
      <c r="P214" s="62"/>
      <c r="Q214" s="57"/>
      <c r="R214" s="62"/>
      <c r="S214" s="57"/>
      <c r="T214" s="62"/>
      <c r="U214" s="57"/>
      <c r="V214" s="56"/>
      <c r="W214" s="57"/>
      <c r="X214" s="63"/>
      <c r="Y214" s="64"/>
      <c r="Z214" s="84"/>
      <c r="AA214" s="85"/>
      <c r="AB214" s="85"/>
      <c r="AC214" s="18"/>
      <c r="AD214" s="18"/>
      <c r="AE214" s="18"/>
      <c r="AF214" s="18"/>
    </row>
    <row r="215" ht="15.75" customHeight="1">
      <c r="A215" s="86"/>
      <c r="B215" s="119" t="s">
        <v>199</v>
      </c>
      <c r="C215" s="55"/>
      <c r="D215" s="56"/>
      <c r="E215" s="57"/>
      <c r="F215" s="56"/>
      <c r="G215" s="57"/>
      <c r="H215" s="62"/>
      <c r="I215" s="58"/>
      <c r="J215" s="62"/>
      <c r="K215" s="57"/>
      <c r="L215" s="61" t="s">
        <v>23</v>
      </c>
      <c r="M215" s="57"/>
      <c r="N215" s="62"/>
      <c r="O215" s="57"/>
      <c r="P215" s="62"/>
      <c r="Q215" s="57"/>
      <c r="R215" s="62"/>
      <c r="S215" s="57"/>
      <c r="T215" s="62"/>
      <c r="U215" s="57"/>
      <c r="V215" s="56"/>
      <c r="W215" s="57"/>
      <c r="X215" s="63"/>
      <c r="Y215" s="64"/>
      <c r="Z215" s="84"/>
      <c r="AA215" s="85"/>
      <c r="AB215" s="85"/>
      <c r="AC215" s="18"/>
      <c r="AD215" s="18"/>
      <c r="AE215" s="18"/>
      <c r="AF215" s="18"/>
    </row>
    <row r="216" ht="15.75" customHeight="1">
      <c r="A216" s="86"/>
      <c r="B216" s="119" t="s">
        <v>200</v>
      </c>
      <c r="C216" s="55"/>
      <c r="D216" s="56"/>
      <c r="E216" s="57"/>
      <c r="F216" s="56"/>
      <c r="G216" s="57"/>
      <c r="H216" s="62"/>
      <c r="I216" s="58"/>
      <c r="J216" s="62"/>
      <c r="K216" s="57"/>
      <c r="L216" s="61" t="s">
        <v>23</v>
      </c>
      <c r="M216" s="57"/>
      <c r="N216" s="62"/>
      <c r="O216" s="57"/>
      <c r="P216" s="62"/>
      <c r="Q216" s="57"/>
      <c r="R216" s="62"/>
      <c r="S216" s="57"/>
      <c r="T216" s="62"/>
      <c r="U216" s="57"/>
      <c r="V216" s="56"/>
      <c r="W216" s="57"/>
      <c r="X216" s="63"/>
      <c r="Y216" s="64"/>
      <c r="Z216" s="84"/>
      <c r="AA216" s="85"/>
      <c r="AB216" s="85"/>
      <c r="AC216" s="18"/>
      <c r="AD216" s="18"/>
      <c r="AE216" s="18"/>
      <c r="AF216" s="18"/>
    </row>
    <row r="217" ht="15.75" customHeight="1">
      <c r="A217" s="86"/>
      <c r="B217" s="119" t="s">
        <v>201</v>
      </c>
      <c r="C217" s="55"/>
      <c r="D217" s="56"/>
      <c r="E217" s="57"/>
      <c r="F217" s="56"/>
      <c r="G217" s="57"/>
      <c r="H217" s="62"/>
      <c r="I217" s="58"/>
      <c r="J217" s="62"/>
      <c r="K217" s="57"/>
      <c r="L217" s="61" t="s">
        <v>23</v>
      </c>
      <c r="M217" s="57"/>
      <c r="N217" s="62"/>
      <c r="O217" s="57"/>
      <c r="P217" s="62"/>
      <c r="Q217" s="57"/>
      <c r="R217" s="62"/>
      <c r="S217" s="57"/>
      <c r="T217" s="62"/>
      <c r="U217" s="57"/>
      <c r="V217" s="56"/>
      <c r="W217" s="57"/>
      <c r="X217" s="63"/>
      <c r="Y217" s="64"/>
      <c r="Z217" s="84"/>
      <c r="AA217" s="85"/>
      <c r="AB217" s="85"/>
      <c r="AC217" s="18"/>
      <c r="AD217" s="18"/>
      <c r="AE217" s="18"/>
      <c r="AF217" s="18"/>
    </row>
    <row r="218" ht="15.75" customHeight="1">
      <c r="A218" s="86"/>
      <c r="B218" s="119" t="s">
        <v>202</v>
      </c>
      <c r="C218" s="55"/>
      <c r="D218" s="56"/>
      <c r="E218" s="57"/>
      <c r="F218" s="56"/>
      <c r="G218" s="57"/>
      <c r="H218" s="62"/>
      <c r="I218" s="58"/>
      <c r="J218" s="62"/>
      <c r="K218" s="57"/>
      <c r="L218" s="61" t="s">
        <v>23</v>
      </c>
      <c r="M218" s="57"/>
      <c r="N218" s="62"/>
      <c r="O218" s="57"/>
      <c r="P218" s="62"/>
      <c r="Q218" s="57"/>
      <c r="R218" s="62"/>
      <c r="S218" s="57"/>
      <c r="T218" s="62"/>
      <c r="U218" s="57"/>
      <c r="V218" s="56"/>
      <c r="W218" s="57"/>
      <c r="X218" s="63"/>
      <c r="Y218" s="64"/>
      <c r="Z218" s="84"/>
      <c r="AA218" s="85"/>
      <c r="AB218" s="85"/>
      <c r="AC218" s="18"/>
      <c r="AD218" s="18"/>
      <c r="AE218" s="18"/>
      <c r="AF218" s="18"/>
    </row>
    <row r="219" ht="15.75" customHeight="1">
      <c r="A219" s="86"/>
      <c r="B219" s="119" t="s">
        <v>203</v>
      </c>
      <c r="C219" s="55"/>
      <c r="D219" s="56"/>
      <c r="E219" s="57"/>
      <c r="F219" s="56"/>
      <c r="G219" s="57"/>
      <c r="H219" s="62"/>
      <c r="I219" s="58"/>
      <c r="J219" s="62"/>
      <c r="K219" s="57"/>
      <c r="L219" s="61" t="s">
        <v>23</v>
      </c>
      <c r="M219" s="57"/>
      <c r="N219" s="62"/>
      <c r="O219" s="57"/>
      <c r="P219" s="62"/>
      <c r="Q219" s="57"/>
      <c r="R219" s="62"/>
      <c r="S219" s="57"/>
      <c r="T219" s="62"/>
      <c r="U219" s="57"/>
      <c r="V219" s="56"/>
      <c r="W219" s="57"/>
      <c r="X219" s="63"/>
      <c r="Y219" s="64"/>
      <c r="Z219" s="84"/>
      <c r="AA219" s="85"/>
      <c r="AB219" s="85"/>
      <c r="AC219" s="18"/>
      <c r="AD219" s="18"/>
      <c r="AE219" s="18"/>
      <c r="AF219" s="18"/>
    </row>
    <row r="220" ht="15.75" customHeight="1">
      <c r="A220" s="86"/>
      <c r="B220" s="119" t="s">
        <v>204</v>
      </c>
      <c r="C220" s="55"/>
      <c r="D220" s="56"/>
      <c r="E220" s="57"/>
      <c r="F220" s="56"/>
      <c r="G220" s="57"/>
      <c r="H220" s="62"/>
      <c r="I220" s="58"/>
      <c r="J220" s="62"/>
      <c r="K220" s="57"/>
      <c r="L220" s="61" t="s">
        <v>23</v>
      </c>
      <c r="M220" s="57"/>
      <c r="N220" s="62"/>
      <c r="O220" s="57"/>
      <c r="P220" s="62"/>
      <c r="Q220" s="57"/>
      <c r="R220" s="62"/>
      <c r="S220" s="57"/>
      <c r="T220" s="62"/>
      <c r="U220" s="57"/>
      <c r="V220" s="56"/>
      <c r="W220" s="57"/>
      <c r="X220" s="63"/>
      <c r="Y220" s="64"/>
      <c r="Z220" s="84"/>
      <c r="AA220" s="85"/>
      <c r="AB220" s="85"/>
      <c r="AC220" s="18"/>
      <c r="AD220" s="18"/>
      <c r="AE220" s="18"/>
      <c r="AF220" s="18"/>
    </row>
    <row r="221" ht="15.75" customHeight="1">
      <c r="A221" s="86"/>
      <c r="B221" s="119" t="s">
        <v>205</v>
      </c>
      <c r="C221" s="55"/>
      <c r="D221" s="56"/>
      <c r="E221" s="57"/>
      <c r="F221" s="56"/>
      <c r="G221" s="57"/>
      <c r="H221" s="62"/>
      <c r="I221" s="58"/>
      <c r="J221" s="62"/>
      <c r="K221" s="57"/>
      <c r="L221" s="61" t="s">
        <v>23</v>
      </c>
      <c r="M221" s="57"/>
      <c r="N221" s="62"/>
      <c r="O221" s="57"/>
      <c r="P221" s="62"/>
      <c r="Q221" s="57"/>
      <c r="R221" s="62"/>
      <c r="S221" s="57"/>
      <c r="T221" s="62"/>
      <c r="U221" s="57"/>
      <c r="V221" s="56"/>
      <c r="W221" s="57"/>
      <c r="X221" s="63"/>
      <c r="Y221" s="64"/>
      <c r="Z221" s="84"/>
      <c r="AA221" s="85"/>
      <c r="AB221" s="85"/>
      <c r="AC221" s="18"/>
      <c r="AD221" s="18"/>
      <c r="AE221" s="18"/>
      <c r="AF221" s="18"/>
    </row>
    <row r="222" ht="15.75" customHeight="1">
      <c r="A222" s="86"/>
      <c r="B222" s="119" t="s">
        <v>206</v>
      </c>
      <c r="C222" s="55"/>
      <c r="D222" s="56"/>
      <c r="E222" s="57"/>
      <c r="F222" s="56"/>
      <c r="G222" s="57"/>
      <c r="H222" s="62"/>
      <c r="I222" s="58"/>
      <c r="J222" s="62"/>
      <c r="K222" s="57"/>
      <c r="L222" s="61" t="s">
        <v>23</v>
      </c>
      <c r="M222" s="57"/>
      <c r="N222" s="62"/>
      <c r="O222" s="57"/>
      <c r="P222" s="62"/>
      <c r="Q222" s="57"/>
      <c r="R222" s="62"/>
      <c r="S222" s="57"/>
      <c r="T222" s="62"/>
      <c r="U222" s="57"/>
      <c r="V222" s="56"/>
      <c r="W222" s="57"/>
      <c r="X222" s="63"/>
      <c r="Y222" s="64"/>
      <c r="Z222" s="84"/>
      <c r="AA222" s="85"/>
      <c r="AB222" s="85"/>
      <c r="AC222" s="18"/>
      <c r="AD222" s="18"/>
      <c r="AE222" s="18"/>
      <c r="AF222" s="18"/>
    </row>
    <row r="223" ht="15.75" customHeight="1">
      <c r="A223" s="86"/>
      <c r="B223" s="119" t="s">
        <v>207</v>
      </c>
      <c r="C223" s="55"/>
      <c r="D223" s="56"/>
      <c r="E223" s="57"/>
      <c r="F223" s="56"/>
      <c r="G223" s="57"/>
      <c r="H223" s="62"/>
      <c r="I223" s="58"/>
      <c r="J223" s="62"/>
      <c r="K223" s="57"/>
      <c r="L223" s="61" t="s">
        <v>23</v>
      </c>
      <c r="M223" s="57"/>
      <c r="N223" s="62"/>
      <c r="O223" s="57"/>
      <c r="P223" s="62"/>
      <c r="Q223" s="57"/>
      <c r="R223" s="62"/>
      <c r="S223" s="57"/>
      <c r="T223" s="62"/>
      <c r="U223" s="57"/>
      <c r="V223" s="56"/>
      <c r="W223" s="57"/>
      <c r="X223" s="63"/>
      <c r="Y223" s="64"/>
      <c r="Z223" s="84"/>
      <c r="AA223" s="85"/>
      <c r="AB223" s="85"/>
      <c r="AC223" s="18"/>
      <c r="AD223" s="18"/>
      <c r="AE223" s="18"/>
      <c r="AF223" s="18"/>
    </row>
    <row r="224" ht="13.5" customHeight="1">
      <c r="A224" s="86"/>
      <c r="B224" s="119" t="s">
        <v>208</v>
      </c>
      <c r="C224" s="55"/>
      <c r="D224" s="56"/>
      <c r="E224" s="57"/>
      <c r="F224" s="56"/>
      <c r="G224" s="57"/>
      <c r="H224" s="62"/>
      <c r="I224" s="58"/>
      <c r="J224" s="62"/>
      <c r="K224" s="57"/>
      <c r="L224" s="61" t="s">
        <v>23</v>
      </c>
      <c r="M224" s="57"/>
      <c r="N224" s="62"/>
      <c r="O224" s="57"/>
      <c r="P224" s="62"/>
      <c r="Q224" s="57"/>
      <c r="R224" s="62"/>
      <c r="S224" s="57"/>
      <c r="T224" s="62"/>
      <c r="U224" s="57"/>
      <c r="V224" s="56"/>
      <c r="W224" s="57"/>
      <c r="X224" s="63"/>
      <c r="Y224" s="64"/>
      <c r="Z224" s="84"/>
      <c r="AA224" s="85"/>
      <c r="AB224" s="85"/>
      <c r="AC224" s="18"/>
      <c r="AD224" s="18"/>
      <c r="AE224" s="18"/>
      <c r="AF224" s="18"/>
    </row>
    <row r="225" ht="13.5" customHeight="1">
      <c r="A225" s="45">
        <v>7.0</v>
      </c>
      <c r="B225" s="46" t="s">
        <v>209</v>
      </c>
      <c r="C225" s="47"/>
      <c r="D225" s="47"/>
      <c r="E225" s="47"/>
      <c r="F225" s="47"/>
      <c r="G225" s="47"/>
      <c r="H225" s="47"/>
      <c r="I225" s="47"/>
      <c r="J225" s="47"/>
      <c r="K225" s="47"/>
      <c r="L225" s="47"/>
      <c r="M225" s="47"/>
      <c r="N225" s="47"/>
      <c r="O225" s="47"/>
      <c r="P225" s="47"/>
      <c r="Q225" s="47"/>
      <c r="R225" s="47"/>
      <c r="S225" s="47"/>
      <c r="T225" s="47"/>
      <c r="U225" s="47"/>
      <c r="V225" s="47"/>
      <c r="W225" s="47"/>
      <c r="X225" s="47"/>
      <c r="Y225" s="48"/>
      <c r="Z225" s="84"/>
      <c r="AA225" s="85"/>
      <c r="AB225" s="85"/>
      <c r="AC225" s="18"/>
      <c r="AD225" s="18"/>
      <c r="AE225" s="18"/>
      <c r="AF225" s="18"/>
    </row>
    <row r="226" ht="15.75" customHeight="1">
      <c r="A226" s="49"/>
      <c r="B226" s="50"/>
      <c r="C226" s="51"/>
      <c r="D226" s="51"/>
      <c r="E226" s="51"/>
      <c r="F226" s="51"/>
      <c r="G226" s="51"/>
      <c r="H226" s="51"/>
      <c r="I226" s="51"/>
      <c r="J226" s="51"/>
      <c r="K226" s="51"/>
      <c r="L226" s="51"/>
      <c r="M226" s="51"/>
      <c r="N226" s="51"/>
      <c r="O226" s="51"/>
      <c r="P226" s="51"/>
      <c r="Q226" s="51"/>
      <c r="R226" s="51"/>
      <c r="S226" s="51"/>
      <c r="T226" s="51"/>
      <c r="U226" s="51"/>
      <c r="V226" s="51"/>
      <c r="W226" s="51"/>
      <c r="X226" s="51"/>
      <c r="Y226" s="52"/>
      <c r="Z226" s="84"/>
      <c r="AA226" s="85"/>
      <c r="AB226" s="85"/>
      <c r="AC226" s="18"/>
      <c r="AD226" s="18"/>
      <c r="AE226" s="18"/>
      <c r="AF226" s="18"/>
    </row>
    <row r="227" ht="15.75" customHeight="1">
      <c r="A227" s="86"/>
      <c r="B227" s="118" t="s">
        <v>210</v>
      </c>
      <c r="C227" s="55"/>
      <c r="D227" s="56"/>
      <c r="E227" s="57"/>
      <c r="F227" s="56"/>
      <c r="G227" s="57"/>
      <c r="H227" s="56"/>
      <c r="I227" s="58"/>
      <c r="J227" s="56"/>
      <c r="K227" s="57"/>
      <c r="L227" s="61" t="s">
        <v>23</v>
      </c>
      <c r="M227" s="57"/>
      <c r="N227" s="62"/>
      <c r="O227" s="57"/>
      <c r="P227" s="62"/>
      <c r="Q227" s="57"/>
      <c r="R227" s="62"/>
      <c r="S227" s="57"/>
      <c r="T227" s="62"/>
      <c r="U227" s="57"/>
      <c r="V227" s="56"/>
      <c r="W227" s="57"/>
      <c r="X227" s="63"/>
      <c r="Y227" s="64"/>
      <c r="Z227" s="84"/>
      <c r="AA227" s="85"/>
      <c r="AB227" s="85"/>
      <c r="AC227" s="18"/>
      <c r="AD227" s="18"/>
      <c r="AE227" s="18"/>
      <c r="AF227" s="18"/>
    </row>
    <row r="228" ht="15.75" customHeight="1">
      <c r="A228" s="86"/>
      <c r="B228" s="119" t="s">
        <v>211</v>
      </c>
      <c r="C228" s="55"/>
      <c r="D228" s="56"/>
      <c r="E228" s="57"/>
      <c r="F228" s="56"/>
      <c r="G228" s="57"/>
      <c r="H228" s="62"/>
      <c r="I228" s="58"/>
      <c r="J228" s="62"/>
      <c r="K228" s="57"/>
      <c r="L228" s="61" t="s">
        <v>23</v>
      </c>
      <c r="M228" s="57"/>
      <c r="N228" s="62"/>
      <c r="O228" s="57"/>
      <c r="P228" s="62"/>
      <c r="Q228" s="57"/>
      <c r="R228" s="62"/>
      <c r="S228" s="57"/>
      <c r="T228" s="62"/>
      <c r="U228" s="57"/>
      <c r="V228" s="56"/>
      <c r="W228" s="57"/>
      <c r="X228" s="63"/>
      <c r="Y228" s="64"/>
      <c r="Z228" s="84"/>
      <c r="AA228" s="85"/>
      <c r="AB228" s="85"/>
      <c r="AC228" s="18"/>
      <c r="AD228" s="18"/>
      <c r="AE228" s="18"/>
      <c r="AF228" s="18"/>
    </row>
    <row r="229" ht="15.75" customHeight="1">
      <c r="A229" s="86"/>
      <c r="B229" s="118" t="s">
        <v>212</v>
      </c>
      <c r="C229" s="55"/>
      <c r="D229" s="56"/>
      <c r="E229" s="57"/>
      <c r="F229" s="56"/>
      <c r="G229" s="57"/>
      <c r="H229" s="62"/>
      <c r="I229" s="58"/>
      <c r="J229" s="62"/>
      <c r="K229" s="57"/>
      <c r="L229" s="61" t="s">
        <v>23</v>
      </c>
      <c r="M229" s="57"/>
      <c r="N229" s="62"/>
      <c r="O229" s="57"/>
      <c r="P229" s="62"/>
      <c r="Q229" s="57"/>
      <c r="R229" s="62"/>
      <c r="S229" s="57"/>
      <c r="T229" s="62"/>
      <c r="U229" s="57"/>
      <c r="V229" s="56"/>
      <c r="W229" s="57"/>
      <c r="X229" s="63"/>
      <c r="Y229" s="64"/>
      <c r="Z229" s="84"/>
      <c r="AA229" s="85"/>
      <c r="AB229" s="85"/>
      <c r="AC229" s="18"/>
      <c r="AD229" s="18"/>
      <c r="AE229" s="18"/>
      <c r="AF229" s="18"/>
    </row>
    <row r="230" ht="15.75" customHeight="1">
      <c r="A230" s="86"/>
      <c r="B230" s="119" t="s">
        <v>213</v>
      </c>
      <c r="C230" s="55"/>
      <c r="D230" s="56"/>
      <c r="E230" s="57"/>
      <c r="F230" s="56"/>
      <c r="G230" s="57"/>
      <c r="H230" s="62"/>
      <c r="I230" s="58"/>
      <c r="J230" s="62"/>
      <c r="K230" s="57"/>
      <c r="L230" s="61" t="s">
        <v>23</v>
      </c>
      <c r="M230" s="57"/>
      <c r="N230" s="62"/>
      <c r="O230" s="57"/>
      <c r="P230" s="62"/>
      <c r="Q230" s="57"/>
      <c r="R230" s="62"/>
      <c r="S230" s="57"/>
      <c r="T230" s="62"/>
      <c r="U230" s="57"/>
      <c r="V230" s="56"/>
      <c r="W230" s="57"/>
      <c r="X230" s="63"/>
      <c r="Y230" s="64"/>
      <c r="Z230" s="84"/>
      <c r="AA230" s="85"/>
      <c r="AB230" s="85"/>
      <c r="AC230" s="18"/>
      <c r="AD230" s="18"/>
      <c r="AE230" s="18"/>
      <c r="AF230" s="18"/>
    </row>
    <row r="231" ht="15.75" customHeight="1">
      <c r="A231" s="86"/>
      <c r="B231" s="119" t="s">
        <v>214</v>
      </c>
      <c r="C231" s="55"/>
      <c r="D231" s="56"/>
      <c r="E231" s="57"/>
      <c r="F231" s="56"/>
      <c r="G231" s="57"/>
      <c r="H231" s="56"/>
      <c r="I231" s="58"/>
      <c r="J231" s="56"/>
      <c r="K231" s="57"/>
      <c r="L231" s="61" t="s">
        <v>23</v>
      </c>
      <c r="M231" s="57"/>
      <c r="N231" s="62"/>
      <c r="O231" s="57"/>
      <c r="P231" s="62"/>
      <c r="Q231" s="57"/>
      <c r="R231" s="62"/>
      <c r="S231" s="57"/>
      <c r="T231" s="62"/>
      <c r="U231" s="57"/>
      <c r="V231" s="56"/>
      <c r="W231" s="57"/>
      <c r="X231" s="63"/>
      <c r="Y231" s="64"/>
      <c r="Z231" s="84"/>
      <c r="AA231" s="85"/>
      <c r="AB231" s="85"/>
      <c r="AC231" s="18"/>
      <c r="AD231" s="18"/>
      <c r="AE231" s="18"/>
      <c r="AF231" s="18"/>
    </row>
    <row r="232" ht="15.75" customHeight="1">
      <c r="A232" s="86"/>
      <c r="B232" s="119" t="s">
        <v>215</v>
      </c>
      <c r="C232" s="55"/>
      <c r="D232" s="56"/>
      <c r="E232" s="57"/>
      <c r="F232" s="56"/>
      <c r="G232" s="57"/>
      <c r="H232" s="62"/>
      <c r="I232" s="58"/>
      <c r="J232" s="62"/>
      <c r="K232" s="57"/>
      <c r="L232" s="61" t="s">
        <v>23</v>
      </c>
      <c r="M232" s="57"/>
      <c r="N232" s="62"/>
      <c r="O232" s="57"/>
      <c r="P232" s="62"/>
      <c r="Q232" s="57"/>
      <c r="R232" s="62"/>
      <c r="S232" s="57"/>
      <c r="T232" s="62"/>
      <c r="U232" s="57"/>
      <c r="V232" s="56"/>
      <c r="W232" s="57"/>
      <c r="X232" s="63"/>
      <c r="Y232" s="64"/>
      <c r="Z232" s="84"/>
      <c r="AA232" s="85"/>
      <c r="AB232" s="85"/>
      <c r="AC232" s="18"/>
      <c r="AD232" s="18"/>
      <c r="AE232" s="18"/>
      <c r="AF232" s="18"/>
    </row>
    <row r="233" ht="28.5" customHeight="1">
      <c r="A233" s="42" t="s">
        <v>65</v>
      </c>
      <c r="B233" s="43"/>
      <c r="C233" s="43"/>
      <c r="D233" s="43"/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4"/>
      <c r="Z233" s="84"/>
      <c r="AA233" s="85"/>
      <c r="AB233" s="85"/>
      <c r="AC233" s="18"/>
      <c r="AD233" s="18"/>
      <c r="AE233" s="18"/>
      <c r="AF233" s="18"/>
    </row>
    <row r="234" ht="13.5" customHeight="1">
      <c r="A234" s="45">
        <v>8.0</v>
      </c>
      <c r="B234" s="46" t="s">
        <v>216</v>
      </c>
      <c r="C234" s="47"/>
      <c r="D234" s="47"/>
      <c r="E234" s="47"/>
      <c r="F234" s="47"/>
      <c r="G234" s="47"/>
      <c r="H234" s="47"/>
      <c r="I234" s="47"/>
      <c r="J234" s="47"/>
      <c r="K234" s="47"/>
      <c r="L234" s="47"/>
      <c r="M234" s="47"/>
      <c r="N234" s="47"/>
      <c r="O234" s="47"/>
      <c r="P234" s="47"/>
      <c r="Q234" s="47"/>
      <c r="R234" s="47"/>
      <c r="S234" s="47"/>
      <c r="T234" s="47"/>
      <c r="U234" s="47"/>
      <c r="V234" s="47"/>
      <c r="W234" s="47"/>
      <c r="X234" s="47"/>
      <c r="Y234" s="48"/>
      <c r="Z234" s="84"/>
      <c r="AA234" s="85"/>
      <c r="AB234" s="85"/>
      <c r="AC234" s="18"/>
      <c r="AD234" s="18"/>
      <c r="AE234" s="18"/>
      <c r="AF234" s="18"/>
    </row>
    <row r="235" ht="16.5" customHeight="1">
      <c r="A235" s="49"/>
      <c r="B235" s="50"/>
      <c r="C235" s="51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  <c r="P235" s="51"/>
      <c r="Q235" s="51"/>
      <c r="R235" s="51"/>
      <c r="S235" s="51"/>
      <c r="T235" s="51"/>
      <c r="U235" s="51"/>
      <c r="V235" s="51"/>
      <c r="W235" s="51"/>
      <c r="X235" s="51"/>
      <c r="Y235" s="52"/>
      <c r="Z235" s="84"/>
      <c r="AA235" s="85"/>
      <c r="AB235" s="85"/>
      <c r="AC235" s="18"/>
      <c r="AD235" s="18"/>
      <c r="AE235" s="18"/>
      <c r="AF235" s="18"/>
    </row>
    <row r="236" ht="15.75" customHeight="1">
      <c r="A236" s="86"/>
      <c r="B236" s="118" t="s">
        <v>217</v>
      </c>
      <c r="C236" s="55"/>
      <c r="D236" s="56"/>
      <c r="E236" s="57"/>
      <c r="F236" s="56"/>
      <c r="G236" s="57"/>
      <c r="H236" s="56"/>
      <c r="I236" s="58"/>
      <c r="J236" s="56"/>
      <c r="K236" s="57"/>
      <c r="L236" s="61" t="s">
        <v>23</v>
      </c>
      <c r="M236" s="57"/>
      <c r="N236" s="62"/>
      <c r="O236" s="57"/>
      <c r="P236" s="62"/>
      <c r="Q236" s="57"/>
      <c r="R236" s="62"/>
      <c r="S236" s="57"/>
      <c r="T236" s="62"/>
      <c r="U236" s="57"/>
      <c r="V236" s="56"/>
      <c r="W236" s="57"/>
      <c r="X236" s="128"/>
      <c r="Y236" s="83"/>
      <c r="Z236" s="84"/>
      <c r="AA236" s="85"/>
      <c r="AB236" s="85"/>
      <c r="AC236" s="18"/>
      <c r="AD236" s="18"/>
      <c r="AE236" s="18"/>
      <c r="AF236" s="18"/>
    </row>
    <row r="237" ht="15.75" customHeight="1">
      <c r="A237" s="86"/>
      <c r="B237" s="119" t="s">
        <v>218</v>
      </c>
      <c r="C237" s="55"/>
      <c r="D237" s="56"/>
      <c r="E237" s="57"/>
      <c r="F237" s="56"/>
      <c r="G237" s="57"/>
      <c r="H237" s="56"/>
      <c r="I237" s="57"/>
      <c r="J237" s="56"/>
      <c r="K237" s="57"/>
      <c r="L237" s="61" t="s">
        <v>23</v>
      </c>
      <c r="M237" s="62"/>
      <c r="N237" s="62"/>
      <c r="O237" s="57"/>
      <c r="P237" s="62"/>
      <c r="Q237" s="57"/>
      <c r="R237" s="62"/>
      <c r="S237" s="57"/>
      <c r="T237" s="62"/>
      <c r="U237" s="57"/>
      <c r="V237" s="56"/>
      <c r="W237" s="57"/>
      <c r="X237" s="128"/>
      <c r="Y237" s="83"/>
      <c r="Z237" s="84"/>
      <c r="AA237" s="85"/>
      <c r="AB237" s="85"/>
      <c r="AC237" s="18"/>
      <c r="AD237" s="18"/>
      <c r="AE237" s="18"/>
      <c r="AF237" s="18"/>
    </row>
    <row r="238" ht="15.75" customHeight="1">
      <c r="A238" s="86"/>
      <c r="B238" s="119" t="s">
        <v>219</v>
      </c>
      <c r="C238" s="55"/>
      <c r="D238" s="56"/>
      <c r="E238" s="57"/>
      <c r="F238" s="56"/>
      <c r="G238" s="57"/>
      <c r="H238" s="56"/>
      <c r="I238" s="58"/>
      <c r="J238" s="56"/>
      <c r="K238" s="57"/>
      <c r="L238" s="61" t="s">
        <v>23</v>
      </c>
      <c r="M238" s="62"/>
      <c r="N238" s="62"/>
      <c r="O238" s="57"/>
      <c r="P238" s="62"/>
      <c r="Q238" s="57"/>
      <c r="R238" s="62"/>
      <c r="S238" s="57"/>
      <c r="T238" s="62"/>
      <c r="U238" s="57"/>
      <c r="V238" s="56"/>
      <c r="W238" s="57"/>
      <c r="X238" s="128"/>
      <c r="Y238" s="83" t="s">
        <v>220</v>
      </c>
      <c r="Z238" s="84"/>
      <c r="AA238" s="85"/>
      <c r="AB238" s="85"/>
      <c r="AC238" s="18"/>
      <c r="AD238" s="18"/>
      <c r="AE238" s="18"/>
      <c r="AF238" s="18"/>
    </row>
    <row r="239" ht="15.75" customHeight="1">
      <c r="A239" s="86"/>
      <c r="B239" s="119" t="s">
        <v>221</v>
      </c>
      <c r="C239" s="55"/>
      <c r="D239" s="56"/>
      <c r="E239" s="57"/>
      <c r="F239" s="56"/>
      <c r="G239" s="57"/>
      <c r="H239" s="56"/>
      <c r="I239" s="57"/>
      <c r="J239" s="56"/>
      <c r="K239" s="57"/>
      <c r="L239" s="61" t="s">
        <v>23</v>
      </c>
      <c r="M239" s="62"/>
      <c r="N239" s="62"/>
      <c r="O239" s="57"/>
      <c r="P239" s="62"/>
      <c r="Q239" s="57"/>
      <c r="R239" s="62"/>
      <c r="S239" s="57"/>
      <c r="T239" s="62"/>
      <c r="U239" s="57"/>
      <c r="V239" s="56"/>
      <c r="W239" s="57"/>
      <c r="X239" s="128"/>
      <c r="Y239" s="83"/>
      <c r="Z239" s="84"/>
      <c r="AA239" s="85"/>
      <c r="AB239" s="85"/>
      <c r="AC239" s="18"/>
      <c r="AD239" s="18"/>
      <c r="AE239" s="18"/>
      <c r="AF239" s="18"/>
    </row>
    <row r="240" ht="15.75" customHeight="1">
      <c r="A240" s="86"/>
      <c r="B240" s="119" t="s">
        <v>222</v>
      </c>
      <c r="C240" s="55"/>
      <c r="D240" s="56"/>
      <c r="E240" s="57"/>
      <c r="F240" s="56"/>
      <c r="G240" s="57"/>
      <c r="H240" s="56"/>
      <c r="I240" s="57"/>
      <c r="J240" s="56"/>
      <c r="K240" s="57"/>
      <c r="L240" s="61" t="s">
        <v>23</v>
      </c>
      <c r="M240" s="62"/>
      <c r="N240" s="62"/>
      <c r="O240" s="57"/>
      <c r="P240" s="62"/>
      <c r="Q240" s="57"/>
      <c r="R240" s="62"/>
      <c r="S240" s="57"/>
      <c r="T240" s="62"/>
      <c r="U240" s="57"/>
      <c r="V240" s="56"/>
      <c r="W240" s="57"/>
      <c r="X240" s="128"/>
      <c r="Y240" s="83" t="s">
        <v>223</v>
      </c>
      <c r="Z240" s="84"/>
      <c r="AA240" s="85"/>
      <c r="AB240" s="85"/>
      <c r="AC240" s="18"/>
      <c r="AD240" s="18"/>
      <c r="AE240" s="18"/>
      <c r="AF240" s="18"/>
    </row>
    <row r="241" ht="16.5" customHeight="1">
      <c r="A241" s="86"/>
      <c r="B241" s="119" t="s">
        <v>224</v>
      </c>
      <c r="C241" s="55"/>
      <c r="D241" s="56"/>
      <c r="E241" s="57"/>
      <c r="F241" s="56"/>
      <c r="G241" s="57"/>
      <c r="H241" s="56"/>
      <c r="I241" s="57"/>
      <c r="J241" s="56"/>
      <c r="K241" s="57"/>
      <c r="L241" s="61" t="s">
        <v>23</v>
      </c>
      <c r="M241" s="62"/>
      <c r="N241" s="62"/>
      <c r="O241" s="57"/>
      <c r="P241" s="62"/>
      <c r="Q241" s="57"/>
      <c r="R241" s="62"/>
      <c r="S241" s="57"/>
      <c r="T241" s="62"/>
      <c r="U241" s="57"/>
      <c r="V241" s="56"/>
      <c r="W241" s="57"/>
      <c r="X241" s="128"/>
      <c r="Y241" s="83"/>
      <c r="Z241" s="84"/>
      <c r="AA241" s="85"/>
      <c r="AB241" s="85"/>
      <c r="AC241" s="18"/>
      <c r="AD241" s="18"/>
      <c r="AE241" s="18"/>
      <c r="AF241" s="18"/>
    </row>
    <row r="242" ht="13.5" customHeight="1">
      <c r="A242" s="45">
        <v>9.0</v>
      </c>
      <c r="B242" s="46" t="s">
        <v>225</v>
      </c>
      <c r="C242" s="47"/>
      <c r="D242" s="47"/>
      <c r="E242" s="47"/>
      <c r="F242" s="47"/>
      <c r="G242" s="47"/>
      <c r="H242" s="47"/>
      <c r="I242" s="47"/>
      <c r="J242" s="47"/>
      <c r="K242" s="47"/>
      <c r="L242" s="47"/>
      <c r="M242" s="47"/>
      <c r="N242" s="47"/>
      <c r="O242" s="47"/>
      <c r="P242" s="47"/>
      <c r="Q242" s="47"/>
      <c r="R242" s="47"/>
      <c r="S242" s="47"/>
      <c r="T242" s="47"/>
      <c r="U242" s="47"/>
      <c r="V242" s="47"/>
      <c r="W242" s="47"/>
      <c r="X242" s="47"/>
      <c r="Y242" s="48"/>
      <c r="Z242" s="84"/>
      <c r="AA242" s="85"/>
      <c r="AB242" s="85"/>
      <c r="AC242" s="18"/>
      <c r="AD242" s="18"/>
      <c r="AE242" s="18"/>
      <c r="AF242" s="18"/>
    </row>
    <row r="243" ht="15.75" customHeight="1">
      <c r="A243" s="49"/>
      <c r="B243" s="50"/>
      <c r="C243" s="51"/>
      <c r="D243" s="51"/>
      <c r="E243" s="51"/>
      <c r="F243" s="51"/>
      <c r="G243" s="51"/>
      <c r="H243" s="51"/>
      <c r="I243" s="51"/>
      <c r="J243" s="51"/>
      <c r="K243" s="51"/>
      <c r="L243" s="51"/>
      <c r="M243" s="51"/>
      <c r="N243" s="51"/>
      <c r="O243" s="51"/>
      <c r="P243" s="51"/>
      <c r="Q243" s="51"/>
      <c r="R243" s="51"/>
      <c r="S243" s="51"/>
      <c r="T243" s="51"/>
      <c r="U243" s="51"/>
      <c r="V243" s="51"/>
      <c r="W243" s="51"/>
      <c r="X243" s="51"/>
      <c r="Y243" s="52"/>
      <c r="Z243" s="84"/>
      <c r="AA243" s="85"/>
      <c r="AB243" s="85"/>
      <c r="AC243" s="18"/>
      <c r="AD243" s="18"/>
      <c r="AE243" s="18"/>
      <c r="AF243" s="18"/>
    </row>
    <row r="244" ht="15.75" customHeight="1">
      <c r="A244" s="86"/>
      <c r="B244" s="118" t="s">
        <v>226</v>
      </c>
      <c r="C244" s="55"/>
      <c r="D244" s="56"/>
      <c r="E244" s="57"/>
      <c r="F244" s="56"/>
      <c r="G244" s="57"/>
      <c r="H244" s="56"/>
      <c r="I244" s="58"/>
      <c r="J244" s="56"/>
      <c r="K244" s="57"/>
      <c r="L244" s="61" t="s">
        <v>23</v>
      </c>
      <c r="M244" s="57"/>
      <c r="N244" s="62"/>
      <c r="O244" s="57"/>
      <c r="P244" s="62"/>
      <c r="Q244" s="57"/>
      <c r="R244" s="62"/>
      <c r="S244" s="57"/>
      <c r="T244" s="62"/>
      <c r="U244" s="57"/>
      <c r="V244" s="56"/>
      <c r="W244" s="57"/>
      <c r="X244" s="128"/>
      <c r="Y244" s="83"/>
      <c r="Z244" s="84"/>
      <c r="AA244" s="85"/>
      <c r="AB244" s="85"/>
      <c r="AC244" s="18"/>
      <c r="AD244" s="18"/>
      <c r="AE244" s="18"/>
      <c r="AF244" s="18"/>
    </row>
    <row r="245" ht="15.75" customHeight="1">
      <c r="A245" s="86"/>
      <c r="B245" s="119" t="s">
        <v>227</v>
      </c>
      <c r="C245" s="55"/>
      <c r="D245" s="56"/>
      <c r="E245" s="57"/>
      <c r="F245" s="56"/>
      <c r="G245" s="57"/>
      <c r="H245" s="56"/>
      <c r="I245" s="58"/>
      <c r="J245" s="56"/>
      <c r="K245" s="57"/>
      <c r="L245" s="61" t="s">
        <v>23</v>
      </c>
      <c r="M245" s="57"/>
      <c r="N245" s="62"/>
      <c r="O245" s="57"/>
      <c r="P245" s="62"/>
      <c r="Q245" s="57"/>
      <c r="R245" s="62"/>
      <c r="S245" s="57"/>
      <c r="T245" s="62"/>
      <c r="U245" s="57"/>
      <c r="V245" s="56"/>
      <c r="W245" s="57"/>
      <c r="X245" s="128"/>
      <c r="Y245" s="83"/>
      <c r="Z245" s="84"/>
      <c r="AA245" s="85"/>
      <c r="AB245" s="85"/>
      <c r="AC245" s="18"/>
      <c r="AD245" s="18"/>
      <c r="AE245" s="18"/>
      <c r="AF245" s="18"/>
    </row>
    <row r="246" ht="15.75" customHeight="1">
      <c r="A246" s="86"/>
      <c r="B246" s="119" t="s">
        <v>228</v>
      </c>
      <c r="C246" s="55"/>
      <c r="D246" s="56"/>
      <c r="E246" s="57"/>
      <c r="F246" s="56"/>
      <c r="G246" s="57"/>
      <c r="H246" s="56"/>
      <c r="I246" s="58"/>
      <c r="J246" s="56"/>
      <c r="K246" s="57"/>
      <c r="L246" s="61" t="s">
        <v>23</v>
      </c>
      <c r="M246" s="57"/>
      <c r="N246" s="62"/>
      <c r="O246" s="57"/>
      <c r="P246" s="62"/>
      <c r="Q246" s="57"/>
      <c r="R246" s="62"/>
      <c r="S246" s="57"/>
      <c r="T246" s="62"/>
      <c r="U246" s="57"/>
      <c r="V246" s="56"/>
      <c r="W246" s="57"/>
      <c r="X246" s="128"/>
      <c r="Y246" s="83"/>
      <c r="Z246" s="84"/>
      <c r="AA246" s="85"/>
      <c r="AB246" s="85"/>
      <c r="AC246" s="18"/>
      <c r="AD246" s="18"/>
      <c r="AE246" s="18"/>
      <c r="AF246" s="18"/>
    </row>
    <row r="247" ht="15.75" customHeight="1">
      <c r="A247" s="86"/>
      <c r="B247" s="119" t="s">
        <v>229</v>
      </c>
      <c r="C247" s="55"/>
      <c r="D247" s="56"/>
      <c r="E247" s="57"/>
      <c r="F247" s="56"/>
      <c r="G247" s="57"/>
      <c r="H247" s="56"/>
      <c r="I247" s="58"/>
      <c r="J247" s="56"/>
      <c r="K247" s="57"/>
      <c r="L247" s="61" t="s">
        <v>23</v>
      </c>
      <c r="M247" s="57"/>
      <c r="N247" s="62"/>
      <c r="O247" s="57"/>
      <c r="P247" s="62"/>
      <c r="Q247" s="57"/>
      <c r="R247" s="62"/>
      <c r="S247" s="57"/>
      <c r="T247" s="62"/>
      <c r="U247" s="57"/>
      <c r="V247" s="56"/>
      <c r="W247" s="57"/>
      <c r="X247" s="128"/>
      <c r="Y247" s="83"/>
      <c r="Z247" s="84"/>
      <c r="AA247" s="85"/>
      <c r="AB247" s="85"/>
      <c r="AC247" s="18"/>
      <c r="AD247" s="18"/>
      <c r="AE247" s="18"/>
      <c r="AF247" s="18"/>
    </row>
    <row r="248" ht="15.75" customHeight="1">
      <c r="A248" s="86"/>
      <c r="B248" s="119" t="s">
        <v>230</v>
      </c>
      <c r="C248" s="55"/>
      <c r="D248" s="56"/>
      <c r="E248" s="57"/>
      <c r="F248" s="56"/>
      <c r="G248" s="57"/>
      <c r="H248" s="56"/>
      <c r="I248" s="58"/>
      <c r="J248" s="56"/>
      <c r="K248" s="57"/>
      <c r="L248" s="61" t="s">
        <v>23</v>
      </c>
      <c r="M248" s="57"/>
      <c r="N248" s="62"/>
      <c r="O248" s="57"/>
      <c r="P248" s="62"/>
      <c r="Q248" s="57"/>
      <c r="R248" s="62"/>
      <c r="S248" s="57"/>
      <c r="T248" s="62"/>
      <c r="U248" s="57"/>
      <c r="V248" s="56"/>
      <c r="W248" s="57"/>
      <c r="X248" s="128"/>
      <c r="Y248" s="83"/>
      <c r="Z248" s="84"/>
      <c r="AA248" s="85"/>
      <c r="AB248" s="85"/>
      <c r="AC248" s="18"/>
      <c r="AD248" s="18"/>
      <c r="AE248" s="18"/>
      <c r="AF248" s="18"/>
    </row>
    <row r="249" ht="13.5" customHeight="1">
      <c r="A249" s="86"/>
      <c r="B249" s="119" t="s">
        <v>231</v>
      </c>
      <c r="C249" s="55"/>
      <c r="D249" s="56"/>
      <c r="E249" s="57"/>
      <c r="F249" s="56"/>
      <c r="G249" s="57"/>
      <c r="H249" s="56"/>
      <c r="I249" s="58"/>
      <c r="J249" s="56"/>
      <c r="K249" s="57"/>
      <c r="L249" s="61" t="s">
        <v>23</v>
      </c>
      <c r="M249" s="57"/>
      <c r="N249" s="62"/>
      <c r="O249" s="57"/>
      <c r="P249" s="62"/>
      <c r="Q249" s="57"/>
      <c r="R249" s="62"/>
      <c r="S249" s="57"/>
      <c r="T249" s="62"/>
      <c r="U249" s="57"/>
      <c r="V249" s="56"/>
      <c r="W249" s="57"/>
      <c r="X249" s="128"/>
      <c r="Y249" s="83"/>
      <c r="Z249" s="84"/>
      <c r="AA249" s="85"/>
      <c r="AB249" s="85"/>
      <c r="AC249" s="18"/>
      <c r="AD249" s="18"/>
      <c r="AE249" s="18"/>
      <c r="AF249" s="18"/>
    </row>
    <row r="250" ht="13.5" customHeight="1">
      <c r="A250" s="45">
        <v>10.0</v>
      </c>
      <c r="B250" s="46" t="s">
        <v>232</v>
      </c>
      <c r="C250" s="47"/>
      <c r="D250" s="47"/>
      <c r="E250" s="47"/>
      <c r="F250" s="47"/>
      <c r="G250" s="47"/>
      <c r="H250" s="47"/>
      <c r="I250" s="47"/>
      <c r="J250" s="47"/>
      <c r="K250" s="47"/>
      <c r="L250" s="47"/>
      <c r="M250" s="47"/>
      <c r="N250" s="47"/>
      <c r="O250" s="47"/>
      <c r="P250" s="47"/>
      <c r="Q250" s="47"/>
      <c r="R250" s="47"/>
      <c r="S250" s="47"/>
      <c r="T250" s="47"/>
      <c r="U250" s="47"/>
      <c r="V250" s="47"/>
      <c r="W250" s="47"/>
      <c r="X250" s="47"/>
      <c r="Y250" s="48"/>
      <c r="Z250" s="84"/>
      <c r="AA250" s="85"/>
      <c r="AB250" s="85"/>
      <c r="AC250" s="18"/>
      <c r="AD250" s="18"/>
      <c r="AE250" s="18"/>
      <c r="AF250" s="18"/>
    </row>
    <row r="251" ht="15.0" customHeight="1">
      <c r="A251" s="49"/>
      <c r="B251" s="50"/>
      <c r="C251" s="51"/>
      <c r="D251" s="51"/>
      <c r="E251" s="51"/>
      <c r="F251" s="51"/>
      <c r="G251" s="51"/>
      <c r="H251" s="51"/>
      <c r="I251" s="51"/>
      <c r="J251" s="51"/>
      <c r="K251" s="51"/>
      <c r="L251" s="51"/>
      <c r="M251" s="51"/>
      <c r="N251" s="51"/>
      <c r="O251" s="51"/>
      <c r="P251" s="51"/>
      <c r="Q251" s="51"/>
      <c r="R251" s="51"/>
      <c r="S251" s="51"/>
      <c r="T251" s="51"/>
      <c r="U251" s="51"/>
      <c r="V251" s="51"/>
      <c r="W251" s="51"/>
      <c r="X251" s="51"/>
      <c r="Y251" s="52"/>
      <c r="Z251" s="84"/>
      <c r="AA251" s="85"/>
      <c r="AB251" s="85"/>
      <c r="AC251" s="18"/>
      <c r="AD251" s="18"/>
      <c r="AE251" s="18"/>
      <c r="AF251" s="18"/>
    </row>
    <row r="252" ht="15.75" customHeight="1">
      <c r="A252" s="86"/>
      <c r="B252" s="118" t="s">
        <v>233</v>
      </c>
      <c r="C252" s="55"/>
      <c r="D252" s="56"/>
      <c r="E252" s="57"/>
      <c r="F252" s="56"/>
      <c r="G252" s="57"/>
      <c r="H252" s="56"/>
      <c r="I252" s="58"/>
      <c r="J252" s="56"/>
      <c r="K252" s="57"/>
      <c r="L252" s="61" t="s">
        <v>23</v>
      </c>
      <c r="M252" s="57"/>
      <c r="N252" s="62"/>
      <c r="O252" s="57"/>
      <c r="P252" s="62"/>
      <c r="Q252" s="57"/>
      <c r="R252" s="62"/>
      <c r="S252" s="57"/>
      <c r="T252" s="62"/>
      <c r="U252" s="57"/>
      <c r="V252" s="56"/>
      <c r="W252" s="57"/>
      <c r="X252" s="128"/>
      <c r="Y252" s="83"/>
      <c r="Z252" s="84"/>
      <c r="AA252" s="85"/>
      <c r="AB252" s="85"/>
      <c r="AC252" s="18"/>
      <c r="AD252" s="18"/>
      <c r="AE252" s="18"/>
      <c r="AF252" s="18"/>
    </row>
    <row r="253" ht="15.75" customHeight="1">
      <c r="A253" s="86"/>
      <c r="B253" s="119" t="s">
        <v>234</v>
      </c>
      <c r="C253" s="55"/>
      <c r="D253" s="56"/>
      <c r="E253" s="57"/>
      <c r="F253" s="56"/>
      <c r="G253" s="57"/>
      <c r="H253" s="56"/>
      <c r="I253" s="58"/>
      <c r="J253" s="56"/>
      <c r="K253" s="57"/>
      <c r="L253" s="61" t="s">
        <v>23</v>
      </c>
      <c r="M253" s="57"/>
      <c r="N253" s="62"/>
      <c r="O253" s="57"/>
      <c r="P253" s="62"/>
      <c r="Q253" s="57"/>
      <c r="R253" s="62"/>
      <c r="S253" s="57"/>
      <c r="T253" s="62"/>
      <c r="U253" s="57"/>
      <c r="V253" s="56"/>
      <c r="W253" s="57"/>
      <c r="X253" s="128"/>
      <c r="Y253" s="83"/>
      <c r="Z253" s="84"/>
      <c r="AA253" s="85"/>
      <c r="AB253" s="85"/>
      <c r="AC253" s="18"/>
      <c r="AD253" s="18"/>
      <c r="AE253" s="18"/>
      <c r="AF253" s="18"/>
    </row>
    <row r="254" ht="15.75" customHeight="1">
      <c r="A254" s="86"/>
      <c r="B254" s="119" t="s">
        <v>235</v>
      </c>
      <c r="C254" s="55"/>
      <c r="D254" s="56"/>
      <c r="E254" s="57"/>
      <c r="F254" s="56"/>
      <c r="G254" s="57"/>
      <c r="H254" s="56"/>
      <c r="I254" s="58"/>
      <c r="J254" s="56"/>
      <c r="K254" s="57"/>
      <c r="L254" s="61" t="s">
        <v>23</v>
      </c>
      <c r="M254" s="57"/>
      <c r="N254" s="62"/>
      <c r="O254" s="57"/>
      <c r="P254" s="62"/>
      <c r="Q254" s="57"/>
      <c r="R254" s="62"/>
      <c r="S254" s="57"/>
      <c r="T254" s="62"/>
      <c r="U254" s="57"/>
      <c r="V254" s="56"/>
      <c r="W254" s="57"/>
      <c r="X254" s="128"/>
      <c r="Y254" s="83"/>
      <c r="Z254" s="84"/>
      <c r="AA254" s="85"/>
      <c r="AB254" s="85"/>
      <c r="AC254" s="18"/>
      <c r="AD254" s="18"/>
      <c r="AE254" s="18"/>
      <c r="AF254" s="18"/>
    </row>
    <row r="255" ht="15.75" customHeight="1">
      <c r="A255" s="86"/>
      <c r="B255" s="119" t="s">
        <v>236</v>
      </c>
      <c r="C255" s="55"/>
      <c r="D255" s="56"/>
      <c r="E255" s="57"/>
      <c r="F255" s="56"/>
      <c r="G255" s="57"/>
      <c r="H255" s="56"/>
      <c r="I255" s="58"/>
      <c r="J255" s="56"/>
      <c r="K255" s="57"/>
      <c r="L255" s="61" t="s">
        <v>23</v>
      </c>
      <c r="M255" s="57"/>
      <c r="N255" s="62"/>
      <c r="O255" s="57"/>
      <c r="P255" s="62"/>
      <c r="Q255" s="57"/>
      <c r="R255" s="62"/>
      <c r="S255" s="57"/>
      <c r="T255" s="62"/>
      <c r="U255" s="57"/>
      <c r="V255" s="56"/>
      <c r="W255" s="57"/>
      <c r="X255" s="128"/>
      <c r="Y255" s="83"/>
      <c r="Z255" s="84"/>
      <c r="AA255" s="85"/>
      <c r="AB255" s="85"/>
      <c r="AC255" s="18"/>
      <c r="AD255" s="18"/>
      <c r="AE255" s="18"/>
      <c r="AF255" s="18"/>
    </row>
    <row r="256" ht="15.75" customHeight="1">
      <c r="A256" s="86"/>
      <c r="B256" s="119" t="s">
        <v>237</v>
      </c>
      <c r="C256" s="55"/>
      <c r="D256" s="56"/>
      <c r="E256" s="57"/>
      <c r="F256" s="56"/>
      <c r="G256" s="57"/>
      <c r="H256" s="56"/>
      <c r="I256" s="58"/>
      <c r="J256" s="56"/>
      <c r="K256" s="57"/>
      <c r="L256" s="61" t="s">
        <v>23</v>
      </c>
      <c r="M256" s="57"/>
      <c r="N256" s="62"/>
      <c r="O256" s="57"/>
      <c r="P256" s="62"/>
      <c r="Q256" s="57"/>
      <c r="R256" s="62"/>
      <c r="S256" s="57"/>
      <c r="T256" s="62"/>
      <c r="U256" s="57"/>
      <c r="V256" s="56"/>
      <c r="W256" s="57"/>
      <c r="X256" s="128"/>
      <c r="Y256" s="83"/>
      <c r="Z256" s="84"/>
      <c r="AA256" s="85"/>
      <c r="AB256" s="85"/>
      <c r="AC256" s="18"/>
      <c r="AD256" s="18"/>
      <c r="AE256" s="18"/>
      <c r="AF256" s="18"/>
    </row>
    <row r="257" ht="13.5" customHeight="1">
      <c r="A257" s="86"/>
      <c r="B257" s="119" t="s">
        <v>238</v>
      </c>
      <c r="C257" s="55"/>
      <c r="D257" s="56"/>
      <c r="E257" s="57"/>
      <c r="F257" s="56"/>
      <c r="G257" s="57"/>
      <c r="H257" s="56"/>
      <c r="I257" s="58"/>
      <c r="J257" s="56"/>
      <c r="K257" s="57"/>
      <c r="L257" s="61" t="s">
        <v>23</v>
      </c>
      <c r="M257" s="57"/>
      <c r="N257" s="62"/>
      <c r="O257" s="57"/>
      <c r="P257" s="62"/>
      <c r="Q257" s="57"/>
      <c r="R257" s="62"/>
      <c r="S257" s="57"/>
      <c r="T257" s="62"/>
      <c r="U257" s="57"/>
      <c r="V257" s="56"/>
      <c r="W257" s="57"/>
      <c r="X257" s="128"/>
      <c r="Y257" s="83"/>
      <c r="Z257" s="84"/>
      <c r="AA257" s="85"/>
      <c r="AB257" s="85"/>
      <c r="AC257" s="18"/>
      <c r="AD257" s="18"/>
      <c r="AE257" s="18"/>
      <c r="AF257" s="18"/>
    </row>
    <row r="258" ht="13.5" customHeight="1">
      <c r="A258" s="45">
        <v>11.0</v>
      </c>
      <c r="B258" s="46" t="s">
        <v>239</v>
      </c>
      <c r="C258" s="47"/>
      <c r="D258" s="47"/>
      <c r="E258" s="47"/>
      <c r="F258" s="47"/>
      <c r="G258" s="47"/>
      <c r="H258" s="47"/>
      <c r="I258" s="47"/>
      <c r="J258" s="47"/>
      <c r="K258" s="47"/>
      <c r="L258" s="47"/>
      <c r="M258" s="47"/>
      <c r="N258" s="47"/>
      <c r="O258" s="47"/>
      <c r="P258" s="47"/>
      <c r="Q258" s="47"/>
      <c r="R258" s="47"/>
      <c r="S258" s="47"/>
      <c r="T258" s="47"/>
      <c r="U258" s="47"/>
      <c r="V258" s="47"/>
      <c r="W258" s="47"/>
      <c r="X258" s="47"/>
      <c r="Y258" s="48"/>
      <c r="Z258" s="84"/>
      <c r="AA258" s="85"/>
      <c r="AB258" s="85"/>
      <c r="AC258" s="18"/>
      <c r="AD258" s="18"/>
      <c r="AE258" s="18"/>
      <c r="AF258" s="18"/>
    </row>
    <row r="259" ht="15.75" customHeight="1">
      <c r="A259" s="49"/>
      <c r="B259" s="50"/>
      <c r="C259" s="51"/>
      <c r="D259" s="51"/>
      <c r="E259" s="51"/>
      <c r="F259" s="51"/>
      <c r="G259" s="51"/>
      <c r="H259" s="51"/>
      <c r="I259" s="51"/>
      <c r="J259" s="51"/>
      <c r="K259" s="51"/>
      <c r="L259" s="51"/>
      <c r="M259" s="51"/>
      <c r="N259" s="51"/>
      <c r="O259" s="51"/>
      <c r="P259" s="51"/>
      <c r="Q259" s="51"/>
      <c r="R259" s="51"/>
      <c r="S259" s="51"/>
      <c r="T259" s="51"/>
      <c r="U259" s="51"/>
      <c r="V259" s="51"/>
      <c r="W259" s="51"/>
      <c r="X259" s="51"/>
      <c r="Y259" s="52"/>
      <c r="Z259" s="84"/>
      <c r="AA259" s="85"/>
      <c r="AB259" s="85"/>
      <c r="AC259" s="18"/>
      <c r="AD259" s="18"/>
      <c r="AE259" s="18"/>
      <c r="AF259" s="18"/>
    </row>
    <row r="260" ht="15.75" customHeight="1">
      <c r="A260" s="86"/>
      <c r="B260" s="118" t="s">
        <v>240</v>
      </c>
      <c r="C260" s="55"/>
      <c r="D260" s="56"/>
      <c r="E260" s="57"/>
      <c r="F260" s="56"/>
      <c r="G260" s="57"/>
      <c r="H260" s="56"/>
      <c r="I260" s="58"/>
      <c r="J260" s="56"/>
      <c r="K260" s="57"/>
      <c r="L260" s="61" t="s">
        <v>23</v>
      </c>
      <c r="M260" s="57"/>
      <c r="N260" s="62"/>
      <c r="O260" s="57"/>
      <c r="P260" s="62"/>
      <c r="Q260" s="57"/>
      <c r="R260" s="62"/>
      <c r="S260" s="57"/>
      <c r="T260" s="62"/>
      <c r="U260" s="57"/>
      <c r="V260" s="56"/>
      <c r="W260" s="57"/>
      <c r="X260" s="63"/>
      <c r="Y260" s="64"/>
      <c r="Z260" s="84"/>
      <c r="AA260" s="85"/>
      <c r="AB260" s="85"/>
      <c r="AC260" s="18"/>
      <c r="AD260" s="18"/>
      <c r="AE260" s="18"/>
      <c r="AF260" s="18"/>
    </row>
    <row r="261" ht="15.75" customHeight="1">
      <c r="A261" s="86"/>
      <c r="B261" s="119" t="s">
        <v>241</v>
      </c>
      <c r="C261" s="55"/>
      <c r="D261" s="56"/>
      <c r="E261" s="57"/>
      <c r="F261" s="56"/>
      <c r="G261" s="57"/>
      <c r="H261" s="56"/>
      <c r="I261" s="58"/>
      <c r="J261" s="56"/>
      <c r="K261" s="57"/>
      <c r="L261" s="61" t="s">
        <v>23</v>
      </c>
      <c r="M261" s="57"/>
      <c r="N261" s="62"/>
      <c r="O261" s="57"/>
      <c r="P261" s="62"/>
      <c r="Q261" s="57"/>
      <c r="R261" s="62"/>
      <c r="S261" s="57"/>
      <c r="T261" s="62"/>
      <c r="U261" s="57"/>
      <c r="V261" s="56"/>
      <c r="W261" s="57"/>
      <c r="X261" s="128"/>
      <c r="Y261" s="83"/>
      <c r="Z261" s="84"/>
      <c r="AA261" s="85"/>
      <c r="AB261" s="85"/>
      <c r="AC261" s="18"/>
      <c r="AD261" s="18"/>
      <c r="AE261" s="18"/>
      <c r="AF261" s="18"/>
    </row>
    <row r="262" ht="15.75" customHeight="1">
      <c r="A262" s="86"/>
      <c r="B262" s="119" t="s">
        <v>242</v>
      </c>
      <c r="C262" s="55"/>
      <c r="D262" s="56"/>
      <c r="E262" s="57"/>
      <c r="F262" s="56"/>
      <c r="G262" s="57"/>
      <c r="H262" s="56"/>
      <c r="I262" s="58"/>
      <c r="J262" s="56"/>
      <c r="K262" s="57"/>
      <c r="L262" s="61" t="s">
        <v>23</v>
      </c>
      <c r="M262" s="57"/>
      <c r="N262" s="62"/>
      <c r="O262" s="57"/>
      <c r="P262" s="62"/>
      <c r="Q262" s="57"/>
      <c r="R262" s="62"/>
      <c r="S262" s="57"/>
      <c r="T262" s="62"/>
      <c r="U262" s="57"/>
      <c r="V262" s="56"/>
      <c r="W262" s="57"/>
      <c r="X262" s="128"/>
      <c r="Y262" s="83"/>
      <c r="Z262" s="84"/>
      <c r="AA262" s="85"/>
      <c r="AB262" s="85"/>
      <c r="AC262" s="18"/>
      <c r="AD262" s="18"/>
      <c r="AE262" s="18"/>
      <c r="AF262" s="18"/>
    </row>
    <row r="263" ht="15.75" customHeight="1">
      <c r="A263" s="86"/>
      <c r="B263" s="119" t="s">
        <v>243</v>
      </c>
      <c r="C263" s="55"/>
      <c r="D263" s="56"/>
      <c r="E263" s="57"/>
      <c r="F263" s="56"/>
      <c r="G263" s="57"/>
      <c r="H263" s="56"/>
      <c r="I263" s="58"/>
      <c r="J263" s="56"/>
      <c r="K263" s="57"/>
      <c r="L263" s="61" t="s">
        <v>23</v>
      </c>
      <c r="M263" s="57"/>
      <c r="N263" s="62"/>
      <c r="O263" s="57"/>
      <c r="P263" s="62"/>
      <c r="Q263" s="57"/>
      <c r="R263" s="62"/>
      <c r="S263" s="57"/>
      <c r="T263" s="62"/>
      <c r="U263" s="57"/>
      <c r="V263" s="56"/>
      <c r="W263" s="57"/>
      <c r="X263" s="128"/>
      <c r="Y263" s="83"/>
      <c r="Z263" s="84"/>
      <c r="AA263" s="85"/>
      <c r="AB263" s="85"/>
      <c r="AC263" s="18"/>
      <c r="AD263" s="18"/>
      <c r="AE263" s="18"/>
      <c r="AF263" s="18"/>
    </row>
    <row r="264" ht="15.75" customHeight="1">
      <c r="A264" s="86"/>
      <c r="B264" s="118" t="s">
        <v>244</v>
      </c>
      <c r="C264" s="55"/>
      <c r="D264" s="56"/>
      <c r="E264" s="57"/>
      <c r="F264" s="56"/>
      <c r="G264" s="57"/>
      <c r="H264" s="56"/>
      <c r="I264" s="58"/>
      <c r="J264" s="56"/>
      <c r="K264" s="57"/>
      <c r="L264" s="61" t="s">
        <v>23</v>
      </c>
      <c r="M264" s="57"/>
      <c r="N264" s="62"/>
      <c r="O264" s="57"/>
      <c r="P264" s="62"/>
      <c r="Q264" s="57"/>
      <c r="R264" s="62"/>
      <c r="S264" s="57"/>
      <c r="T264" s="62"/>
      <c r="U264" s="57"/>
      <c r="V264" s="56"/>
      <c r="W264" s="57"/>
      <c r="X264" s="128"/>
      <c r="Y264" s="83"/>
      <c r="Z264" s="84"/>
      <c r="AA264" s="85"/>
      <c r="AB264" s="85"/>
      <c r="AC264" s="18"/>
      <c r="AD264" s="18"/>
      <c r="AE264" s="18"/>
      <c r="AF264" s="18"/>
    </row>
    <row r="265" ht="13.5" customHeight="1">
      <c r="A265" s="86"/>
      <c r="B265" s="119" t="s">
        <v>245</v>
      </c>
      <c r="C265" s="55"/>
      <c r="D265" s="56"/>
      <c r="E265" s="57"/>
      <c r="F265" s="56"/>
      <c r="G265" s="57"/>
      <c r="H265" s="56"/>
      <c r="I265" s="58"/>
      <c r="J265" s="56"/>
      <c r="K265" s="57"/>
      <c r="L265" s="61" t="s">
        <v>23</v>
      </c>
      <c r="M265" s="57"/>
      <c r="N265" s="62"/>
      <c r="O265" s="57"/>
      <c r="P265" s="62"/>
      <c r="Q265" s="57"/>
      <c r="R265" s="62"/>
      <c r="S265" s="57"/>
      <c r="T265" s="62"/>
      <c r="U265" s="57"/>
      <c r="V265" s="56"/>
      <c r="W265" s="57"/>
      <c r="X265" s="128"/>
      <c r="Y265" s="83"/>
      <c r="Z265" s="84"/>
      <c r="AA265" s="85"/>
      <c r="AB265" s="85"/>
      <c r="AC265" s="18"/>
      <c r="AD265" s="18"/>
      <c r="AE265" s="18"/>
      <c r="AF265" s="18"/>
    </row>
    <row r="266" ht="13.5" customHeight="1">
      <c r="A266" s="45">
        <v>12.0</v>
      </c>
      <c r="B266" s="129" t="s">
        <v>246</v>
      </c>
      <c r="C266" s="47"/>
      <c r="D266" s="47"/>
      <c r="E266" s="47"/>
      <c r="F266" s="47"/>
      <c r="G266" s="47"/>
      <c r="H266" s="47"/>
      <c r="I266" s="47"/>
      <c r="J266" s="47"/>
      <c r="K266" s="47"/>
      <c r="L266" s="47"/>
      <c r="M266" s="47"/>
      <c r="N266" s="47"/>
      <c r="O266" s="47"/>
      <c r="P266" s="47"/>
      <c r="Q266" s="47"/>
      <c r="R266" s="47"/>
      <c r="S266" s="47"/>
      <c r="T266" s="47"/>
      <c r="U266" s="47"/>
      <c r="V266" s="47"/>
      <c r="W266" s="47"/>
      <c r="X266" s="47"/>
      <c r="Y266" s="48"/>
      <c r="Z266" s="84"/>
      <c r="AA266" s="85"/>
      <c r="AB266" s="85"/>
      <c r="AC266" s="18"/>
      <c r="AD266" s="18"/>
      <c r="AE266" s="18"/>
      <c r="AF266" s="18"/>
    </row>
    <row r="267" ht="15.75" customHeight="1">
      <c r="A267" s="49"/>
      <c r="B267" s="50"/>
      <c r="C267" s="51"/>
      <c r="D267" s="51"/>
      <c r="E267" s="51"/>
      <c r="F267" s="51"/>
      <c r="G267" s="51"/>
      <c r="H267" s="51"/>
      <c r="I267" s="51"/>
      <c r="J267" s="51"/>
      <c r="K267" s="51"/>
      <c r="L267" s="51"/>
      <c r="M267" s="51"/>
      <c r="N267" s="51"/>
      <c r="O267" s="51"/>
      <c r="P267" s="51"/>
      <c r="Q267" s="51"/>
      <c r="R267" s="51"/>
      <c r="S267" s="51"/>
      <c r="T267" s="51"/>
      <c r="U267" s="51"/>
      <c r="V267" s="51"/>
      <c r="W267" s="51"/>
      <c r="X267" s="51"/>
      <c r="Y267" s="52"/>
      <c r="Z267" s="84"/>
      <c r="AA267" s="85"/>
      <c r="AB267" s="85"/>
      <c r="AC267" s="18"/>
      <c r="AD267" s="18"/>
      <c r="AE267" s="18"/>
      <c r="AF267" s="18"/>
    </row>
    <row r="268" ht="15.75" customHeight="1">
      <c r="A268" s="86"/>
      <c r="B268" s="118" t="s">
        <v>247</v>
      </c>
      <c r="C268" s="55"/>
      <c r="D268" s="56"/>
      <c r="E268" s="57"/>
      <c r="F268" s="56"/>
      <c r="G268" s="57"/>
      <c r="H268" s="56"/>
      <c r="I268" s="58"/>
      <c r="J268" s="56"/>
      <c r="K268" s="57"/>
      <c r="L268" s="61" t="s">
        <v>23</v>
      </c>
      <c r="M268" s="57"/>
      <c r="N268" s="62"/>
      <c r="O268" s="57"/>
      <c r="P268" s="62"/>
      <c r="Q268" s="57"/>
      <c r="R268" s="62"/>
      <c r="S268" s="57"/>
      <c r="T268" s="62"/>
      <c r="U268" s="57"/>
      <c r="V268" s="56"/>
      <c r="W268" s="57"/>
      <c r="X268" s="63"/>
      <c r="Y268" s="64"/>
      <c r="Z268" s="84"/>
      <c r="AA268" s="85"/>
      <c r="AB268" s="85"/>
      <c r="AC268" s="18"/>
      <c r="AD268" s="18"/>
      <c r="AE268" s="18"/>
      <c r="AF268" s="18"/>
    </row>
    <row r="269" ht="15.75" customHeight="1">
      <c r="A269" s="86"/>
      <c r="B269" s="119" t="s">
        <v>248</v>
      </c>
      <c r="C269" s="55"/>
      <c r="D269" s="56"/>
      <c r="E269" s="57"/>
      <c r="F269" s="56"/>
      <c r="G269" s="57"/>
      <c r="H269" s="62"/>
      <c r="I269" s="58"/>
      <c r="J269" s="62"/>
      <c r="K269" s="57"/>
      <c r="L269" s="61" t="s">
        <v>23</v>
      </c>
      <c r="M269" s="57"/>
      <c r="N269" s="62"/>
      <c r="O269" s="57"/>
      <c r="P269" s="62"/>
      <c r="Q269" s="57"/>
      <c r="R269" s="62"/>
      <c r="S269" s="57"/>
      <c r="T269" s="62"/>
      <c r="U269" s="57"/>
      <c r="V269" s="56"/>
      <c r="W269" s="57"/>
      <c r="X269" s="63"/>
      <c r="Y269" s="64"/>
      <c r="Z269" s="84"/>
      <c r="AA269" s="85"/>
      <c r="AB269" s="85"/>
      <c r="AC269" s="18"/>
      <c r="AD269" s="18"/>
      <c r="AE269" s="18"/>
      <c r="AF269" s="18"/>
    </row>
    <row r="270" ht="15.75" customHeight="1">
      <c r="A270" s="86"/>
      <c r="B270" s="119" t="s">
        <v>249</v>
      </c>
      <c r="C270" s="55"/>
      <c r="D270" s="56"/>
      <c r="E270" s="57"/>
      <c r="F270" s="56"/>
      <c r="G270" s="57"/>
      <c r="H270" s="62"/>
      <c r="I270" s="58"/>
      <c r="J270" s="62"/>
      <c r="K270" s="57"/>
      <c r="L270" s="61" t="s">
        <v>23</v>
      </c>
      <c r="M270" s="57"/>
      <c r="N270" s="62"/>
      <c r="O270" s="57"/>
      <c r="P270" s="62"/>
      <c r="Q270" s="57"/>
      <c r="R270" s="62"/>
      <c r="S270" s="57"/>
      <c r="T270" s="62"/>
      <c r="U270" s="57"/>
      <c r="V270" s="56"/>
      <c r="W270" s="57"/>
      <c r="X270" s="63"/>
      <c r="Y270" s="64"/>
      <c r="Z270" s="84"/>
      <c r="AA270" s="85"/>
      <c r="AB270" s="85"/>
      <c r="AC270" s="18"/>
      <c r="AD270" s="18"/>
      <c r="AE270" s="18"/>
      <c r="AF270" s="18"/>
    </row>
    <row r="271" ht="15.75" customHeight="1">
      <c r="A271" s="86"/>
      <c r="B271" s="119" t="s">
        <v>250</v>
      </c>
      <c r="C271" s="55"/>
      <c r="D271" s="56"/>
      <c r="E271" s="57"/>
      <c r="F271" s="56"/>
      <c r="G271" s="57"/>
      <c r="H271" s="56"/>
      <c r="I271" s="58"/>
      <c r="J271" s="56"/>
      <c r="K271" s="57"/>
      <c r="L271" s="61" t="s">
        <v>23</v>
      </c>
      <c r="M271" s="57"/>
      <c r="N271" s="62"/>
      <c r="O271" s="57"/>
      <c r="P271" s="62"/>
      <c r="Q271" s="57"/>
      <c r="R271" s="62"/>
      <c r="S271" s="57"/>
      <c r="T271" s="62"/>
      <c r="U271" s="57"/>
      <c r="V271" s="56"/>
      <c r="W271" s="57"/>
      <c r="X271" s="63"/>
      <c r="Y271" s="64"/>
      <c r="Z271" s="84"/>
      <c r="AA271" s="85"/>
      <c r="AB271" s="85"/>
      <c r="AC271" s="18"/>
      <c r="AD271" s="18"/>
      <c r="AE271" s="18"/>
      <c r="AF271" s="18"/>
    </row>
    <row r="272" ht="15.75" customHeight="1">
      <c r="A272" s="86"/>
      <c r="B272" s="119" t="s">
        <v>251</v>
      </c>
      <c r="C272" s="55"/>
      <c r="D272" s="56"/>
      <c r="E272" s="57"/>
      <c r="F272" s="56"/>
      <c r="G272" s="57"/>
      <c r="H272" s="56"/>
      <c r="I272" s="58"/>
      <c r="J272" s="56"/>
      <c r="K272" s="57"/>
      <c r="L272" s="61" t="s">
        <v>23</v>
      </c>
      <c r="M272" s="57"/>
      <c r="N272" s="62"/>
      <c r="O272" s="57"/>
      <c r="P272" s="62"/>
      <c r="Q272" s="57"/>
      <c r="R272" s="62"/>
      <c r="S272" s="57"/>
      <c r="T272" s="62"/>
      <c r="U272" s="57"/>
      <c r="V272" s="56"/>
      <c r="W272" s="57"/>
      <c r="X272" s="63"/>
      <c r="Y272" s="64"/>
      <c r="Z272" s="84"/>
      <c r="AA272" s="85"/>
      <c r="AB272" s="85"/>
      <c r="AC272" s="18"/>
      <c r="AD272" s="18"/>
      <c r="AE272" s="18"/>
      <c r="AF272" s="18"/>
    </row>
    <row r="273" ht="13.5" customHeight="1">
      <c r="A273" s="86"/>
      <c r="B273" s="119" t="s">
        <v>252</v>
      </c>
      <c r="C273" s="55"/>
      <c r="D273" s="56"/>
      <c r="E273" s="57"/>
      <c r="F273" s="56"/>
      <c r="G273" s="57"/>
      <c r="H273" s="62"/>
      <c r="I273" s="58"/>
      <c r="J273" s="62"/>
      <c r="K273" s="57"/>
      <c r="L273" s="61" t="s">
        <v>23</v>
      </c>
      <c r="M273" s="57"/>
      <c r="N273" s="62"/>
      <c r="O273" s="57"/>
      <c r="P273" s="62"/>
      <c r="Q273" s="57"/>
      <c r="R273" s="62"/>
      <c r="S273" s="57"/>
      <c r="T273" s="62"/>
      <c r="U273" s="57"/>
      <c r="V273" s="56"/>
      <c r="W273" s="57"/>
      <c r="X273" s="63"/>
      <c r="Y273" s="64"/>
      <c r="Z273" s="84"/>
      <c r="AA273" s="85"/>
      <c r="AB273" s="85"/>
      <c r="AC273" s="18"/>
      <c r="AD273" s="18"/>
      <c r="AE273" s="18"/>
      <c r="AF273" s="18"/>
    </row>
    <row r="274" ht="13.5" customHeight="1">
      <c r="A274" s="45">
        <v>13.0</v>
      </c>
      <c r="B274" s="46" t="s">
        <v>253</v>
      </c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M274" s="47"/>
      <c r="N274" s="47"/>
      <c r="O274" s="47"/>
      <c r="P274" s="47"/>
      <c r="Q274" s="47"/>
      <c r="R274" s="47"/>
      <c r="S274" s="47"/>
      <c r="T274" s="47"/>
      <c r="U274" s="47"/>
      <c r="V274" s="47"/>
      <c r="W274" s="47"/>
      <c r="X274" s="47"/>
      <c r="Y274" s="48"/>
      <c r="Z274" s="84"/>
      <c r="AA274" s="85"/>
      <c r="AB274" s="85"/>
      <c r="AC274" s="18"/>
      <c r="AD274" s="18"/>
      <c r="AE274" s="18"/>
      <c r="AF274" s="18"/>
    </row>
    <row r="275" ht="16.5" customHeight="1">
      <c r="A275" s="49"/>
      <c r="B275" s="50"/>
      <c r="C275" s="51"/>
      <c r="D275" s="51"/>
      <c r="E275" s="51"/>
      <c r="F275" s="51"/>
      <c r="G275" s="51"/>
      <c r="H275" s="51"/>
      <c r="I275" s="51"/>
      <c r="J275" s="51"/>
      <c r="K275" s="51"/>
      <c r="L275" s="51"/>
      <c r="M275" s="51"/>
      <c r="N275" s="51"/>
      <c r="O275" s="51"/>
      <c r="P275" s="51"/>
      <c r="Q275" s="51"/>
      <c r="R275" s="51"/>
      <c r="S275" s="51"/>
      <c r="T275" s="51"/>
      <c r="U275" s="51"/>
      <c r="V275" s="51"/>
      <c r="W275" s="51"/>
      <c r="X275" s="51"/>
      <c r="Y275" s="52"/>
      <c r="Z275" s="84"/>
      <c r="AA275" s="85"/>
      <c r="AB275" s="85"/>
      <c r="AC275" s="18"/>
      <c r="AD275" s="18"/>
      <c r="AE275" s="18"/>
      <c r="AF275" s="18"/>
    </row>
    <row r="276" ht="15.75" customHeight="1">
      <c r="A276" s="86"/>
      <c r="B276" s="118" t="s">
        <v>254</v>
      </c>
      <c r="C276" s="55"/>
      <c r="D276" s="56"/>
      <c r="E276" s="57"/>
      <c r="F276" s="56"/>
      <c r="G276" s="57"/>
      <c r="H276" s="56"/>
      <c r="I276" s="58"/>
      <c r="J276" s="56"/>
      <c r="K276" s="57"/>
      <c r="L276" s="61" t="s">
        <v>23</v>
      </c>
      <c r="M276" s="57"/>
      <c r="N276" s="62"/>
      <c r="O276" s="57"/>
      <c r="P276" s="62"/>
      <c r="Q276" s="57"/>
      <c r="R276" s="62"/>
      <c r="S276" s="57"/>
      <c r="T276" s="62"/>
      <c r="U276" s="57"/>
      <c r="V276" s="56"/>
      <c r="W276" s="57"/>
      <c r="X276" s="63"/>
      <c r="Y276" s="64"/>
      <c r="Z276" s="84"/>
      <c r="AA276" s="85"/>
      <c r="AB276" s="85"/>
      <c r="AC276" s="18"/>
      <c r="AD276" s="18"/>
      <c r="AE276" s="18"/>
      <c r="AF276" s="18"/>
    </row>
    <row r="277" ht="16.5" customHeight="1">
      <c r="A277" s="86"/>
      <c r="B277" s="119" t="s">
        <v>255</v>
      </c>
      <c r="C277" s="55"/>
      <c r="D277" s="56"/>
      <c r="E277" s="57"/>
      <c r="F277" s="56"/>
      <c r="G277" s="57"/>
      <c r="H277" s="56"/>
      <c r="I277" s="58"/>
      <c r="J277" s="56"/>
      <c r="K277" s="57"/>
      <c r="L277" s="61" t="s">
        <v>23</v>
      </c>
      <c r="M277" s="57"/>
      <c r="N277" s="62"/>
      <c r="O277" s="57"/>
      <c r="P277" s="62"/>
      <c r="Q277" s="57"/>
      <c r="R277" s="62"/>
      <c r="S277" s="57"/>
      <c r="T277" s="62"/>
      <c r="U277" s="57"/>
      <c r="V277" s="56"/>
      <c r="W277" s="57"/>
      <c r="X277" s="128"/>
      <c r="Y277" s="83"/>
      <c r="Z277" s="84"/>
      <c r="AA277" s="85"/>
      <c r="AB277" s="85"/>
      <c r="AC277" s="18"/>
      <c r="AD277" s="18"/>
      <c r="AE277" s="18"/>
      <c r="AF277" s="18"/>
    </row>
    <row r="278" ht="13.5" customHeight="1">
      <c r="A278" s="45">
        <v>14.0</v>
      </c>
      <c r="B278" s="46" t="s">
        <v>256</v>
      </c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47"/>
      <c r="X278" s="47"/>
      <c r="Y278" s="48"/>
      <c r="Z278" s="84"/>
      <c r="AA278" s="85"/>
      <c r="AB278" s="85"/>
      <c r="AC278" s="18"/>
      <c r="AD278" s="18"/>
      <c r="AE278" s="18"/>
      <c r="AF278" s="18"/>
    </row>
    <row r="279" ht="16.5" customHeight="1">
      <c r="A279" s="49"/>
      <c r="B279" s="50"/>
      <c r="C279" s="51"/>
      <c r="D279" s="51"/>
      <c r="E279" s="51"/>
      <c r="F279" s="51"/>
      <c r="G279" s="51"/>
      <c r="H279" s="51"/>
      <c r="I279" s="51"/>
      <c r="J279" s="51"/>
      <c r="K279" s="51"/>
      <c r="L279" s="51"/>
      <c r="M279" s="51"/>
      <c r="N279" s="51"/>
      <c r="O279" s="51"/>
      <c r="P279" s="51"/>
      <c r="Q279" s="51"/>
      <c r="R279" s="51"/>
      <c r="S279" s="51"/>
      <c r="T279" s="51"/>
      <c r="U279" s="51"/>
      <c r="V279" s="51"/>
      <c r="W279" s="51"/>
      <c r="X279" s="51"/>
      <c r="Y279" s="52"/>
      <c r="Z279" s="84"/>
      <c r="AA279" s="85"/>
      <c r="AB279" s="85"/>
      <c r="AC279" s="18"/>
      <c r="AD279" s="18"/>
      <c r="AE279" s="18"/>
      <c r="AF279" s="18"/>
    </row>
    <row r="280" ht="15.75" customHeight="1">
      <c r="A280" s="86"/>
      <c r="B280" s="118" t="s">
        <v>257</v>
      </c>
      <c r="C280" s="55"/>
      <c r="D280" s="56"/>
      <c r="E280" s="57"/>
      <c r="F280" s="56"/>
      <c r="G280" s="57"/>
      <c r="H280" s="56"/>
      <c r="I280" s="58"/>
      <c r="J280" s="56"/>
      <c r="K280" s="57"/>
      <c r="L280" s="61" t="s">
        <v>23</v>
      </c>
      <c r="M280" s="57"/>
      <c r="N280" s="62"/>
      <c r="O280" s="57"/>
      <c r="P280" s="62"/>
      <c r="Q280" s="57"/>
      <c r="R280" s="62"/>
      <c r="S280" s="57"/>
      <c r="T280" s="62"/>
      <c r="U280" s="57"/>
      <c r="V280" s="56"/>
      <c r="W280" s="57"/>
      <c r="X280" s="63"/>
      <c r="Y280" s="64"/>
      <c r="Z280" s="84"/>
      <c r="AA280" s="85"/>
      <c r="AB280" s="85"/>
      <c r="AC280" s="18"/>
      <c r="AD280" s="18"/>
      <c r="AE280" s="18"/>
      <c r="AF280" s="18"/>
    </row>
    <row r="281" ht="15.75" customHeight="1">
      <c r="A281" s="86"/>
      <c r="B281" s="119" t="s">
        <v>258</v>
      </c>
      <c r="C281" s="55"/>
      <c r="D281" s="56"/>
      <c r="E281" s="57"/>
      <c r="F281" s="56"/>
      <c r="G281" s="57"/>
      <c r="H281" s="56"/>
      <c r="I281" s="58"/>
      <c r="J281" s="56"/>
      <c r="K281" s="57"/>
      <c r="L281" s="61" t="s">
        <v>23</v>
      </c>
      <c r="M281" s="57"/>
      <c r="N281" s="62"/>
      <c r="O281" s="57"/>
      <c r="P281" s="62"/>
      <c r="Q281" s="57"/>
      <c r="R281" s="62"/>
      <c r="S281" s="57"/>
      <c r="T281" s="62"/>
      <c r="U281" s="57"/>
      <c r="V281" s="56"/>
      <c r="W281" s="57"/>
      <c r="X281" s="128"/>
      <c r="Y281" s="83"/>
      <c r="Z281" s="84"/>
      <c r="AA281" s="85"/>
      <c r="AB281" s="85"/>
      <c r="AC281" s="18"/>
      <c r="AD281" s="18"/>
      <c r="AE281" s="18"/>
      <c r="AF281" s="18"/>
    </row>
    <row r="282" ht="13.5" customHeight="1">
      <c r="A282" s="86"/>
      <c r="B282" s="119" t="s">
        <v>259</v>
      </c>
      <c r="C282" s="55"/>
      <c r="D282" s="56"/>
      <c r="E282" s="57"/>
      <c r="F282" s="56"/>
      <c r="G282" s="57"/>
      <c r="H282" s="56"/>
      <c r="I282" s="58"/>
      <c r="J282" s="56"/>
      <c r="K282" s="57"/>
      <c r="L282" s="61" t="s">
        <v>23</v>
      </c>
      <c r="M282" s="57"/>
      <c r="N282" s="62"/>
      <c r="O282" s="57"/>
      <c r="P282" s="62"/>
      <c r="Q282" s="57"/>
      <c r="R282" s="62"/>
      <c r="S282" s="57"/>
      <c r="T282" s="62"/>
      <c r="U282" s="57"/>
      <c r="V282" s="56"/>
      <c r="W282" s="57"/>
      <c r="X282" s="128"/>
      <c r="Y282" s="83"/>
      <c r="Z282" s="84"/>
      <c r="AA282" s="85"/>
      <c r="AB282" s="85"/>
      <c r="AC282" s="18"/>
      <c r="AD282" s="18"/>
      <c r="AE282" s="18"/>
      <c r="AF282" s="18"/>
    </row>
    <row r="283" ht="13.5" customHeight="1">
      <c r="A283" s="45">
        <v>15.0</v>
      </c>
      <c r="B283" s="46" t="s">
        <v>260</v>
      </c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47"/>
      <c r="X283" s="47"/>
      <c r="Y283" s="48"/>
      <c r="Z283" s="84"/>
      <c r="AA283" s="85"/>
      <c r="AB283" s="85"/>
      <c r="AC283" s="18"/>
      <c r="AD283" s="18"/>
      <c r="AE283" s="18"/>
      <c r="AF283" s="18"/>
    </row>
    <row r="284" ht="13.5" customHeight="1">
      <c r="A284" s="49"/>
      <c r="B284" s="50"/>
      <c r="C284" s="51"/>
      <c r="D284" s="51"/>
      <c r="E284" s="51"/>
      <c r="F284" s="51"/>
      <c r="G284" s="51"/>
      <c r="H284" s="51"/>
      <c r="I284" s="51"/>
      <c r="J284" s="51"/>
      <c r="K284" s="51"/>
      <c r="L284" s="51"/>
      <c r="M284" s="51"/>
      <c r="N284" s="51"/>
      <c r="O284" s="51"/>
      <c r="P284" s="51"/>
      <c r="Q284" s="51"/>
      <c r="R284" s="51"/>
      <c r="S284" s="51"/>
      <c r="T284" s="51"/>
      <c r="U284" s="51"/>
      <c r="V284" s="51"/>
      <c r="W284" s="51"/>
      <c r="X284" s="51"/>
      <c r="Y284" s="52"/>
      <c r="Z284" s="84"/>
      <c r="AA284" s="85"/>
      <c r="AB284" s="85"/>
      <c r="AC284" s="18"/>
      <c r="AD284" s="18"/>
      <c r="AE284" s="18"/>
      <c r="AF284" s="18"/>
    </row>
    <row r="285" ht="15.75" customHeight="1">
      <c r="A285" s="86"/>
      <c r="B285" s="118" t="s">
        <v>261</v>
      </c>
      <c r="C285" s="55"/>
      <c r="D285" s="56"/>
      <c r="E285" s="57"/>
      <c r="F285" s="56"/>
      <c r="G285" s="57"/>
      <c r="H285" s="56"/>
      <c r="I285" s="58"/>
      <c r="J285" s="56"/>
      <c r="K285" s="57"/>
      <c r="L285" s="61" t="s">
        <v>23</v>
      </c>
      <c r="M285" s="57"/>
      <c r="N285" s="62"/>
      <c r="O285" s="57"/>
      <c r="P285" s="62"/>
      <c r="Q285" s="57"/>
      <c r="R285" s="62"/>
      <c r="S285" s="57"/>
      <c r="T285" s="62"/>
      <c r="U285" s="57"/>
      <c r="V285" s="56"/>
      <c r="W285" s="57"/>
      <c r="X285" s="63"/>
      <c r="Y285" s="64"/>
      <c r="Z285" s="84"/>
      <c r="AA285" s="85"/>
      <c r="AB285" s="85"/>
      <c r="AC285" s="18"/>
      <c r="AD285" s="18"/>
      <c r="AE285" s="18"/>
      <c r="AF285" s="18"/>
    </row>
    <row r="286" ht="15.75" customHeight="1">
      <c r="A286" s="86"/>
      <c r="B286" s="119" t="s">
        <v>262</v>
      </c>
      <c r="C286" s="55"/>
      <c r="D286" s="56"/>
      <c r="E286" s="57"/>
      <c r="F286" s="56"/>
      <c r="G286" s="57"/>
      <c r="H286" s="56"/>
      <c r="I286" s="58"/>
      <c r="J286" s="56"/>
      <c r="K286" s="57"/>
      <c r="L286" s="61" t="s">
        <v>23</v>
      </c>
      <c r="M286" s="57"/>
      <c r="N286" s="62"/>
      <c r="O286" s="57"/>
      <c r="P286" s="62"/>
      <c r="Q286" s="57"/>
      <c r="R286" s="62"/>
      <c r="S286" s="57"/>
      <c r="T286" s="62"/>
      <c r="U286" s="57"/>
      <c r="V286" s="56"/>
      <c r="W286" s="57"/>
      <c r="X286" s="63"/>
      <c r="Y286" s="64"/>
      <c r="Z286" s="84"/>
      <c r="AA286" s="85"/>
      <c r="AB286" s="85"/>
      <c r="AC286" s="18"/>
      <c r="AD286" s="18"/>
      <c r="AE286" s="18"/>
      <c r="AF286" s="18"/>
    </row>
    <row r="287" ht="15.75" customHeight="1">
      <c r="A287" s="86"/>
      <c r="B287" s="119" t="s">
        <v>263</v>
      </c>
      <c r="C287" s="55"/>
      <c r="D287" s="56"/>
      <c r="E287" s="57"/>
      <c r="F287" s="56"/>
      <c r="G287" s="57"/>
      <c r="H287" s="56"/>
      <c r="I287" s="58"/>
      <c r="J287" s="56"/>
      <c r="K287" s="57"/>
      <c r="L287" s="61" t="s">
        <v>23</v>
      </c>
      <c r="M287" s="57"/>
      <c r="N287" s="62"/>
      <c r="O287" s="57"/>
      <c r="P287" s="62"/>
      <c r="Q287" s="57"/>
      <c r="R287" s="62"/>
      <c r="S287" s="57"/>
      <c r="T287" s="62"/>
      <c r="U287" s="57"/>
      <c r="V287" s="56"/>
      <c r="W287" s="57"/>
      <c r="X287" s="128"/>
      <c r="Y287" s="83"/>
      <c r="Z287" s="84"/>
      <c r="AA287" s="85"/>
      <c r="AB287" s="85"/>
      <c r="AC287" s="18"/>
      <c r="AD287" s="18"/>
      <c r="AE287" s="18"/>
      <c r="AF287" s="18"/>
    </row>
    <row r="288" ht="15.0" customHeight="1">
      <c r="A288" s="86"/>
      <c r="B288" s="119" t="s">
        <v>264</v>
      </c>
      <c r="C288" s="55"/>
      <c r="D288" s="56"/>
      <c r="E288" s="57"/>
      <c r="F288" s="56"/>
      <c r="G288" s="57"/>
      <c r="H288" s="56"/>
      <c r="I288" s="58"/>
      <c r="J288" s="56"/>
      <c r="K288" s="57"/>
      <c r="L288" s="61" t="s">
        <v>23</v>
      </c>
      <c r="M288" s="57"/>
      <c r="N288" s="62"/>
      <c r="O288" s="57"/>
      <c r="P288" s="62"/>
      <c r="Q288" s="57"/>
      <c r="R288" s="62"/>
      <c r="S288" s="57"/>
      <c r="T288" s="62"/>
      <c r="U288" s="57"/>
      <c r="V288" s="56"/>
      <c r="W288" s="57"/>
      <c r="X288" s="128"/>
      <c r="Y288" s="83"/>
      <c r="Z288" s="84"/>
      <c r="AA288" s="85"/>
      <c r="AB288" s="85"/>
      <c r="AC288" s="18"/>
      <c r="AD288" s="18"/>
      <c r="AE288" s="18"/>
      <c r="AF288" s="18"/>
    </row>
    <row r="289" ht="13.5" customHeight="1">
      <c r="A289" s="45">
        <v>16.0</v>
      </c>
      <c r="B289" s="46" t="s">
        <v>265</v>
      </c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47"/>
      <c r="X289" s="47"/>
      <c r="Y289" s="48"/>
      <c r="Z289" s="84"/>
      <c r="AA289" s="85"/>
      <c r="AB289" s="85"/>
      <c r="AC289" s="18"/>
      <c r="AD289" s="18"/>
      <c r="AE289" s="18"/>
      <c r="AF289" s="18"/>
    </row>
    <row r="290" ht="13.5" customHeight="1">
      <c r="A290" s="49"/>
      <c r="B290" s="50"/>
      <c r="C290" s="51"/>
      <c r="D290" s="51"/>
      <c r="E290" s="51"/>
      <c r="F290" s="51"/>
      <c r="G290" s="51"/>
      <c r="H290" s="51"/>
      <c r="I290" s="51"/>
      <c r="J290" s="51"/>
      <c r="K290" s="51"/>
      <c r="L290" s="51"/>
      <c r="M290" s="51"/>
      <c r="N290" s="51"/>
      <c r="O290" s="51"/>
      <c r="P290" s="51"/>
      <c r="Q290" s="51"/>
      <c r="R290" s="51"/>
      <c r="S290" s="51"/>
      <c r="T290" s="51"/>
      <c r="U290" s="51"/>
      <c r="V290" s="51"/>
      <c r="W290" s="51"/>
      <c r="X290" s="51"/>
      <c r="Y290" s="52"/>
      <c r="Z290" s="84"/>
      <c r="AA290" s="85"/>
      <c r="AB290" s="85"/>
      <c r="AC290" s="18"/>
      <c r="AD290" s="18"/>
      <c r="AE290" s="18"/>
      <c r="AF290" s="18"/>
    </row>
    <row r="291" ht="15.75" customHeight="1">
      <c r="A291" s="86"/>
      <c r="B291" s="118" t="s">
        <v>266</v>
      </c>
      <c r="C291" s="55"/>
      <c r="D291" s="56"/>
      <c r="E291" s="57"/>
      <c r="F291" s="56"/>
      <c r="G291" s="57"/>
      <c r="H291" s="56"/>
      <c r="I291" s="58"/>
      <c r="J291" s="56"/>
      <c r="K291" s="57"/>
      <c r="L291" s="61" t="s">
        <v>23</v>
      </c>
      <c r="M291" s="57"/>
      <c r="N291" s="62"/>
      <c r="O291" s="57"/>
      <c r="P291" s="62"/>
      <c r="Q291" s="57"/>
      <c r="R291" s="62"/>
      <c r="S291" s="57"/>
      <c r="T291" s="62"/>
      <c r="U291" s="57"/>
      <c r="V291" s="56"/>
      <c r="W291" s="57"/>
      <c r="X291" s="63"/>
      <c r="Y291" s="64"/>
      <c r="Z291" s="84"/>
      <c r="AA291" s="85"/>
      <c r="AB291" s="85"/>
      <c r="AC291" s="18"/>
      <c r="AD291" s="18"/>
      <c r="AE291" s="18"/>
      <c r="AF291" s="18"/>
    </row>
    <row r="292" ht="15.75" customHeight="1">
      <c r="A292" s="86"/>
      <c r="B292" s="119" t="s">
        <v>267</v>
      </c>
      <c r="C292" s="55"/>
      <c r="D292" s="56"/>
      <c r="E292" s="57"/>
      <c r="F292" s="56"/>
      <c r="G292" s="57"/>
      <c r="H292" s="62"/>
      <c r="I292" s="58"/>
      <c r="J292" s="62"/>
      <c r="K292" s="57"/>
      <c r="L292" s="61" t="s">
        <v>23</v>
      </c>
      <c r="M292" s="57"/>
      <c r="N292" s="62"/>
      <c r="O292" s="57"/>
      <c r="P292" s="62"/>
      <c r="Q292" s="57"/>
      <c r="R292" s="62"/>
      <c r="S292" s="57"/>
      <c r="T292" s="62"/>
      <c r="U292" s="57"/>
      <c r="V292" s="56"/>
      <c r="W292" s="57"/>
      <c r="X292" s="63"/>
      <c r="Y292" s="64"/>
      <c r="Z292" s="84"/>
      <c r="AA292" s="85"/>
      <c r="AB292" s="85"/>
      <c r="AC292" s="18"/>
      <c r="AD292" s="18"/>
      <c r="AE292" s="18"/>
      <c r="AF292" s="18"/>
    </row>
    <row r="293" ht="15.75" customHeight="1">
      <c r="A293" s="86"/>
      <c r="B293" s="119" t="s">
        <v>268</v>
      </c>
      <c r="C293" s="55"/>
      <c r="D293" s="56"/>
      <c r="E293" s="57"/>
      <c r="F293" s="56"/>
      <c r="G293" s="57"/>
      <c r="H293" s="62"/>
      <c r="I293" s="58"/>
      <c r="J293" s="62"/>
      <c r="K293" s="57"/>
      <c r="L293" s="61" t="s">
        <v>23</v>
      </c>
      <c r="M293" s="57"/>
      <c r="N293" s="62"/>
      <c r="O293" s="57"/>
      <c r="P293" s="62"/>
      <c r="Q293" s="57"/>
      <c r="R293" s="62"/>
      <c r="S293" s="57"/>
      <c r="T293" s="62"/>
      <c r="U293" s="57"/>
      <c r="V293" s="56"/>
      <c r="W293" s="57"/>
      <c r="X293" s="63"/>
      <c r="Y293" s="64"/>
      <c r="Z293" s="84"/>
      <c r="AA293" s="85"/>
      <c r="AB293" s="85"/>
      <c r="AC293" s="18"/>
      <c r="AD293" s="18"/>
      <c r="AE293" s="18"/>
      <c r="AF293" s="18"/>
    </row>
    <row r="294" ht="15.75" customHeight="1">
      <c r="A294" s="86"/>
      <c r="B294" s="119" t="s">
        <v>269</v>
      </c>
      <c r="C294" s="55"/>
      <c r="D294" s="56"/>
      <c r="E294" s="57"/>
      <c r="F294" s="56"/>
      <c r="G294" s="57"/>
      <c r="H294" s="62"/>
      <c r="I294" s="58"/>
      <c r="J294" s="62"/>
      <c r="K294" s="57"/>
      <c r="L294" s="61" t="s">
        <v>23</v>
      </c>
      <c r="M294" s="57"/>
      <c r="N294" s="62"/>
      <c r="O294" s="57"/>
      <c r="P294" s="62"/>
      <c r="Q294" s="57"/>
      <c r="R294" s="62"/>
      <c r="S294" s="57"/>
      <c r="T294" s="62"/>
      <c r="U294" s="57"/>
      <c r="V294" s="56"/>
      <c r="W294" s="57"/>
      <c r="X294" s="63"/>
      <c r="Y294" s="64"/>
      <c r="Z294" s="84"/>
      <c r="AA294" s="85"/>
      <c r="AB294" s="85"/>
      <c r="AC294" s="18"/>
      <c r="AD294" s="18"/>
      <c r="AE294" s="18"/>
      <c r="AF294" s="18"/>
    </row>
    <row r="295" ht="13.5" customHeight="1">
      <c r="A295" s="45">
        <v>17.0</v>
      </c>
      <c r="B295" s="46" t="s">
        <v>270</v>
      </c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M295" s="47"/>
      <c r="N295" s="47"/>
      <c r="O295" s="47"/>
      <c r="P295" s="47"/>
      <c r="Q295" s="47"/>
      <c r="R295" s="47"/>
      <c r="S295" s="47"/>
      <c r="T295" s="47"/>
      <c r="U295" s="47"/>
      <c r="V295" s="47"/>
      <c r="W295" s="47"/>
      <c r="X295" s="47"/>
      <c r="Y295" s="48"/>
      <c r="Z295" s="84"/>
      <c r="AA295" s="85"/>
      <c r="AB295" s="85"/>
      <c r="AC295" s="18"/>
      <c r="AD295" s="18"/>
      <c r="AE295" s="18"/>
      <c r="AF295" s="18"/>
    </row>
    <row r="296" ht="17.25" customHeight="1">
      <c r="A296" s="49"/>
      <c r="B296" s="50"/>
      <c r="C296" s="51"/>
      <c r="D296" s="51"/>
      <c r="E296" s="51"/>
      <c r="F296" s="51"/>
      <c r="G296" s="51"/>
      <c r="H296" s="51"/>
      <c r="I296" s="51"/>
      <c r="J296" s="51"/>
      <c r="K296" s="51"/>
      <c r="L296" s="51"/>
      <c r="M296" s="51"/>
      <c r="N296" s="51"/>
      <c r="O296" s="51"/>
      <c r="P296" s="51"/>
      <c r="Q296" s="51"/>
      <c r="R296" s="51"/>
      <c r="S296" s="51"/>
      <c r="T296" s="51"/>
      <c r="U296" s="51"/>
      <c r="V296" s="51"/>
      <c r="W296" s="51"/>
      <c r="X296" s="51"/>
      <c r="Y296" s="52"/>
      <c r="Z296" s="84"/>
      <c r="AA296" s="85"/>
      <c r="AB296" s="85"/>
      <c r="AC296" s="18"/>
      <c r="AD296" s="18"/>
      <c r="AE296" s="18"/>
      <c r="AF296" s="18"/>
    </row>
    <row r="297" ht="15.75" customHeight="1">
      <c r="A297" s="86"/>
      <c r="B297" s="118" t="s">
        <v>271</v>
      </c>
      <c r="C297" s="55"/>
      <c r="D297" s="56"/>
      <c r="E297" s="57"/>
      <c r="F297" s="56"/>
      <c r="G297" s="57"/>
      <c r="H297" s="56"/>
      <c r="I297" s="58"/>
      <c r="J297" s="56"/>
      <c r="K297" s="57"/>
      <c r="L297" s="61" t="s">
        <v>23</v>
      </c>
      <c r="M297" s="57"/>
      <c r="N297" s="62"/>
      <c r="O297" s="57"/>
      <c r="P297" s="62"/>
      <c r="Q297" s="57"/>
      <c r="R297" s="62"/>
      <c r="S297" s="57"/>
      <c r="T297" s="62"/>
      <c r="U297" s="57"/>
      <c r="V297" s="56"/>
      <c r="W297" s="57"/>
      <c r="X297" s="63"/>
      <c r="Y297" s="64"/>
      <c r="Z297" s="84"/>
      <c r="AA297" s="85"/>
      <c r="AB297" s="85"/>
      <c r="AC297" s="18"/>
      <c r="AD297" s="18"/>
      <c r="AE297" s="18"/>
      <c r="AF297" s="18"/>
    </row>
    <row r="298" ht="15.75" customHeight="1">
      <c r="A298" s="86"/>
      <c r="B298" s="119" t="s">
        <v>272</v>
      </c>
      <c r="C298" s="55"/>
      <c r="D298" s="56"/>
      <c r="E298" s="57"/>
      <c r="F298" s="56"/>
      <c r="G298" s="57"/>
      <c r="H298" s="56"/>
      <c r="I298" s="58"/>
      <c r="J298" s="56"/>
      <c r="K298" s="57"/>
      <c r="L298" s="61" t="s">
        <v>23</v>
      </c>
      <c r="M298" s="57"/>
      <c r="N298" s="62"/>
      <c r="O298" s="57"/>
      <c r="P298" s="62"/>
      <c r="Q298" s="57"/>
      <c r="R298" s="62"/>
      <c r="S298" s="57"/>
      <c r="T298" s="62"/>
      <c r="U298" s="57"/>
      <c r="V298" s="56"/>
      <c r="W298" s="57"/>
      <c r="X298" s="63"/>
      <c r="Y298" s="64"/>
      <c r="Z298" s="84"/>
      <c r="AA298" s="85"/>
      <c r="AB298" s="85"/>
      <c r="AC298" s="18"/>
      <c r="AD298" s="18"/>
      <c r="AE298" s="18"/>
      <c r="AF298" s="18"/>
    </row>
    <row r="299" ht="15.75" customHeight="1">
      <c r="A299" s="86"/>
      <c r="B299" s="119" t="s">
        <v>273</v>
      </c>
      <c r="C299" s="55"/>
      <c r="D299" s="56"/>
      <c r="E299" s="57"/>
      <c r="F299" s="56"/>
      <c r="G299" s="57"/>
      <c r="H299" s="56"/>
      <c r="I299" s="58"/>
      <c r="J299" s="56"/>
      <c r="K299" s="57"/>
      <c r="L299" s="61" t="s">
        <v>23</v>
      </c>
      <c r="M299" s="57"/>
      <c r="N299" s="62"/>
      <c r="O299" s="57"/>
      <c r="P299" s="62"/>
      <c r="Q299" s="57"/>
      <c r="R299" s="62"/>
      <c r="S299" s="57"/>
      <c r="T299" s="62"/>
      <c r="U299" s="57"/>
      <c r="V299" s="56"/>
      <c r="W299" s="57"/>
      <c r="X299" s="63"/>
      <c r="Y299" s="64"/>
      <c r="Z299" s="84"/>
      <c r="AA299" s="85"/>
      <c r="AB299" s="85"/>
      <c r="AC299" s="18"/>
      <c r="AD299" s="18"/>
      <c r="AE299" s="18"/>
      <c r="AF299" s="18"/>
    </row>
    <row r="300" ht="15.75" customHeight="1">
      <c r="A300" s="86"/>
      <c r="B300" s="118" t="s">
        <v>274</v>
      </c>
      <c r="C300" s="55"/>
      <c r="D300" s="56"/>
      <c r="E300" s="57"/>
      <c r="F300" s="56"/>
      <c r="G300" s="57"/>
      <c r="H300" s="56"/>
      <c r="I300" s="58"/>
      <c r="J300" s="56"/>
      <c r="K300" s="57"/>
      <c r="L300" s="61" t="s">
        <v>23</v>
      </c>
      <c r="M300" s="57"/>
      <c r="N300" s="62"/>
      <c r="O300" s="57"/>
      <c r="P300" s="62"/>
      <c r="Q300" s="57"/>
      <c r="R300" s="62"/>
      <c r="S300" s="57"/>
      <c r="T300" s="62"/>
      <c r="U300" s="57"/>
      <c r="V300" s="56"/>
      <c r="W300" s="57"/>
      <c r="X300" s="63"/>
      <c r="Y300" s="64"/>
      <c r="Z300" s="84"/>
      <c r="AA300" s="85"/>
      <c r="AB300" s="85"/>
      <c r="AC300" s="18"/>
      <c r="AD300" s="18"/>
      <c r="AE300" s="18"/>
      <c r="AF300" s="18"/>
    </row>
    <row r="301" ht="15.75" customHeight="1">
      <c r="A301" s="86"/>
      <c r="B301" s="119" t="s">
        <v>275</v>
      </c>
      <c r="C301" s="55"/>
      <c r="D301" s="56"/>
      <c r="E301" s="57"/>
      <c r="F301" s="56"/>
      <c r="G301" s="57"/>
      <c r="H301" s="56"/>
      <c r="I301" s="58"/>
      <c r="J301" s="56"/>
      <c r="K301" s="57"/>
      <c r="L301" s="61" t="s">
        <v>23</v>
      </c>
      <c r="M301" s="57"/>
      <c r="N301" s="62"/>
      <c r="O301" s="57"/>
      <c r="P301" s="62"/>
      <c r="Q301" s="57"/>
      <c r="R301" s="62"/>
      <c r="S301" s="57"/>
      <c r="T301" s="62"/>
      <c r="U301" s="57"/>
      <c r="V301" s="56"/>
      <c r="W301" s="57"/>
      <c r="X301" s="63"/>
      <c r="Y301" s="64"/>
      <c r="Z301" s="84"/>
      <c r="AA301" s="85"/>
      <c r="AB301" s="85"/>
      <c r="AC301" s="18"/>
      <c r="AD301" s="18"/>
      <c r="AE301" s="18"/>
      <c r="AF301" s="18"/>
    </row>
    <row r="302" ht="18.0" customHeight="1">
      <c r="A302" s="86"/>
      <c r="B302" s="119" t="s">
        <v>276</v>
      </c>
      <c r="C302" s="55"/>
      <c r="D302" s="56"/>
      <c r="E302" s="57"/>
      <c r="F302" s="56"/>
      <c r="G302" s="57"/>
      <c r="H302" s="56"/>
      <c r="I302" s="58"/>
      <c r="J302" s="56"/>
      <c r="K302" s="57"/>
      <c r="L302" s="61" t="s">
        <v>23</v>
      </c>
      <c r="M302" s="57"/>
      <c r="N302" s="62"/>
      <c r="O302" s="57"/>
      <c r="P302" s="62"/>
      <c r="Q302" s="57"/>
      <c r="R302" s="62"/>
      <c r="S302" s="57"/>
      <c r="T302" s="62"/>
      <c r="U302" s="57"/>
      <c r="V302" s="56"/>
      <c r="W302" s="57"/>
      <c r="X302" s="63"/>
      <c r="Y302" s="64"/>
      <c r="Z302" s="84"/>
      <c r="AA302" s="85"/>
      <c r="AB302" s="85"/>
      <c r="AC302" s="18"/>
      <c r="AD302" s="18"/>
      <c r="AE302" s="18"/>
      <c r="AF302" s="18"/>
    </row>
    <row r="303" ht="36.75" customHeight="1">
      <c r="A303" s="99" t="s">
        <v>277</v>
      </c>
      <c r="B303" s="43"/>
      <c r="C303" s="43"/>
      <c r="D303" s="43"/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4"/>
      <c r="Z303" s="84"/>
      <c r="AA303" s="85"/>
      <c r="AB303" s="85"/>
      <c r="AC303" s="18"/>
      <c r="AD303" s="18"/>
      <c r="AE303" s="18"/>
      <c r="AF303" s="18"/>
    </row>
    <row r="304" ht="16.5" customHeight="1">
      <c r="A304" s="42" t="s">
        <v>278</v>
      </c>
      <c r="B304" s="43"/>
      <c r="C304" s="43"/>
      <c r="D304" s="43"/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4"/>
      <c r="Z304" s="84"/>
      <c r="AA304" s="85"/>
      <c r="AB304" s="85"/>
      <c r="AC304" s="18"/>
      <c r="AD304" s="18"/>
      <c r="AE304" s="18"/>
      <c r="AF304" s="18"/>
    </row>
    <row r="305" ht="20.25" customHeight="1">
      <c r="A305" s="130">
        <v>1.0</v>
      </c>
      <c r="B305" s="131" t="s">
        <v>279</v>
      </c>
      <c r="C305" s="86"/>
      <c r="D305" s="132" t="s">
        <v>280</v>
      </c>
      <c r="E305" s="133"/>
      <c r="F305" s="132" t="s">
        <v>281</v>
      </c>
      <c r="G305" s="133"/>
      <c r="H305" s="132" t="s">
        <v>282</v>
      </c>
      <c r="I305" s="133"/>
      <c r="J305" s="134" t="s">
        <v>283</v>
      </c>
      <c r="K305" s="44"/>
      <c r="L305" s="134" t="s">
        <v>284</v>
      </c>
      <c r="M305" s="44"/>
      <c r="N305" s="134" t="s">
        <v>285</v>
      </c>
      <c r="O305" s="44"/>
      <c r="P305" s="134" t="s">
        <v>286</v>
      </c>
      <c r="Q305" s="44"/>
      <c r="R305" s="134" t="s">
        <v>287</v>
      </c>
      <c r="S305" s="44"/>
      <c r="T305" s="134" t="s">
        <v>288</v>
      </c>
      <c r="U305" s="44"/>
      <c r="V305" s="134" t="s">
        <v>289</v>
      </c>
      <c r="W305" s="44"/>
      <c r="X305" s="135"/>
      <c r="Y305" s="136"/>
      <c r="Z305" s="84"/>
      <c r="AA305" s="85"/>
      <c r="AB305" s="85"/>
      <c r="AC305" s="18"/>
      <c r="AD305" s="18"/>
      <c r="AE305" s="18"/>
      <c r="AF305" s="18"/>
    </row>
    <row r="306" ht="19.5" customHeight="1">
      <c r="A306" s="137"/>
      <c r="B306" s="45" t="s">
        <v>290</v>
      </c>
      <c r="C306" s="106"/>
      <c r="D306" s="138"/>
      <c r="E306" s="78"/>
      <c r="F306" s="139"/>
      <c r="G306" s="78"/>
      <c r="H306" s="139"/>
      <c r="I306" s="78"/>
      <c r="J306" s="139"/>
      <c r="K306" s="139"/>
      <c r="L306" s="139"/>
      <c r="M306" s="139"/>
      <c r="N306" s="139"/>
      <c r="O306" s="139"/>
      <c r="P306" s="139"/>
      <c r="Q306" s="139"/>
      <c r="R306" s="139"/>
      <c r="S306" s="139"/>
      <c r="T306" s="139"/>
      <c r="U306" s="139"/>
      <c r="V306" s="139"/>
      <c r="W306" s="139"/>
      <c r="X306" s="128"/>
      <c r="Y306" s="136"/>
      <c r="Z306" s="84"/>
      <c r="AA306" s="85"/>
      <c r="AB306" s="85"/>
      <c r="AC306" s="18"/>
      <c r="AD306" s="18"/>
      <c r="AE306" s="18"/>
      <c r="AF306" s="18"/>
    </row>
    <row r="307" ht="16.5" customHeight="1">
      <c r="A307" s="140"/>
      <c r="B307" s="140"/>
      <c r="C307" s="140"/>
      <c r="D307" s="141" t="s">
        <v>291</v>
      </c>
      <c r="E307" s="44"/>
      <c r="F307" s="141" t="s">
        <v>292</v>
      </c>
      <c r="G307" s="44"/>
      <c r="H307" s="141" t="s">
        <v>293</v>
      </c>
      <c r="I307" s="44"/>
      <c r="J307" s="141" t="s">
        <v>294</v>
      </c>
      <c r="K307" s="44"/>
      <c r="L307" s="141"/>
      <c r="M307" s="44"/>
      <c r="N307" s="141"/>
      <c r="O307" s="44"/>
      <c r="P307" s="141"/>
      <c r="Q307" s="44"/>
      <c r="R307" s="142"/>
      <c r="S307" s="48"/>
      <c r="T307" s="142"/>
      <c r="U307" s="48"/>
      <c r="V307" s="142"/>
      <c r="W307" s="48"/>
      <c r="X307" s="143"/>
      <c r="Y307" s="136"/>
      <c r="Z307" s="84"/>
      <c r="AA307" s="85"/>
      <c r="AB307" s="85"/>
      <c r="AC307" s="18"/>
      <c r="AD307" s="18"/>
      <c r="AE307" s="18"/>
      <c r="AF307" s="18"/>
    </row>
    <row r="308" ht="17.25" customHeight="1">
      <c r="A308" s="49"/>
      <c r="B308" s="49"/>
      <c r="C308" s="49"/>
      <c r="D308" s="139"/>
      <c r="E308" s="139"/>
      <c r="F308" s="139"/>
      <c r="G308" s="139"/>
      <c r="H308" s="139"/>
      <c r="I308" s="139"/>
      <c r="J308" s="139"/>
      <c r="K308" s="139"/>
      <c r="L308" s="62"/>
      <c r="M308" s="57"/>
      <c r="N308" s="62"/>
      <c r="O308" s="57"/>
      <c r="P308" s="62"/>
      <c r="Q308" s="57"/>
      <c r="R308" s="50"/>
      <c r="S308" s="52"/>
      <c r="T308" s="50"/>
      <c r="U308" s="52"/>
      <c r="V308" s="50"/>
      <c r="W308" s="52"/>
      <c r="X308" s="144"/>
      <c r="Y308" s="145"/>
      <c r="Z308" s="84"/>
      <c r="AA308" s="85"/>
      <c r="AB308" s="85"/>
      <c r="AC308" s="18"/>
      <c r="AD308" s="18"/>
      <c r="AE308" s="18"/>
      <c r="AF308" s="18"/>
    </row>
    <row r="309" ht="15.75" customHeight="1">
      <c r="A309" s="146">
        <v>2.0</v>
      </c>
      <c r="B309" s="131" t="s">
        <v>295</v>
      </c>
      <c r="C309" s="86"/>
      <c r="D309" s="132" t="s">
        <v>296</v>
      </c>
      <c r="E309" s="133"/>
      <c r="F309" s="132" t="s">
        <v>297</v>
      </c>
      <c r="G309" s="133"/>
      <c r="H309" s="132" t="s">
        <v>282</v>
      </c>
      <c r="I309" s="133"/>
      <c r="J309" s="134" t="s">
        <v>298</v>
      </c>
      <c r="K309" s="44"/>
      <c r="L309" s="134" t="s">
        <v>299</v>
      </c>
      <c r="M309" s="44"/>
      <c r="N309" s="134" t="s">
        <v>300</v>
      </c>
      <c r="O309" s="44"/>
      <c r="P309" s="134" t="s">
        <v>301</v>
      </c>
      <c r="Q309" s="44"/>
      <c r="R309" s="134" t="s">
        <v>302</v>
      </c>
      <c r="S309" s="44"/>
      <c r="T309" s="134" t="s">
        <v>303</v>
      </c>
      <c r="U309" s="44"/>
      <c r="V309" s="134" t="s">
        <v>304</v>
      </c>
      <c r="W309" s="44"/>
      <c r="X309" s="135"/>
      <c r="Y309" s="136"/>
      <c r="Z309" s="84"/>
      <c r="AA309" s="85"/>
      <c r="AB309" s="85"/>
      <c r="AC309" s="18"/>
      <c r="AD309" s="18"/>
      <c r="AE309" s="18"/>
      <c r="AF309" s="18"/>
    </row>
    <row r="310" ht="18.75" customHeight="1">
      <c r="A310" s="147"/>
      <c r="B310" s="45" t="s">
        <v>290</v>
      </c>
      <c r="C310" s="106"/>
      <c r="D310" s="138"/>
      <c r="E310" s="78"/>
      <c r="F310" s="139"/>
      <c r="G310" s="78"/>
      <c r="H310" s="139"/>
      <c r="I310" s="78"/>
      <c r="J310" s="139"/>
      <c r="K310" s="139"/>
      <c r="L310" s="139"/>
      <c r="M310" s="139"/>
      <c r="N310" s="139"/>
      <c r="O310" s="139"/>
      <c r="P310" s="139"/>
      <c r="Q310" s="139"/>
      <c r="R310" s="139"/>
      <c r="S310" s="139"/>
      <c r="T310" s="139"/>
      <c r="U310" s="139"/>
      <c r="V310" s="139"/>
      <c r="W310" s="139"/>
      <c r="X310" s="148"/>
      <c r="Y310" s="145"/>
      <c r="Z310" s="84"/>
      <c r="AA310" s="85"/>
      <c r="AB310" s="85"/>
      <c r="AC310" s="18"/>
      <c r="AD310" s="18"/>
      <c r="AE310" s="18"/>
      <c r="AF310" s="18"/>
    </row>
    <row r="311" ht="15.75" customHeight="1">
      <c r="A311" s="147"/>
      <c r="B311" s="140"/>
      <c r="C311" s="140"/>
      <c r="D311" s="141" t="s">
        <v>291</v>
      </c>
      <c r="E311" s="44"/>
      <c r="F311" s="141" t="s">
        <v>292</v>
      </c>
      <c r="G311" s="44"/>
      <c r="H311" s="141" t="s">
        <v>293</v>
      </c>
      <c r="I311" s="44"/>
      <c r="J311" s="141" t="s">
        <v>294</v>
      </c>
      <c r="K311" s="44"/>
      <c r="L311" s="141"/>
      <c r="M311" s="44"/>
      <c r="N311" s="141"/>
      <c r="O311" s="44"/>
      <c r="P311" s="141"/>
      <c r="Q311" s="44"/>
      <c r="R311" s="142"/>
      <c r="S311" s="48"/>
      <c r="T311" s="142"/>
      <c r="U311" s="48"/>
      <c r="V311" s="142"/>
      <c r="W311" s="48"/>
      <c r="X311" s="143"/>
      <c r="Y311" s="136"/>
      <c r="Z311" s="84"/>
      <c r="AA311" s="85"/>
      <c r="AB311" s="85"/>
      <c r="AC311" s="18"/>
      <c r="AD311" s="18"/>
      <c r="AE311" s="18"/>
      <c r="AF311" s="18"/>
    </row>
    <row r="312" ht="15.75" customHeight="1">
      <c r="A312" s="147"/>
      <c r="B312" s="49"/>
      <c r="C312" s="49"/>
      <c r="D312" s="139"/>
      <c r="E312" s="139"/>
      <c r="F312" s="139"/>
      <c r="G312" s="139"/>
      <c r="H312" s="139"/>
      <c r="I312" s="139"/>
      <c r="J312" s="139"/>
      <c r="K312" s="139"/>
      <c r="L312" s="62"/>
      <c r="M312" s="57"/>
      <c r="N312" s="62"/>
      <c r="O312" s="57"/>
      <c r="P312" s="62"/>
      <c r="Q312" s="57"/>
      <c r="R312" s="50"/>
      <c r="S312" s="52"/>
      <c r="T312" s="50"/>
      <c r="U312" s="52"/>
      <c r="V312" s="50"/>
      <c r="W312" s="52"/>
      <c r="X312" s="144"/>
      <c r="Y312" s="145"/>
      <c r="Z312" s="84"/>
      <c r="AA312" s="85"/>
      <c r="AB312" s="85"/>
      <c r="AC312" s="18"/>
      <c r="AD312" s="18"/>
      <c r="AE312" s="18"/>
      <c r="AF312" s="18"/>
    </row>
    <row r="313" ht="18.75" customHeight="1">
      <c r="A313" s="146">
        <v>3.0</v>
      </c>
      <c r="B313" s="131" t="s">
        <v>305</v>
      </c>
      <c r="C313" s="86"/>
      <c r="D313" s="132" t="s">
        <v>306</v>
      </c>
      <c r="E313" s="133"/>
      <c r="F313" s="132" t="s">
        <v>307</v>
      </c>
      <c r="G313" s="133"/>
      <c r="H313" s="132" t="s">
        <v>282</v>
      </c>
      <c r="I313" s="133"/>
      <c r="J313" s="134" t="s">
        <v>308</v>
      </c>
      <c r="K313" s="44"/>
      <c r="L313" s="134" t="s">
        <v>309</v>
      </c>
      <c r="M313" s="44"/>
      <c r="N313" s="134" t="s">
        <v>310</v>
      </c>
      <c r="O313" s="44"/>
      <c r="P313" s="134" t="s">
        <v>311</v>
      </c>
      <c r="Q313" s="44"/>
      <c r="R313" s="134" t="s">
        <v>312</v>
      </c>
      <c r="S313" s="44"/>
      <c r="T313" s="134" t="s">
        <v>313</v>
      </c>
      <c r="U313" s="44"/>
      <c r="V313" s="134" t="s">
        <v>314</v>
      </c>
      <c r="W313" s="44"/>
      <c r="X313" s="135"/>
      <c r="Y313" s="149"/>
      <c r="Z313" s="84"/>
      <c r="AA313" s="85"/>
      <c r="AB313" s="85"/>
      <c r="AC313" s="18"/>
      <c r="AD313" s="18"/>
      <c r="AE313" s="18"/>
      <c r="AF313" s="18"/>
    </row>
    <row r="314" ht="20.25" customHeight="1">
      <c r="A314" s="147"/>
      <c r="B314" s="45" t="s">
        <v>290</v>
      </c>
      <c r="C314" s="106"/>
      <c r="D314" s="138"/>
      <c r="E314" s="78"/>
      <c r="F314" s="139"/>
      <c r="G314" s="78"/>
      <c r="H314" s="139"/>
      <c r="I314" s="78"/>
      <c r="J314" s="139"/>
      <c r="K314" s="139"/>
      <c r="L314" s="139"/>
      <c r="M314" s="139"/>
      <c r="N314" s="139"/>
      <c r="O314" s="139"/>
      <c r="P314" s="139"/>
      <c r="Q314" s="139"/>
      <c r="R314" s="139"/>
      <c r="S314" s="139"/>
      <c r="T314" s="139"/>
      <c r="U314" s="139"/>
      <c r="V314" s="139"/>
      <c r="W314" s="139"/>
      <c r="X314" s="150"/>
      <c r="Y314" s="145"/>
      <c r="Z314" s="84"/>
      <c r="AA314" s="85"/>
      <c r="AB314" s="85"/>
      <c r="AC314" s="18"/>
      <c r="AD314" s="18"/>
      <c r="AE314" s="18"/>
      <c r="AF314" s="18"/>
    </row>
    <row r="315" ht="18.0" customHeight="1">
      <c r="A315" s="147"/>
      <c r="B315" s="140"/>
      <c r="C315" s="140"/>
      <c r="D315" s="141" t="s">
        <v>291</v>
      </c>
      <c r="E315" s="44"/>
      <c r="F315" s="141" t="s">
        <v>292</v>
      </c>
      <c r="G315" s="44"/>
      <c r="H315" s="141" t="s">
        <v>293</v>
      </c>
      <c r="I315" s="44"/>
      <c r="J315" s="141" t="s">
        <v>294</v>
      </c>
      <c r="K315" s="44"/>
      <c r="L315" s="141"/>
      <c r="M315" s="44"/>
      <c r="N315" s="141"/>
      <c r="O315" s="44"/>
      <c r="P315" s="141"/>
      <c r="Q315" s="44"/>
      <c r="R315" s="142"/>
      <c r="S315" s="48"/>
      <c r="T315" s="142"/>
      <c r="U315" s="48"/>
      <c r="V315" s="142"/>
      <c r="W315" s="48"/>
      <c r="X315" s="143"/>
      <c r="Y315" s="136"/>
      <c r="Z315" s="84"/>
      <c r="AA315" s="85"/>
      <c r="AB315" s="85"/>
      <c r="AC315" s="18"/>
      <c r="AD315" s="18"/>
      <c r="AE315" s="18"/>
      <c r="AF315" s="18"/>
    </row>
    <row r="316" ht="18.0" customHeight="1">
      <c r="A316" s="147"/>
      <c r="B316" s="49"/>
      <c r="C316" s="49"/>
      <c r="D316" s="139"/>
      <c r="E316" s="139"/>
      <c r="F316" s="139"/>
      <c r="G316" s="139"/>
      <c r="H316" s="139"/>
      <c r="I316" s="139"/>
      <c r="J316" s="139"/>
      <c r="K316" s="139"/>
      <c r="L316" s="62"/>
      <c r="M316" s="57"/>
      <c r="N316" s="62"/>
      <c r="O316" s="57"/>
      <c r="P316" s="62"/>
      <c r="Q316" s="57"/>
      <c r="R316" s="50"/>
      <c r="S316" s="52"/>
      <c r="T316" s="50"/>
      <c r="U316" s="52"/>
      <c r="V316" s="50"/>
      <c r="W316" s="52"/>
      <c r="X316" s="144"/>
      <c r="Y316" s="145"/>
      <c r="Z316" s="84"/>
      <c r="AA316" s="85"/>
      <c r="AB316" s="85"/>
      <c r="AC316" s="18"/>
      <c r="AD316" s="18"/>
      <c r="AE316" s="18"/>
      <c r="AF316" s="18"/>
    </row>
    <row r="317" ht="30.75" customHeight="1">
      <c r="A317" s="99" t="s">
        <v>315</v>
      </c>
      <c r="B317" s="43"/>
      <c r="C317" s="43"/>
      <c r="D317" s="43"/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4"/>
      <c r="Z317" s="84"/>
      <c r="AA317" s="85"/>
      <c r="AB317" s="85"/>
      <c r="AC317" s="18"/>
      <c r="AD317" s="18"/>
      <c r="AE317" s="18"/>
      <c r="AF317" s="18"/>
    </row>
    <row r="318" ht="15.75" customHeight="1">
      <c r="A318" s="42" t="s">
        <v>19</v>
      </c>
      <c r="B318" s="43"/>
      <c r="C318" s="43"/>
      <c r="D318" s="43"/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4"/>
      <c r="Z318" s="84"/>
      <c r="AA318" s="85"/>
      <c r="AB318" s="85"/>
      <c r="AC318" s="18"/>
      <c r="AD318" s="18"/>
      <c r="AE318" s="18"/>
      <c r="AF318" s="18"/>
    </row>
    <row r="319" ht="21.75" customHeight="1">
      <c r="A319" s="130">
        <v>1.0</v>
      </c>
      <c r="B319" s="131" t="s">
        <v>316</v>
      </c>
      <c r="C319" s="86"/>
      <c r="D319" s="151" t="s">
        <v>317</v>
      </c>
      <c r="E319" s="133"/>
      <c r="F319" s="151" t="s">
        <v>318</v>
      </c>
      <c r="G319" s="133"/>
      <c r="H319" s="151" t="s">
        <v>319</v>
      </c>
      <c r="I319" s="133"/>
      <c r="J319" s="151" t="s">
        <v>320</v>
      </c>
      <c r="K319" s="133"/>
      <c r="L319" s="151" t="s">
        <v>321</v>
      </c>
      <c r="M319" s="133"/>
      <c r="N319" s="151" t="s">
        <v>322</v>
      </c>
      <c r="O319" s="133"/>
      <c r="P319" s="151" t="s">
        <v>323</v>
      </c>
      <c r="Q319" s="133"/>
      <c r="R319" s="151" t="s">
        <v>324</v>
      </c>
      <c r="S319" s="133"/>
      <c r="T319" s="151" t="s">
        <v>325</v>
      </c>
      <c r="U319" s="133"/>
      <c r="V319" s="151" t="s">
        <v>326</v>
      </c>
      <c r="W319" s="133"/>
      <c r="X319" s="152"/>
      <c r="Y319" s="153"/>
      <c r="Z319" s="18"/>
      <c r="AA319" s="85"/>
      <c r="AB319" s="85"/>
      <c r="AC319" s="18"/>
      <c r="AD319" s="18"/>
      <c r="AE319" s="18"/>
      <c r="AF319" s="18"/>
    </row>
    <row r="320" ht="16.5" customHeight="1">
      <c r="A320" s="137"/>
      <c r="B320" s="45" t="s">
        <v>327</v>
      </c>
      <c r="C320" s="106"/>
      <c r="D320" s="154"/>
      <c r="E320" s="155"/>
      <c r="F320" s="154"/>
      <c r="G320" s="155"/>
      <c r="H320" s="154"/>
      <c r="I320" s="155"/>
      <c r="J320" s="154"/>
      <c r="K320" s="155"/>
      <c r="L320" s="154"/>
      <c r="M320" s="155"/>
      <c r="N320" s="155"/>
      <c r="O320" s="155"/>
      <c r="P320" s="155"/>
      <c r="Q320" s="155"/>
      <c r="R320" s="155"/>
      <c r="S320" s="155"/>
      <c r="T320" s="154"/>
      <c r="U320" s="155"/>
      <c r="V320" s="154"/>
      <c r="W320" s="155"/>
      <c r="X320" s="156"/>
      <c r="Y320" s="145" t="s">
        <v>328</v>
      </c>
      <c r="Z320" s="18"/>
      <c r="AA320" s="85"/>
      <c r="AB320" s="85"/>
      <c r="AC320" s="18"/>
      <c r="AD320" s="18"/>
      <c r="AE320" s="18"/>
      <c r="AF320" s="18"/>
    </row>
    <row r="321" ht="20.25" customHeight="1">
      <c r="A321" s="140"/>
      <c r="B321" s="140"/>
      <c r="C321" s="140"/>
      <c r="D321" s="151" t="s">
        <v>329</v>
      </c>
      <c r="E321" s="133"/>
      <c r="F321" s="151" t="s">
        <v>330</v>
      </c>
      <c r="G321" s="133"/>
      <c r="H321" s="151" t="s">
        <v>331</v>
      </c>
      <c r="I321" s="133"/>
      <c r="J321" s="151" t="s">
        <v>332</v>
      </c>
      <c r="K321" s="133"/>
      <c r="L321" s="151" t="s">
        <v>333</v>
      </c>
      <c r="M321" s="133"/>
      <c r="N321" s="151" t="s">
        <v>334</v>
      </c>
      <c r="O321" s="133"/>
      <c r="P321" s="151" t="s">
        <v>335</v>
      </c>
      <c r="Q321" s="133"/>
      <c r="R321" s="151" t="s">
        <v>336</v>
      </c>
      <c r="S321" s="133"/>
      <c r="T321" s="151" t="s">
        <v>337</v>
      </c>
      <c r="U321" s="133"/>
      <c r="V321" s="151" t="s">
        <v>338</v>
      </c>
      <c r="W321" s="133"/>
      <c r="X321" s="152"/>
      <c r="Y321" s="136"/>
      <c r="Z321" s="18"/>
      <c r="AA321" s="85"/>
      <c r="AB321" s="85"/>
      <c r="AC321" s="18"/>
      <c r="AD321" s="18"/>
      <c r="AE321" s="18"/>
      <c r="AF321" s="18"/>
    </row>
    <row r="322" ht="16.5" customHeight="1">
      <c r="A322" s="140"/>
      <c r="B322" s="140"/>
      <c r="C322" s="140"/>
      <c r="D322" s="155"/>
      <c r="E322" s="155"/>
      <c r="F322" s="155"/>
      <c r="G322" s="155"/>
      <c r="H322" s="155"/>
      <c r="I322" s="155"/>
      <c r="J322" s="154"/>
      <c r="K322" s="155"/>
      <c r="L322" s="154"/>
      <c r="M322" s="155"/>
      <c r="N322" s="154"/>
      <c r="O322" s="155"/>
      <c r="P322" s="154"/>
      <c r="Q322" s="155"/>
      <c r="R322" s="154"/>
      <c r="S322" s="155"/>
      <c r="T322" s="154"/>
      <c r="U322" s="155"/>
      <c r="V322" s="154"/>
      <c r="W322" s="155"/>
      <c r="X322" s="156"/>
      <c r="Y322" s="145"/>
      <c r="Z322" s="18"/>
      <c r="AA322" s="85"/>
      <c r="AB322" s="85"/>
      <c r="AC322" s="18"/>
      <c r="AD322" s="18"/>
      <c r="AE322" s="18"/>
      <c r="AF322" s="18"/>
    </row>
    <row r="323" ht="16.5" customHeight="1">
      <c r="A323" s="140"/>
      <c r="B323" s="140"/>
      <c r="C323" s="140"/>
      <c r="D323" s="151" t="s">
        <v>339</v>
      </c>
      <c r="E323" s="133"/>
      <c r="F323" s="151" t="s">
        <v>340</v>
      </c>
      <c r="G323" s="133"/>
      <c r="H323" s="151" t="s">
        <v>341</v>
      </c>
      <c r="I323" s="133"/>
      <c r="J323" s="151" t="s">
        <v>342</v>
      </c>
      <c r="K323" s="133"/>
      <c r="L323" s="151" t="s">
        <v>343</v>
      </c>
      <c r="M323" s="133"/>
      <c r="N323" s="151" t="s">
        <v>344</v>
      </c>
      <c r="O323" s="133"/>
      <c r="P323" s="151" t="s">
        <v>345</v>
      </c>
      <c r="Q323" s="133"/>
      <c r="R323" s="151" t="s">
        <v>346</v>
      </c>
      <c r="S323" s="133"/>
      <c r="T323" s="151" t="s">
        <v>347</v>
      </c>
      <c r="U323" s="133"/>
      <c r="V323" s="151" t="s">
        <v>348</v>
      </c>
      <c r="W323" s="133"/>
      <c r="X323" s="152"/>
      <c r="Y323" s="145"/>
      <c r="Z323" s="18"/>
      <c r="AA323" s="85"/>
      <c r="AB323" s="85"/>
      <c r="AC323" s="18"/>
      <c r="AD323" s="18"/>
      <c r="AE323" s="18"/>
      <c r="AF323" s="18"/>
    </row>
    <row r="324" ht="16.5" customHeight="1">
      <c r="A324" s="140"/>
      <c r="B324" s="140"/>
      <c r="C324" s="140"/>
      <c r="D324" s="157"/>
      <c r="E324" s="111"/>
      <c r="F324" s="158"/>
      <c r="G324" s="111"/>
      <c r="H324" s="117"/>
      <c r="I324" s="111"/>
      <c r="J324" s="117"/>
      <c r="K324" s="111"/>
      <c r="L324" s="157"/>
      <c r="M324" s="111"/>
      <c r="N324" s="157"/>
      <c r="O324" s="111"/>
      <c r="P324" s="157"/>
      <c r="Q324" s="111"/>
      <c r="R324" s="157"/>
      <c r="S324" s="111"/>
      <c r="T324" s="157"/>
      <c r="U324" s="111"/>
      <c r="V324" s="157"/>
      <c r="W324" s="111"/>
      <c r="X324" s="156"/>
      <c r="Y324" s="145"/>
      <c r="Z324" s="18"/>
      <c r="AA324" s="85"/>
      <c r="AB324" s="85"/>
      <c r="AC324" s="18"/>
      <c r="AD324" s="18"/>
      <c r="AE324" s="18"/>
      <c r="AF324" s="18"/>
    </row>
    <row r="325" ht="18.75" customHeight="1">
      <c r="A325" s="140"/>
      <c r="B325" s="140"/>
      <c r="C325" s="140"/>
      <c r="D325" s="151" t="s">
        <v>349</v>
      </c>
      <c r="E325" s="133"/>
      <c r="F325" s="151" t="s">
        <v>350</v>
      </c>
      <c r="G325" s="133"/>
      <c r="H325" s="151" t="s">
        <v>351</v>
      </c>
      <c r="I325" s="133"/>
      <c r="J325" s="151" t="s">
        <v>352</v>
      </c>
      <c r="K325" s="133"/>
      <c r="L325" s="151" t="s">
        <v>353</v>
      </c>
      <c r="M325" s="133"/>
      <c r="N325" s="151" t="s">
        <v>354</v>
      </c>
      <c r="O325" s="133"/>
      <c r="P325" s="151" t="s">
        <v>355</v>
      </c>
      <c r="Q325" s="133"/>
      <c r="R325" s="151" t="s">
        <v>356</v>
      </c>
      <c r="S325" s="133"/>
      <c r="T325" s="151" t="s">
        <v>357</v>
      </c>
      <c r="U325" s="133"/>
      <c r="V325" s="151" t="s">
        <v>358</v>
      </c>
      <c r="W325" s="133"/>
      <c r="X325" s="152"/>
      <c r="Y325" s="136"/>
      <c r="Z325" s="18"/>
      <c r="AA325" s="85"/>
      <c r="AB325" s="85"/>
      <c r="AC325" s="18"/>
      <c r="AD325" s="18"/>
      <c r="AE325" s="18"/>
      <c r="AF325" s="18"/>
    </row>
    <row r="326" ht="16.5" customHeight="1">
      <c r="A326" s="140"/>
      <c r="B326" s="140"/>
      <c r="C326" s="140"/>
      <c r="D326" s="157"/>
      <c r="E326" s="111"/>
      <c r="F326" s="157"/>
      <c r="G326" s="111"/>
      <c r="H326" s="157"/>
      <c r="I326" s="111"/>
      <c r="J326" s="157"/>
      <c r="K326" s="111"/>
      <c r="L326" s="157"/>
      <c r="M326" s="111"/>
      <c r="N326" s="157"/>
      <c r="O326" s="111"/>
      <c r="P326" s="157"/>
      <c r="Q326" s="111"/>
      <c r="R326" s="157"/>
      <c r="S326" s="111"/>
      <c r="T326" s="157"/>
      <c r="U326" s="111"/>
      <c r="V326" s="157"/>
      <c r="W326" s="111"/>
      <c r="X326" s="159"/>
      <c r="Y326" s="136"/>
      <c r="Z326" s="18"/>
      <c r="AA326" s="85"/>
      <c r="AB326" s="85"/>
      <c r="AC326" s="18"/>
      <c r="AD326" s="18"/>
      <c r="AE326" s="18"/>
      <c r="AF326" s="18"/>
    </row>
    <row r="327" ht="18.75" customHeight="1">
      <c r="A327" s="140"/>
      <c r="B327" s="140"/>
      <c r="C327" s="140"/>
      <c r="D327" s="151" t="s">
        <v>359</v>
      </c>
      <c r="E327" s="133"/>
      <c r="F327" s="151"/>
      <c r="G327" s="133"/>
      <c r="H327" s="160"/>
      <c r="I327" s="148"/>
      <c r="J327" s="160"/>
      <c r="K327" s="148"/>
      <c r="L327" s="160"/>
      <c r="M327" s="148"/>
      <c r="N327" s="160"/>
      <c r="O327" s="148"/>
      <c r="P327" s="160"/>
      <c r="Q327" s="148"/>
      <c r="R327" s="160"/>
      <c r="S327" s="148"/>
      <c r="T327" s="160"/>
      <c r="U327" s="148"/>
      <c r="V327" s="160"/>
      <c r="W327" s="148"/>
      <c r="X327" s="148"/>
      <c r="Y327" s="136"/>
      <c r="Z327" s="18"/>
      <c r="AA327" s="85"/>
      <c r="AB327" s="85"/>
      <c r="AC327" s="18"/>
      <c r="AD327" s="18"/>
      <c r="AE327" s="18"/>
      <c r="AF327" s="18"/>
    </row>
    <row r="328" ht="15.75" customHeight="1">
      <c r="A328" s="49"/>
      <c r="B328" s="49"/>
      <c r="C328" s="49"/>
      <c r="D328" s="157"/>
      <c r="E328" s="111"/>
      <c r="F328" s="117"/>
      <c r="G328" s="111"/>
      <c r="H328" s="161"/>
      <c r="I328" s="159"/>
      <c r="J328" s="161"/>
      <c r="K328" s="159"/>
      <c r="L328" s="161"/>
      <c r="M328" s="159"/>
      <c r="N328" s="161"/>
      <c r="O328" s="159"/>
      <c r="P328" s="161"/>
      <c r="Q328" s="159"/>
      <c r="R328" s="161"/>
      <c r="S328" s="159"/>
      <c r="T328" s="161"/>
      <c r="U328" s="159"/>
      <c r="V328" s="161"/>
      <c r="W328" s="159"/>
      <c r="X328" s="162"/>
      <c r="Y328" s="136"/>
      <c r="Z328" s="18"/>
      <c r="AA328" s="85"/>
      <c r="AB328" s="85"/>
      <c r="AC328" s="18"/>
      <c r="AD328" s="18"/>
      <c r="AE328" s="18"/>
      <c r="AF328" s="18"/>
    </row>
    <row r="329" ht="15.75" customHeight="1">
      <c r="A329" s="18"/>
      <c r="B329" s="163"/>
      <c r="C329" s="164"/>
      <c r="D329" s="18"/>
      <c r="F329" s="165"/>
      <c r="G329" s="166"/>
      <c r="H329" s="165"/>
      <c r="I329" s="166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8"/>
      <c r="V329" s="18"/>
      <c r="W329" s="18"/>
      <c r="X329" s="18"/>
      <c r="Y329" s="18"/>
      <c r="Z329" s="18"/>
      <c r="AA329" s="85"/>
      <c r="AB329" s="85"/>
      <c r="AC329" s="18"/>
      <c r="AD329" s="18"/>
      <c r="AE329" s="18"/>
      <c r="AF329" s="18"/>
    </row>
    <row r="330" ht="15.75" customHeight="1">
      <c r="A330" s="18"/>
      <c r="B330" s="163"/>
      <c r="C330" s="164"/>
      <c r="D330" s="167"/>
      <c r="E330" s="168"/>
      <c r="F330" s="169"/>
      <c r="G330" s="169"/>
      <c r="H330" s="169"/>
      <c r="I330" s="169"/>
      <c r="J330" s="169"/>
      <c r="K330" s="169"/>
      <c r="L330" s="18"/>
      <c r="M330" s="18"/>
      <c r="N330" s="18"/>
      <c r="O330" s="18"/>
      <c r="P330" s="18"/>
      <c r="Q330" s="18"/>
      <c r="R330" s="18"/>
      <c r="S330" s="18"/>
      <c r="T330" s="18"/>
      <c r="U330" s="18"/>
      <c r="V330" s="18"/>
      <c r="W330" s="18"/>
      <c r="X330" s="18"/>
      <c r="Y330" s="18"/>
      <c r="Z330" s="18"/>
      <c r="AA330" s="85"/>
      <c r="AB330" s="85"/>
      <c r="AC330" s="18"/>
      <c r="AD330" s="18"/>
      <c r="AE330" s="18"/>
      <c r="AF330" s="18"/>
    </row>
    <row r="331" ht="15.75" customHeight="1">
      <c r="A331" s="170"/>
      <c r="B331" s="171"/>
      <c r="C331" s="172"/>
      <c r="D331" s="173" t="s">
        <v>18</v>
      </c>
      <c r="E331" s="172"/>
      <c r="F331" s="174" t="s">
        <v>360</v>
      </c>
      <c r="G331" s="172"/>
      <c r="H331" s="174" t="s">
        <v>159</v>
      </c>
      <c r="I331" s="175"/>
      <c r="J331" s="175"/>
      <c r="K331" s="175"/>
      <c r="L331" s="175"/>
      <c r="M331" s="175"/>
      <c r="N331" s="175"/>
      <c r="O331" s="172"/>
      <c r="P331" s="174" t="s">
        <v>277</v>
      </c>
      <c r="Q331" s="172"/>
      <c r="R331" s="174" t="s">
        <v>361</v>
      </c>
      <c r="S331" s="172"/>
      <c r="T331" s="18" t="s">
        <v>0</v>
      </c>
      <c r="U331" s="18" t="s">
        <v>362</v>
      </c>
      <c r="V331" s="18" t="s">
        <v>2</v>
      </c>
      <c r="W331" s="18" t="s">
        <v>363</v>
      </c>
      <c r="X331" s="18" t="s">
        <v>4</v>
      </c>
      <c r="Y331" s="18" t="s">
        <v>364</v>
      </c>
      <c r="Z331" s="18"/>
      <c r="AA331" s="85"/>
      <c r="AB331" s="85"/>
      <c r="AC331" s="18"/>
      <c r="AD331" s="18"/>
      <c r="AE331" s="18"/>
      <c r="AF331" s="18"/>
    </row>
    <row r="332" ht="15.75" customHeight="1">
      <c r="A332" s="176">
        <v>1.0</v>
      </c>
      <c r="B332" s="177" t="s">
        <v>365</v>
      </c>
      <c r="C332" s="178"/>
      <c r="D332" s="179" t="str">
        <f t="shared" ref="D332:D338" si="1">REPT("|",T332)</f>
        <v/>
      </c>
      <c r="E332" s="180"/>
      <c r="F332" s="181" t="str">
        <f t="shared" ref="F332:F338" si="2">REPT("|",U332)</f>
        <v/>
      </c>
      <c r="G332" s="182"/>
      <c r="H332" s="179" t="str">
        <f t="shared" ref="H332:H338" si="3">REPT("|",V332)</f>
        <v/>
      </c>
      <c r="I332" s="183"/>
      <c r="J332" s="183"/>
      <c r="K332" s="183"/>
      <c r="L332" s="183"/>
      <c r="M332" s="184"/>
      <c r="N332" s="185"/>
      <c r="O332" s="180"/>
      <c r="P332" s="179" t="str">
        <f t="shared" ref="P332:P338" si="4">REPT("|",W332)</f>
        <v/>
      </c>
      <c r="Q332" s="186"/>
      <c r="R332" s="179" t="str">
        <f t="shared" ref="R332:R338" si="5">REPT("|",X332)</f>
        <v/>
      </c>
      <c r="S332" s="186"/>
      <c r="T332" s="187">
        <f>COUNTIF('Таблиця'!$D$10:$Y$101,1)</f>
        <v>0</v>
      </c>
      <c r="U332" s="187">
        <f>COUNTIF('Таблиця'!$D$106:$Y$167,1)</f>
        <v>0</v>
      </c>
      <c r="V332" s="187">
        <f>COUNTIF('Таблиця'!$D$172:$Y$302,1)</f>
        <v>0</v>
      </c>
      <c r="W332" s="187">
        <f>COUNTIF('Таблиця'!$D$306:$Y$316,1)</f>
        <v>0</v>
      </c>
      <c r="X332" s="187">
        <f>COUNTIF('Таблиця'!$D$320:$Y$328,1)</f>
        <v>0</v>
      </c>
      <c r="Y332" s="188">
        <f t="shared" ref="Y332:Y338" si="6">SUM(T332:X332)</f>
        <v>0</v>
      </c>
      <c r="Z332" s="18"/>
      <c r="AA332" s="85"/>
      <c r="AB332" s="85"/>
      <c r="AC332" s="18"/>
      <c r="AD332" s="18"/>
      <c r="AE332" s="18"/>
      <c r="AF332" s="18"/>
    </row>
    <row r="333" ht="15.75" customHeight="1">
      <c r="A333" s="189">
        <v>2.0</v>
      </c>
      <c r="B333" s="190" t="s">
        <v>366</v>
      </c>
      <c r="C333" s="191"/>
      <c r="D333" s="192" t="str">
        <f t="shared" si="1"/>
        <v/>
      </c>
      <c r="E333" s="193"/>
      <c r="F333" s="192" t="str">
        <f t="shared" si="2"/>
        <v/>
      </c>
      <c r="G333" s="193"/>
      <c r="H333" s="192" t="str">
        <f t="shared" si="3"/>
        <v/>
      </c>
      <c r="I333" s="194"/>
      <c r="J333" s="194"/>
      <c r="K333" s="195"/>
      <c r="L333" s="194"/>
      <c r="M333" s="194"/>
      <c r="N333" s="194"/>
      <c r="O333" s="193"/>
      <c r="P333" s="192" t="str">
        <f t="shared" si="4"/>
        <v/>
      </c>
      <c r="Q333" s="196"/>
      <c r="R333" s="192" t="str">
        <f t="shared" si="5"/>
        <v/>
      </c>
      <c r="S333" s="196"/>
      <c r="T333" s="187">
        <f>COUNTIF('Таблиця'!$D$10:$Y$101,2)</f>
        <v>0</v>
      </c>
      <c r="U333" s="187">
        <f>COUNTIF('Таблиця'!$D$106:$Y$167,2)</f>
        <v>0</v>
      </c>
      <c r="V333" s="187">
        <f>COUNTIF('Таблиця'!$D$172:$Y$302,2)</f>
        <v>0</v>
      </c>
      <c r="W333" s="187">
        <f>COUNTIF('Таблиця'!$D$306:$Y$316,2)</f>
        <v>0</v>
      </c>
      <c r="X333" s="187">
        <f>COUNTIF('Таблиця'!$D$320:$Y$328,2)</f>
        <v>0</v>
      </c>
      <c r="Y333" s="188">
        <f t="shared" si="6"/>
        <v>0</v>
      </c>
      <c r="Z333" s="18"/>
      <c r="AA333" s="85"/>
      <c r="AB333" s="85"/>
      <c r="AC333" s="18"/>
      <c r="AD333" s="18"/>
      <c r="AE333" s="18"/>
      <c r="AF333" s="18"/>
    </row>
    <row r="334" ht="15.75" customHeight="1">
      <c r="A334" s="189">
        <v>3.0</v>
      </c>
      <c r="B334" s="190" t="s">
        <v>367</v>
      </c>
      <c r="C334" s="197"/>
      <c r="D334" s="198" t="str">
        <f t="shared" si="1"/>
        <v/>
      </c>
      <c r="E334" s="191"/>
      <c r="F334" s="198" t="str">
        <f t="shared" si="2"/>
        <v/>
      </c>
      <c r="G334" s="191"/>
      <c r="H334" s="198" t="str">
        <f t="shared" si="3"/>
        <v/>
      </c>
      <c r="I334" s="199"/>
      <c r="J334" s="195"/>
      <c r="K334" s="195"/>
      <c r="L334" s="199"/>
      <c r="M334" s="194"/>
      <c r="N334" s="194"/>
      <c r="O334" s="193"/>
      <c r="P334" s="192" t="str">
        <f t="shared" si="4"/>
        <v/>
      </c>
      <c r="Q334" s="196"/>
      <c r="R334" s="192" t="str">
        <f t="shared" si="5"/>
        <v/>
      </c>
      <c r="S334" s="196"/>
      <c r="T334" s="187">
        <f>COUNTIF('Таблиця'!$D$10:$Y$101,3)</f>
        <v>0</v>
      </c>
      <c r="U334" s="187">
        <f>COUNTIF('Таблиця'!$D$106:$Y$167,3)</f>
        <v>0</v>
      </c>
      <c r="V334" s="187">
        <f>COUNTIF('Таблиця'!$D$172:$Y$302,3)</f>
        <v>0</v>
      </c>
      <c r="W334" s="187">
        <f>COUNTIF('Таблиця'!$D$306:$Y$316,3)</f>
        <v>0</v>
      </c>
      <c r="X334" s="187">
        <f>COUNTIF('Таблиця'!$D$320:$Y$328,3)</f>
        <v>0</v>
      </c>
      <c r="Y334" s="188">
        <f t="shared" si="6"/>
        <v>0</v>
      </c>
      <c r="Z334" s="18"/>
      <c r="AA334" s="85"/>
      <c r="AB334" s="85"/>
      <c r="AC334" s="18"/>
      <c r="AD334" s="18"/>
      <c r="AE334" s="18"/>
      <c r="AF334" s="18"/>
    </row>
    <row r="335" ht="15.75" customHeight="1">
      <c r="A335" s="189">
        <v>4.0</v>
      </c>
      <c r="B335" s="200" t="s">
        <v>368</v>
      </c>
      <c r="C335" s="193"/>
      <c r="D335" s="192" t="str">
        <f t="shared" si="1"/>
        <v/>
      </c>
      <c r="E335" s="193"/>
      <c r="F335" s="192" t="str">
        <f t="shared" si="2"/>
        <v/>
      </c>
      <c r="G335" s="193"/>
      <c r="H335" s="192" t="str">
        <f t="shared" si="3"/>
        <v/>
      </c>
      <c r="I335" s="195"/>
      <c r="J335" s="199"/>
      <c r="K335" s="194"/>
      <c r="L335" s="194"/>
      <c r="M335" s="194"/>
      <c r="N335" s="194"/>
      <c r="O335" s="193"/>
      <c r="P335" s="198" t="str">
        <f t="shared" si="4"/>
        <v/>
      </c>
      <c r="Q335" s="201"/>
      <c r="R335" s="192" t="str">
        <f t="shared" si="5"/>
        <v/>
      </c>
      <c r="S335" s="196"/>
      <c r="T335" s="187">
        <f>COUNTIF('Таблиця'!$D$10:$Y$101,4)</f>
        <v>0</v>
      </c>
      <c r="U335" s="187">
        <f>COUNTIF('Таблиця'!$D$106:$Y$167,4)</f>
        <v>0</v>
      </c>
      <c r="V335" s="187">
        <f>COUNTIF('Таблиця'!$D$172:$Y$302,4)</f>
        <v>0</v>
      </c>
      <c r="W335" s="187">
        <f>COUNTIF('Таблиця'!$D$306:$Y$316,4)</f>
        <v>0</v>
      </c>
      <c r="X335" s="187">
        <f>COUNTIF('Таблиця'!$D$320:$Y$328,4)</f>
        <v>0</v>
      </c>
      <c r="Y335" s="188">
        <f t="shared" si="6"/>
        <v>0</v>
      </c>
      <c r="Z335" s="18"/>
      <c r="AA335" s="85"/>
      <c r="AB335" s="85"/>
      <c r="AC335" s="18"/>
      <c r="AD335" s="18"/>
      <c r="AE335" s="18"/>
      <c r="AF335" s="18"/>
    </row>
    <row r="336" ht="15.75" customHeight="1">
      <c r="A336" s="189">
        <v>5.0</v>
      </c>
      <c r="B336" s="200" t="s">
        <v>369</v>
      </c>
      <c r="C336" s="193"/>
      <c r="D336" s="192" t="str">
        <f t="shared" si="1"/>
        <v/>
      </c>
      <c r="E336" s="193"/>
      <c r="F336" s="192" t="str">
        <f t="shared" si="2"/>
        <v/>
      </c>
      <c r="G336" s="193"/>
      <c r="H336" s="192" t="str">
        <f t="shared" si="3"/>
        <v/>
      </c>
      <c r="I336" s="194"/>
      <c r="J336" s="194"/>
      <c r="K336" s="194"/>
      <c r="L336" s="194"/>
      <c r="M336" s="194"/>
      <c r="N336" s="194"/>
      <c r="O336" s="193"/>
      <c r="P336" s="198" t="str">
        <f t="shared" si="4"/>
        <v/>
      </c>
      <c r="Q336" s="201"/>
      <c r="R336" s="192" t="str">
        <f t="shared" si="5"/>
        <v/>
      </c>
      <c r="S336" s="196"/>
      <c r="T336" s="187">
        <f>COUNTIF('Таблиця'!$D$10:$Y$101,5)</f>
        <v>0</v>
      </c>
      <c r="U336" s="187">
        <f>COUNTIF('Таблиця'!$D$106:$Y$167,5)</f>
        <v>0</v>
      </c>
      <c r="V336" s="187">
        <f>COUNTIF('Таблиця'!$D$172:$Y$302,5)</f>
        <v>0</v>
      </c>
      <c r="W336" s="187">
        <f>COUNTIF('Таблиця'!$D$306:$Y$316,5)</f>
        <v>0</v>
      </c>
      <c r="X336" s="187">
        <f>COUNTIF('Таблиця'!$D$320:$Y$328,5)</f>
        <v>0</v>
      </c>
      <c r="Y336" s="188">
        <f t="shared" si="6"/>
        <v>0</v>
      </c>
      <c r="Z336" s="18"/>
      <c r="AA336" s="85"/>
      <c r="AB336" s="85"/>
      <c r="AC336" s="18"/>
      <c r="AD336" s="18"/>
      <c r="AE336" s="18"/>
      <c r="AF336" s="18"/>
    </row>
    <row r="337" ht="15.75" customHeight="1">
      <c r="A337" s="189">
        <v>6.0</v>
      </c>
      <c r="B337" s="200" t="s">
        <v>370</v>
      </c>
      <c r="C337" s="193"/>
      <c r="D337" s="198" t="str">
        <f t="shared" si="1"/>
        <v/>
      </c>
      <c r="E337" s="191"/>
      <c r="F337" s="192" t="str">
        <f t="shared" si="2"/>
        <v/>
      </c>
      <c r="G337" s="193"/>
      <c r="H337" s="192" t="str">
        <f t="shared" si="3"/>
        <v/>
      </c>
      <c r="I337" s="195"/>
      <c r="J337" s="195"/>
      <c r="K337" s="195"/>
      <c r="L337" s="199"/>
      <c r="M337" s="194"/>
      <c r="N337" s="194"/>
      <c r="O337" s="193"/>
      <c r="P337" s="198" t="str">
        <f t="shared" si="4"/>
        <v/>
      </c>
      <c r="Q337" s="201"/>
      <c r="R337" s="192" t="str">
        <f t="shared" si="5"/>
        <v/>
      </c>
      <c r="S337" s="196"/>
      <c r="T337" s="187">
        <f>COUNTIF('Таблиця'!$D$10:$Y$101,6)</f>
        <v>0</v>
      </c>
      <c r="U337" s="187">
        <f>COUNTIF('Таблиця'!$D$106:$Y$167,6)</f>
        <v>0</v>
      </c>
      <c r="V337" s="187">
        <f>COUNTIF('Таблиця'!$D$172:$Y$302,6)</f>
        <v>0</v>
      </c>
      <c r="W337" s="187">
        <f>COUNTIF('Таблиця'!$D$306:$Y$316,6)</f>
        <v>0</v>
      </c>
      <c r="X337" s="187">
        <f>COUNTIF('Таблиця'!$D$320:$Y$328,6)</f>
        <v>0</v>
      </c>
      <c r="Y337" s="188">
        <f t="shared" si="6"/>
        <v>0</v>
      </c>
      <c r="Z337" s="18"/>
      <c r="AA337" s="85"/>
      <c r="AB337" s="85"/>
      <c r="AC337" s="18"/>
      <c r="AD337" s="18"/>
      <c r="AE337" s="18"/>
      <c r="AF337" s="18"/>
    </row>
    <row r="338" ht="15.75" customHeight="1">
      <c r="A338" s="189">
        <v>7.0</v>
      </c>
      <c r="B338" s="200" t="s">
        <v>371</v>
      </c>
      <c r="C338" s="193"/>
      <c r="D338" s="192" t="str">
        <f t="shared" si="1"/>
        <v/>
      </c>
      <c r="E338" s="193"/>
      <c r="F338" s="192" t="str">
        <f t="shared" si="2"/>
        <v/>
      </c>
      <c r="G338" s="193"/>
      <c r="H338" s="192" t="str">
        <f t="shared" si="3"/>
        <v/>
      </c>
      <c r="I338" s="194"/>
      <c r="J338" s="194"/>
      <c r="K338" s="194"/>
      <c r="L338" s="194"/>
      <c r="M338" s="194"/>
      <c r="N338" s="195"/>
      <c r="O338" s="191"/>
      <c r="P338" s="192" t="str">
        <f t="shared" si="4"/>
        <v/>
      </c>
      <c r="Q338" s="196"/>
      <c r="R338" s="192" t="str">
        <f t="shared" si="5"/>
        <v/>
      </c>
      <c r="S338" s="196"/>
      <c r="T338" s="187">
        <f>COUNTIF('Таблиця'!$D$10:$Y$101,7)</f>
        <v>0</v>
      </c>
      <c r="U338" s="187">
        <f>COUNTIF('Таблиця'!$D$106:$Y$167,7)</f>
        <v>0</v>
      </c>
      <c r="V338" s="187">
        <f>COUNTIF('Таблиця'!$D$172:$Y$302,7)</f>
        <v>0</v>
      </c>
      <c r="W338" s="187">
        <f>COUNTIF('Таблиця'!$D$306:$Y$316,7)</f>
        <v>0</v>
      </c>
      <c r="X338" s="187">
        <f>COUNTIF('Таблиця'!$D$320:$Y$328,7)</f>
        <v>0</v>
      </c>
      <c r="Y338" s="188">
        <f t="shared" si="6"/>
        <v>0</v>
      </c>
      <c r="Z338" s="18"/>
      <c r="AA338" s="85"/>
      <c r="AB338" s="85"/>
      <c r="AC338" s="18"/>
      <c r="AD338" s="18"/>
      <c r="AE338" s="18"/>
      <c r="AF338" s="18"/>
    </row>
    <row r="339" ht="15.75" customHeight="1">
      <c r="C339" s="202"/>
      <c r="H339" s="18"/>
      <c r="I339" s="18"/>
      <c r="J339" s="18"/>
      <c r="K339" s="18"/>
      <c r="L339" s="18"/>
      <c r="S339" s="18"/>
      <c r="T339" s="203">
        <f t="shared" ref="T339:Y339" si="7">SUM(T332:T338)</f>
        <v>0</v>
      </c>
      <c r="U339" s="203">
        <f t="shared" si="7"/>
        <v>0</v>
      </c>
      <c r="V339" s="203">
        <f t="shared" si="7"/>
        <v>0</v>
      </c>
      <c r="W339" s="203">
        <f t="shared" si="7"/>
        <v>0</v>
      </c>
      <c r="X339" s="203">
        <f t="shared" si="7"/>
        <v>0</v>
      </c>
      <c r="Y339" s="18">
        <f t="shared" si="7"/>
        <v>0</v>
      </c>
      <c r="Z339" s="18"/>
      <c r="AA339" s="85"/>
      <c r="AB339" s="85"/>
      <c r="AC339" s="18"/>
      <c r="AD339" s="18"/>
      <c r="AE339" s="18"/>
      <c r="AF339" s="18"/>
    </row>
    <row r="340" ht="15.75" customHeight="1">
      <c r="A340" s="204"/>
      <c r="B340" s="203"/>
      <c r="C340" s="205"/>
      <c r="D340" s="204"/>
      <c r="E340" s="204"/>
      <c r="F340" s="204"/>
      <c r="G340" s="204"/>
      <c r="H340" s="206"/>
      <c r="I340" s="206"/>
      <c r="J340" s="206"/>
      <c r="K340" s="206"/>
      <c r="L340" s="206"/>
      <c r="M340" s="206"/>
      <c r="N340" s="206"/>
      <c r="O340" s="206"/>
      <c r="P340" s="206"/>
      <c r="Q340" s="206"/>
      <c r="R340" s="206"/>
      <c r="T340" s="207"/>
      <c r="W340" s="208"/>
      <c r="X340" s="209">
        <f>IF(P320&lt;&gt;"", Y339+30, Y339)</f>
        <v>0</v>
      </c>
      <c r="AA340" s="210">
        <v>45908.0</v>
      </c>
      <c r="AB340" s="208">
        <f t="shared" ref="AB340:AB402" si="8">COUNTIF($D$10:$Y$328,AA340)</f>
        <v>0</v>
      </c>
      <c r="AC340" s="18"/>
      <c r="AD340" s="18"/>
      <c r="AE340" s="18"/>
      <c r="AF340" s="18"/>
    </row>
    <row r="341" ht="15.75" customHeight="1">
      <c r="A341" s="204"/>
      <c r="B341" s="203"/>
      <c r="C341" s="211"/>
      <c r="D341" s="211"/>
      <c r="E341" s="211"/>
      <c r="F341" s="211"/>
      <c r="G341" s="211"/>
      <c r="H341" s="208"/>
      <c r="I341" s="208"/>
      <c r="J341" s="208"/>
      <c r="K341" s="208"/>
      <c r="L341" s="208"/>
      <c r="M341" s="206"/>
      <c r="N341" s="206"/>
      <c r="O341" s="206"/>
      <c r="P341" s="206"/>
      <c r="Q341" s="206"/>
      <c r="R341" s="206"/>
      <c r="T341" s="207"/>
      <c r="W341" s="208"/>
      <c r="X341" s="208"/>
      <c r="Y341" s="18"/>
      <c r="AA341" s="210">
        <v>45909.0</v>
      </c>
      <c r="AB341" s="208">
        <f t="shared" si="8"/>
        <v>0</v>
      </c>
      <c r="AC341" s="18"/>
      <c r="AD341" s="18"/>
      <c r="AE341" s="18"/>
      <c r="AF341" s="18"/>
    </row>
    <row r="342" ht="15.75" customHeight="1">
      <c r="A342" s="204"/>
      <c r="B342" s="203"/>
      <c r="C342" s="211"/>
      <c r="D342" s="211"/>
      <c r="E342" s="211"/>
      <c r="F342" s="211"/>
      <c r="G342" s="211"/>
      <c r="H342" s="208"/>
      <c r="I342" s="208"/>
      <c r="J342" s="208"/>
      <c r="K342" s="208"/>
      <c r="L342" s="208"/>
      <c r="M342" s="206"/>
      <c r="N342" s="206"/>
      <c r="O342" s="206"/>
      <c r="P342" s="206"/>
      <c r="Q342" s="206"/>
      <c r="R342" s="206"/>
      <c r="T342" s="207"/>
      <c r="W342" s="208"/>
      <c r="X342" s="208"/>
      <c r="AA342" s="210">
        <v>45910.0</v>
      </c>
      <c r="AB342" s="208">
        <f t="shared" si="8"/>
        <v>0</v>
      </c>
      <c r="AC342" s="18"/>
      <c r="AD342" s="18"/>
      <c r="AE342" s="18"/>
      <c r="AF342" s="18"/>
    </row>
    <row r="343" ht="15.75" customHeight="1">
      <c r="A343" s="204"/>
      <c r="B343" s="203"/>
      <c r="C343" s="211"/>
      <c r="D343" s="211"/>
      <c r="E343" s="211"/>
      <c r="F343" s="211"/>
      <c r="G343" s="211"/>
      <c r="H343" s="208"/>
      <c r="I343" s="208"/>
      <c r="J343" s="208"/>
      <c r="K343" s="208"/>
      <c r="L343" s="208"/>
      <c r="M343" s="206"/>
      <c r="N343" s="206"/>
      <c r="O343" s="206"/>
      <c r="P343" s="206"/>
      <c r="Q343" s="206"/>
      <c r="R343" s="206"/>
      <c r="T343" s="207"/>
      <c r="W343" s="208"/>
      <c r="X343" s="208"/>
      <c r="AA343" s="210">
        <v>45911.0</v>
      </c>
      <c r="AB343" s="208">
        <f t="shared" si="8"/>
        <v>0</v>
      </c>
      <c r="AC343" s="18"/>
      <c r="AD343" s="18"/>
      <c r="AE343" s="18"/>
      <c r="AF343" s="18"/>
    </row>
    <row r="344" ht="15.75" customHeight="1">
      <c r="A344" s="204"/>
      <c r="B344" s="203"/>
      <c r="C344" s="211"/>
      <c r="D344" s="211"/>
      <c r="E344" s="211"/>
      <c r="F344" s="211"/>
      <c r="G344" s="211"/>
      <c r="H344" s="208"/>
      <c r="I344" s="208"/>
      <c r="J344" s="208"/>
      <c r="K344" s="208"/>
      <c r="L344" s="208"/>
      <c r="M344" s="206"/>
      <c r="N344" s="206"/>
      <c r="O344" s="206"/>
      <c r="P344" s="206"/>
      <c r="Q344" s="206"/>
      <c r="R344" s="206"/>
      <c r="T344" s="207"/>
      <c r="W344" s="208"/>
      <c r="X344" s="208"/>
      <c r="AA344" s="210">
        <v>45912.0</v>
      </c>
      <c r="AB344" s="208">
        <f t="shared" si="8"/>
        <v>0</v>
      </c>
      <c r="AC344" s="18"/>
      <c r="AD344" s="18"/>
      <c r="AE344" s="18"/>
      <c r="AF344" s="18"/>
    </row>
    <row r="345" ht="15.75" customHeight="1">
      <c r="A345" s="204"/>
      <c r="B345" s="203"/>
      <c r="C345" s="211"/>
      <c r="D345" s="211"/>
      <c r="E345" s="211"/>
      <c r="F345" s="211"/>
      <c r="G345" s="211"/>
      <c r="H345" s="208"/>
      <c r="I345" s="208"/>
      <c r="J345" s="208"/>
      <c r="K345" s="208"/>
      <c r="L345" s="208"/>
      <c r="M345" s="206"/>
      <c r="N345" s="206"/>
      <c r="O345" s="206"/>
      <c r="P345" s="206"/>
      <c r="Q345" s="206"/>
      <c r="R345" s="206"/>
      <c r="T345" s="207"/>
      <c r="W345" s="208"/>
      <c r="X345" s="208"/>
      <c r="AA345" s="210">
        <v>45913.0</v>
      </c>
      <c r="AB345" s="208">
        <f t="shared" si="8"/>
        <v>0</v>
      </c>
      <c r="AC345" s="18"/>
      <c r="AD345" s="18"/>
      <c r="AE345" s="18"/>
      <c r="AF345" s="18"/>
    </row>
    <row r="346" ht="15.75" customHeight="1">
      <c r="A346" s="204"/>
      <c r="B346" s="203"/>
      <c r="C346" s="211"/>
      <c r="D346" s="211"/>
      <c r="E346" s="211"/>
      <c r="F346" s="211"/>
      <c r="G346" s="211"/>
      <c r="H346" s="208"/>
      <c r="I346" s="208"/>
      <c r="J346" s="208"/>
      <c r="K346" s="208"/>
      <c r="L346" s="208"/>
      <c r="M346" s="206"/>
      <c r="N346" s="206"/>
      <c r="O346" s="206"/>
      <c r="P346" s="206"/>
      <c r="Q346" s="206"/>
      <c r="R346" s="206"/>
      <c r="T346" s="207"/>
      <c r="W346" s="208"/>
      <c r="X346" s="208"/>
      <c r="AA346" s="210">
        <v>45914.0</v>
      </c>
      <c r="AB346" s="208">
        <f t="shared" si="8"/>
        <v>0</v>
      </c>
      <c r="AC346" s="18"/>
      <c r="AD346" s="18"/>
      <c r="AE346" s="18"/>
      <c r="AF346" s="18"/>
    </row>
    <row r="347" ht="15.75" customHeight="1">
      <c r="A347" s="204"/>
      <c r="B347" s="203"/>
      <c r="C347" s="211"/>
      <c r="D347" s="211"/>
      <c r="E347" s="211"/>
      <c r="F347" s="211"/>
      <c r="G347" s="211"/>
      <c r="H347" s="208"/>
      <c r="I347" s="208"/>
      <c r="J347" s="208"/>
      <c r="K347" s="208"/>
      <c r="L347" s="208"/>
      <c r="M347" s="206"/>
      <c r="N347" s="206"/>
      <c r="O347" s="206"/>
      <c r="P347" s="206"/>
      <c r="Q347" s="206"/>
      <c r="R347" s="206"/>
      <c r="T347" s="207"/>
      <c r="W347" s="208"/>
      <c r="X347" s="208"/>
      <c r="AA347" s="210">
        <v>45915.0</v>
      </c>
      <c r="AB347" s="208">
        <f t="shared" si="8"/>
        <v>0</v>
      </c>
      <c r="AC347" s="18"/>
      <c r="AD347" s="18"/>
      <c r="AE347" s="18"/>
      <c r="AF347" s="18"/>
    </row>
    <row r="348" ht="15.75" customHeight="1">
      <c r="A348" s="206"/>
      <c r="B348" s="206"/>
      <c r="C348" s="206"/>
      <c r="D348" s="206"/>
      <c r="E348" s="206"/>
      <c r="F348" s="206"/>
      <c r="G348" s="206"/>
      <c r="H348" s="206"/>
      <c r="I348" s="206"/>
      <c r="J348" s="206"/>
      <c r="K348" s="206"/>
      <c r="L348" s="206"/>
      <c r="M348" s="206"/>
      <c r="N348" s="206"/>
      <c r="O348" s="206"/>
      <c r="P348" s="206"/>
      <c r="Q348" s="206"/>
      <c r="R348" s="206"/>
      <c r="T348" s="207"/>
      <c r="W348" s="208"/>
      <c r="X348" s="208"/>
      <c r="AA348" s="210">
        <v>45916.0</v>
      </c>
      <c r="AB348" s="208">
        <f t="shared" si="8"/>
        <v>0</v>
      </c>
      <c r="AC348" s="18"/>
      <c r="AD348" s="18"/>
      <c r="AE348" s="18"/>
      <c r="AF348" s="18"/>
    </row>
    <row r="349" ht="15.75" customHeight="1">
      <c r="T349" s="207"/>
      <c r="W349" s="208"/>
      <c r="X349" s="208"/>
      <c r="AA349" s="210">
        <v>45917.0</v>
      </c>
      <c r="AB349" s="208">
        <f t="shared" si="8"/>
        <v>0</v>
      </c>
      <c r="AC349" s="18"/>
      <c r="AD349" s="18"/>
      <c r="AE349" s="18"/>
      <c r="AF349" s="18"/>
    </row>
    <row r="350" ht="15.75" customHeight="1">
      <c r="T350" s="207"/>
      <c r="W350" s="208"/>
      <c r="X350" s="208"/>
      <c r="AA350" s="210">
        <v>45918.0</v>
      </c>
      <c r="AB350" s="208">
        <f t="shared" si="8"/>
        <v>0</v>
      </c>
      <c r="AC350" s="18"/>
      <c r="AD350" s="18"/>
      <c r="AE350" s="18"/>
      <c r="AF350" s="18"/>
    </row>
    <row r="351" ht="15.75" customHeight="1">
      <c r="T351" s="207"/>
      <c r="W351" s="208"/>
      <c r="X351" s="208"/>
      <c r="AA351" s="210">
        <v>45919.0</v>
      </c>
      <c r="AB351" s="208">
        <f t="shared" si="8"/>
        <v>0</v>
      </c>
      <c r="AC351" s="18"/>
      <c r="AD351" s="18"/>
      <c r="AE351" s="18"/>
      <c r="AF351" s="18"/>
    </row>
    <row r="352" ht="15.75" customHeight="1">
      <c r="T352" s="207"/>
      <c r="W352" s="208"/>
      <c r="X352" s="208"/>
      <c r="AA352" s="210">
        <v>45920.0</v>
      </c>
      <c r="AB352" s="208">
        <f t="shared" si="8"/>
        <v>0</v>
      </c>
      <c r="AC352" s="18"/>
      <c r="AD352" s="18"/>
      <c r="AE352" s="18"/>
      <c r="AF352" s="18"/>
    </row>
    <row r="353" ht="15.75" customHeight="1">
      <c r="T353" s="207"/>
      <c r="W353" s="208"/>
      <c r="X353" s="208"/>
      <c r="AA353" s="210">
        <v>45921.0</v>
      </c>
      <c r="AB353" s="208">
        <f t="shared" si="8"/>
        <v>0</v>
      </c>
      <c r="AC353" s="18"/>
      <c r="AD353" s="18"/>
      <c r="AE353" s="18"/>
      <c r="AF353" s="18"/>
    </row>
    <row r="354" ht="15.75" customHeight="1">
      <c r="T354" s="207"/>
      <c r="W354" s="208"/>
      <c r="X354" s="208"/>
      <c r="AA354" s="210">
        <v>45922.0</v>
      </c>
      <c r="AB354" s="208">
        <f t="shared" si="8"/>
        <v>0</v>
      </c>
      <c r="AC354" s="18"/>
      <c r="AD354" s="18"/>
      <c r="AE354" s="18"/>
      <c r="AF354" s="18"/>
    </row>
    <row r="355" ht="15.75" customHeight="1">
      <c r="T355" s="207"/>
      <c r="W355" s="208"/>
      <c r="X355" s="208"/>
      <c r="AA355" s="210">
        <v>45923.0</v>
      </c>
      <c r="AB355" s="208">
        <f t="shared" si="8"/>
        <v>0</v>
      </c>
      <c r="AC355" s="18"/>
      <c r="AD355" s="18"/>
      <c r="AE355" s="18"/>
      <c r="AF355" s="18"/>
    </row>
    <row r="356" ht="15.75" customHeight="1">
      <c r="T356" s="207"/>
      <c r="W356" s="208"/>
      <c r="X356" s="208"/>
      <c r="AA356" s="210">
        <v>45924.0</v>
      </c>
      <c r="AB356" s="208">
        <f t="shared" si="8"/>
        <v>0</v>
      </c>
      <c r="AC356" s="18"/>
      <c r="AD356" s="18"/>
      <c r="AE356" s="18"/>
      <c r="AF356" s="18"/>
    </row>
    <row r="357" ht="15.75" customHeight="1">
      <c r="T357" s="207"/>
      <c r="W357" s="208"/>
      <c r="X357" s="208"/>
      <c r="AA357" s="210">
        <v>45925.0</v>
      </c>
      <c r="AB357" s="208">
        <f t="shared" si="8"/>
        <v>0</v>
      </c>
      <c r="AC357" s="18"/>
      <c r="AD357" s="18"/>
      <c r="AE357" s="18"/>
      <c r="AF357" s="18"/>
    </row>
    <row r="358" ht="15.75" customHeight="1">
      <c r="T358" s="207"/>
      <c r="W358" s="208"/>
      <c r="X358" s="208"/>
      <c r="AA358" s="210">
        <v>45926.0</v>
      </c>
      <c r="AB358" s="208">
        <f t="shared" si="8"/>
        <v>0</v>
      </c>
      <c r="AC358" s="18"/>
      <c r="AD358" s="18"/>
      <c r="AE358" s="18"/>
      <c r="AF358" s="18"/>
    </row>
    <row r="359" ht="15.75" customHeight="1">
      <c r="T359" s="207"/>
      <c r="W359" s="208"/>
      <c r="X359" s="208"/>
      <c r="AA359" s="210">
        <v>45927.0</v>
      </c>
      <c r="AB359" s="208">
        <f t="shared" si="8"/>
        <v>0</v>
      </c>
      <c r="AC359" s="18"/>
      <c r="AD359" s="18"/>
      <c r="AE359" s="18"/>
      <c r="AF359" s="18"/>
    </row>
    <row r="360" ht="15.75" customHeight="1">
      <c r="T360" s="207"/>
      <c r="W360" s="208"/>
      <c r="X360" s="208"/>
      <c r="AA360" s="210">
        <v>45928.0</v>
      </c>
      <c r="AB360" s="208">
        <f t="shared" si="8"/>
        <v>0</v>
      </c>
      <c r="AC360" s="18"/>
      <c r="AD360" s="18"/>
      <c r="AE360" s="18"/>
      <c r="AF360" s="18"/>
    </row>
    <row r="361" ht="15.75" customHeight="1">
      <c r="T361" s="207"/>
      <c r="W361" s="208"/>
      <c r="X361" s="208"/>
      <c r="AA361" s="210">
        <v>45929.0</v>
      </c>
      <c r="AB361" s="208">
        <f t="shared" si="8"/>
        <v>0</v>
      </c>
      <c r="AC361" s="18"/>
      <c r="AD361" s="18"/>
      <c r="AE361" s="18"/>
      <c r="AF361" s="18"/>
    </row>
    <row r="362" ht="15.75" customHeight="1">
      <c r="T362" s="207"/>
      <c r="W362" s="208"/>
      <c r="X362" s="208"/>
      <c r="AA362" s="210">
        <v>45930.0</v>
      </c>
      <c r="AB362" s="208">
        <f t="shared" si="8"/>
        <v>0</v>
      </c>
      <c r="AC362" s="18"/>
      <c r="AD362" s="18"/>
      <c r="AE362" s="18"/>
      <c r="AF362" s="18"/>
    </row>
    <row r="363" ht="15.75" customHeight="1">
      <c r="T363" s="207"/>
      <c r="W363" s="208"/>
      <c r="X363" s="208"/>
      <c r="AA363" s="210">
        <v>45931.0</v>
      </c>
      <c r="AB363" s="208">
        <f t="shared" si="8"/>
        <v>0</v>
      </c>
      <c r="AC363" s="18"/>
      <c r="AD363" s="18"/>
      <c r="AE363" s="18"/>
      <c r="AF363" s="18"/>
    </row>
    <row r="364" ht="15.75" customHeight="1">
      <c r="T364" s="207"/>
      <c r="W364" s="208"/>
      <c r="X364" s="208"/>
      <c r="AA364" s="210">
        <v>45932.0</v>
      </c>
      <c r="AB364" s="208">
        <f t="shared" si="8"/>
        <v>0</v>
      </c>
      <c r="AC364" s="18"/>
      <c r="AD364" s="18"/>
      <c r="AE364" s="18"/>
      <c r="AF364" s="18"/>
    </row>
    <row r="365" ht="15.75" customHeight="1">
      <c r="T365" s="207"/>
      <c r="W365" s="208"/>
      <c r="X365" s="208"/>
      <c r="AA365" s="210">
        <v>45933.0</v>
      </c>
      <c r="AB365" s="208">
        <f t="shared" si="8"/>
        <v>0</v>
      </c>
      <c r="AC365" s="18"/>
      <c r="AD365" s="18"/>
      <c r="AE365" s="18"/>
      <c r="AF365" s="18"/>
    </row>
    <row r="366" ht="15.75" customHeight="1">
      <c r="T366" s="207"/>
      <c r="W366" s="208"/>
      <c r="X366" s="208"/>
      <c r="AA366" s="210">
        <v>45934.0</v>
      </c>
      <c r="AB366" s="208">
        <f t="shared" si="8"/>
        <v>0</v>
      </c>
      <c r="AC366" s="18"/>
      <c r="AD366" s="18"/>
      <c r="AE366" s="18"/>
      <c r="AF366" s="18"/>
    </row>
    <row r="367" ht="15.75" customHeight="1">
      <c r="T367" s="207"/>
      <c r="W367" s="208"/>
      <c r="X367" s="208"/>
      <c r="AA367" s="210">
        <v>45935.0</v>
      </c>
      <c r="AB367" s="208">
        <f t="shared" si="8"/>
        <v>0</v>
      </c>
      <c r="AC367" s="18"/>
      <c r="AD367" s="18"/>
      <c r="AE367" s="18"/>
      <c r="AF367" s="18"/>
    </row>
    <row r="368" ht="15.75" customHeight="1">
      <c r="T368" s="207"/>
      <c r="W368" s="208"/>
      <c r="X368" s="208"/>
      <c r="AA368" s="210">
        <v>45936.0</v>
      </c>
      <c r="AB368" s="208">
        <f t="shared" si="8"/>
        <v>0</v>
      </c>
      <c r="AC368" s="18"/>
      <c r="AD368" s="18"/>
      <c r="AE368" s="18"/>
      <c r="AF368" s="18"/>
    </row>
    <row r="369" ht="15.75" customHeight="1">
      <c r="T369" s="207"/>
      <c r="W369" s="208"/>
      <c r="X369" s="208"/>
      <c r="AA369" s="210">
        <v>45937.0</v>
      </c>
      <c r="AB369" s="208">
        <f t="shared" si="8"/>
        <v>0</v>
      </c>
      <c r="AC369" s="18"/>
      <c r="AD369" s="18"/>
      <c r="AE369" s="18"/>
      <c r="AF369" s="18"/>
    </row>
    <row r="370" ht="15.75" customHeight="1">
      <c r="T370" s="207"/>
      <c r="W370" s="208"/>
      <c r="X370" s="208"/>
      <c r="AA370" s="210">
        <v>45938.0</v>
      </c>
      <c r="AB370" s="208">
        <f t="shared" si="8"/>
        <v>0</v>
      </c>
      <c r="AC370" s="18"/>
      <c r="AD370" s="18"/>
      <c r="AE370" s="18"/>
      <c r="AF370" s="18"/>
    </row>
    <row r="371" ht="15.75" customHeight="1">
      <c r="T371" s="207"/>
      <c r="W371" s="208"/>
      <c r="X371" s="208"/>
      <c r="AA371" s="210">
        <v>45939.0</v>
      </c>
      <c r="AB371" s="208">
        <f t="shared" si="8"/>
        <v>0</v>
      </c>
      <c r="AC371" s="18"/>
      <c r="AD371" s="18"/>
      <c r="AE371" s="18"/>
      <c r="AF371" s="18"/>
    </row>
    <row r="372" ht="15.75" customHeight="1">
      <c r="T372" s="207"/>
      <c r="W372" s="208"/>
      <c r="X372" s="208"/>
      <c r="AA372" s="210">
        <v>45940.0</v>
      </c>
      <c r="AB372" s="208">
        <f t="shared" si="8"/>
        <v>0</v>
      </c>
      <c r="AC372" s="18"/>
      <c r="AD372" s="18"/>
      <c r="AE372" s="18"/>
      <c r="AF372" s="18"/>
    </row>
    <row r="373" ht="15.75" customHeight="1">
      <c r="T373" s="207"/>
      <c r="W373" s="208"/>
      <c r="X373" s="208"/>
      <c r="AA373" s="210">
        <v>45941.0</v>
      </c>
      <c r="AB373" s="208">
        <f t="shared" si="8"/>
        <v>0</v>
      </c>
      <c r="AC373" s="18"/>
      <c r="AD373" s="18"/>
      <c r="AE373" s="18"/>
      <c r="AF373" s="18"/>
    </row>
    <row r="374" ht="15.75" customHeight="1">
      <c r="T374" s="207"/>
      <c r="W374" s="208"/>
      <c r="X374" s="208"/>
      <c r="AA374" s="210">
        <v>45942.0</v>
      </c>
      <c r="AB374" s="208">
        <f t="shared" si="8"/>
        <v>0</v>
      </c>
      <c r="AC374" s="18"/>
      <c r="AD374" s="18"/>
      <c r="AE374" s="18"/>
      <c r="AF374" s="18"/>
    </row>
    <row r="375" ht="15.75" customHeight="1">
      <c r="T375" s="207"/>
      <c r="W375" s="208"/>
      <c r="X375" s="208"/>
      <c r="AA375" s="210">
        <v>45943.0</v>
      </c>
      <c r="AB375" s="208">
        <f t="shared" si="8"/>
        <v>0</v>
      </c>
      <c r="AC375" s="18"/>
      <c r="AD375" s="18"/>
      <c r="AE375" s="18"/>
      <c r="AF375" s="18"/>
    </row>
    <row r="376" ht="15.75" customHeight="1">
      <c r="T376" s="207"/>
      <c r="W376" s="208"/>
      <c r="X376" s="208"/>
      <c r="AA376" s="210">
        <v>45944.0</v>
      </c>
      <c r="AB376" s="208">
        <f t="shared" si="8"/>
        <v>0</v>
      </c>
      <c r="AC376" s="18"/>
      <c r="AD376" s="18"/>
      <c r="AE376" s="18"/>
      <c r="AF376" s="18"/>
    </row>
    <row r="377" ht="15.75" customHeight="1">
      <c r="T377" s="207"/>
      <c r="W377" s="208"/>
      <c r="X377" s="208"/>
      <c r="AA377" s="210">
        <v>45945.0</v>
      </c>
      <c r="AB377" s="208">
        <f t="shared" si="8"/>
        <v>0</v>
      </c>
      <c r="AC377" s="18"/>
      <c r="AD377" s="18"/>
      <c r="AE377" s="18"/>
      <c r="AF377" s="18"/>
    </row>
    <row r="378" ht="15.75" customHeight="1">
      <c r="T378" s="207"/>
      <c r="W378" s="208"/>
      <c r="X378" s="208"/>
      <c r="AA378" s="210">
        <v>45946.0</v>
      </c>
      <c r="AB378" s="208">
        <f t="shared" si="8"/>
        <v>0</v>
      </c>
      <c r="AC378" s="18"/>
      <c r="AD378" s="18"/>
      <c r="AE378" s="18"/>
      <c r="AF378" s="18"/>
    </row>
    <row r="379" ht="15.75" customHeight="1">
      <c r="T379" s="207"/>
      <c r="W379" s="208"/>
      <c r="X379" s="208"/>
      <c r="AA379" s="210">
        <v>45947.0</v>
      </c>
      <c r="AB379" s="208">
        <f t="shared" si="8"/>
        <v>0</v>
      </c>
      <c r="AC379" s="18"/>
      <c r="AD379" s="18"/>
      <c r="AE379" s="18"/>
      <c r="AF379" s="18"/>
    </row>
    <row r="380" ht="15.75" customHeight="1">
      <c r="T380" s="207"/>
      <c r="W380" s="208"/>
      <c r="X380" s="208"/>
      <c r="AA380" s="210">
        <v>45948.0</v>
      </c>
      <c r="AB380" s="208">
        <f t="shared" si="8"/>
        <v>0</v>
      </c>
      <c r="AC380" s="18"/>
      <c r="AD380" s="18"/>
      <c r="AE380" s="18"/>
      <c r="AF380" s="18"/>
    </row>
    <row r="381" ht="15.75" customHeight="1">
      <c r="T381" s="207"/>
      <c r="W381" s="208"/>
      <c r="X381" s="208"/>
      <c r="AA381" s="210">
        <v>44300.0</v>
      </c>
      <c r="AB381" s="208">
        <f t="shared" si="8"/>
        <v>0</v>
      </c>
      <c r="AC381" s="18"/>
      <c r="AD381" s="18"/>
      <c r="AE381" s="18"/>
      <c r="AF381" s="18"/>
    </row>
    <row r="382" ht="15.75" customHeight="1">
      <c r="T382" s="207"/>
      <c r="W382" s="208"/>
      <c r="X382" s="208"/>
      <c r="AA382" s="210">
        <v>44301.0</v>
      </c>
      <c r="AB382" s="208">
        <f t="shared" si="8"/>
        <v>0</v>
      </c>
      <c r="AC382" s="18"/>
      <c r="AD382" s="18"/>
      <c r="AE382" s="18"/>
      <c r="AF382" s="18"/>
    </row>
    <row r="383" ht="15.75" customHeight="1">
      <c r="T383" s="207"/>
      <c r="W383" s="208"/>
      <c r="X383" s="208"/>
      <c r="AA383" s="210">
        <v>44302.0</v>
      </c>
      <c r="AB383" s="208">
        <f t="shared" si="8"/>
        <v>0</v>
      </c>
      <c r="AC383" s="18"/>
      <c r="AD383" s="18"/>
      <c r="AE383" s="18"/>
      <c r="AF383" s="18"/>
    </row>
    <row r="384" ht="15.75" customHeight="1">
      <c r="T384" s="207"/>
      <c r="W384" s="208"/>
      <c r="X384" s="208"/>
      <c r="AA384" s="210">
        <v>44303.0</v>
      </c>
      <c r="AB384" s="208">
        <f t="shared" si="8"/>
        <v>0</v>
      </c>
      <c r="AC384" s="18"/>
      <c r="AD384" s="18"/>
      <c r="AE384" s="18"/>
      <c r="AF384" s="18"/>
    </row>
    <row r="385" ht="15.75" customHeight="1">
      <c r="A385" s="18"/>
      <c r="B385" s="163"/>
      <c r="C385" s="164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8"/>
      <c r="V385" s="18"/>
      <c r="W385" s="18"/>
      <c r="X385" s="18"/>
      <c r="Y385" s="18"/>
      <c r="Z385" s="18"/>
      <c r="AA385" s="210"/>
      <c r="AB385" s="208">
        <f t="shared" si="8"/>
        <v>0</v>
      </c>
      <c r="AC385" s="18"/>
      <c r="AD385" s="18"/>
      <c r="AE385" s="18"/>
      <c r="AF385" s="18"/>
    </row>
    <row r="386" ht="15.75" customHeight="1">
      <c r="A386" s="18"/>
      <c r="B386" s="163"/>
      <c r="C386" s="164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8"/>
      <c r="V386" s="18"/>
      <c r="W386" s="18"/>
      <c r="X386" s="18"/>
      <c r="Y386" s="18"/>
      <c r="Z386" s="18"/>
      <c r="AA386" s="210"/>
      <c r="AB386" s="208">
        <f t="shared" si="8"/>
        <v>0</v>
      </c>
      <c r="AC386" s="18"/>
      <c r="AD386" s="18"/>
      <c r="AE386" s="18"/>
      <c r="AF386" s="18"/>
    </row>
    <row r="387" ht="15.75" customHeight="1">
      <c r="A387" s="18"/>
      <c r="B387" s="163"/>
      <c r="C387" s="164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8"/>
      <c r="V387" s="18"/>
      <c r="W387" s="18"/>
      <c r="X387" s="18"/>
      <c r="Y387" s="18"/>
      <c r="Z387" s="18"/>
      <c r="AA387" s="210"/>
      <c r="AB387" s="208">
        <f t="shared" si="8"/>
        <v>0</v>
      </c>
      <c r="AC387" s="18"/>
      <c r="AD387" s="18"/>
      <c r="AE387" s="18"/>
      <c r="AF387" s="18"/>
    </row>
    <row r="388" ht="15.75" customHeight="1">
      <c r="A388" s="18"/>
      <c r="B388" s="163"/>
      <c r="C388" s="164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8"/>
      <c r="V388" s="18"/>
      <c r="W388" s="18"/>
      <c r="X388" s="18"/>
      <c r="Y388" s="18"/>
      <c r="Z388" s="18"/>
      <c r="AA388" s="210"/>
      <c r="AB388" s="208">
        <f t="shared" si="8"/>
        <v>0</v>
      </c>
      <c r="AC388" s="18"/>
      <c r="AD388" s="18"/>
      <c r="AE388" s="18"/>
      <c r="AF388" s="18"/>
    </row>
    <row r="389" ht="15.75" customHeight="1">
      <c r="A389" s="18"/>
      <c r="B389" s="163"/>
      <c r="C389" s="164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8"/>
      <c r="V389" s="18"/>
      <c r="W389" s="18"/>
      <c r="X389" s="18"/>
      <c r="Y389" s="18"/>
      <c r="Z389" s="18"/>
      <c r="AA389" s="210"/>
      <c r="AB389" s="208">
        <f t="shared" si="8"/>
        <v>0</v>
      </c>
      <c r="AC389" s="18"/>
      <c r="AD389" s="18"/>
      <c r="AE389" s="18"/>
      <c r="AF389" s="18"/>
    </row>
    <row r="390" ht="15.75" customHeight="1">
      <c r="A390" s="18"/>
      <c r="B390" s="163"/>
      <c r="C390" s="164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8"/>
      <c r="V390" s="18"/>
      <c r="W390" s="18"/>
      <c r="X390" s="18"/>
      <c r="Y390" s="18"/>
      <c r="Z390" s="18"/>
      <c r="AA390" s="210"/>
      <c r="AB390" s="208">
        <f t="shared" si="8"/>
        <v>0</v>
      </c>
      <c r="AC390" s="18"/>
      <c r="AD390" s="18"/>
      <c r="AE390" s="18"/>
      <c r="AF390" s="18"/>
    </row>
    <row r="391" ht="15.75" customHeight="1">
      <c r="A391" s="18"/>
      <c r="B391" s="163"/>
      <c r="C391" s="164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8"/>
      <c r="V391" s="18"/>
      <c r="W391" s="18"/>
      <c r="X391" s="18"/>
      <c r="Y391" s="18"/>
      <c r="Z391" s="18"/>
      <c r="AA391" s="210"/>
      <c r="AB391" s="208">
        <f t="shared" si="8"/>
        <v>0</v>
      </c>
      <c r="AC391" s="18"/>
      <c r="AD391" s="18"/>
      <c r="AE391" s="18"/>
      <c r="AF391" s="18"/>
    </row>
    <row r="392" ht="15.75" customHeight="1">
      <c r="A392" s="18"/>
      <c r="B392" s="163"/>
      <c r="C392" s="164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8"/>
      <c r="V392" s="18"/>
      <c r="W392" s="18"/>
      <c r="X392" s="18"/>
      <c r="Y392" s="18"/>
      <c r="Z392" s="18"/>
      <c r="AA392" s="210"/>
      <c r="AB392" s="208">
        <f t="shared" si="8"/>
        <v>0</v>
      </c>
      <c r="AC392" s="18"/>
      <c r="AD392" s="18"/>
      <c r="AE392" s="18"/>
      <c r="AF392" s="18"/>
    </row>
    <row r="393" ht="15.75" customHeight="1">
      <c r="A393" s="18"/>
      <c r="B393" s="163"/>
      <c r="C393" s="164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8"/>
      <c r="V393" s="18"/>
      <c r="W393" s="18"/>
      <c r="X393" s="18"/>
      <c r="Y393" s="18"/>
      <c r="Z393" s="18"/>
      <c r="AA393" s="210"/>
      <c r="AB393" s="208">
        <f t="shared" si="8"/>
        <v>0</v>
      </c>
      <c r="AC393" s="18"/>
      <c r="AD393" s="18"/>
      <c r="AE393" s="18"/>
      <c r="AF393" s="18"/>
    </row>
    <row r="394" ht="15.75" customHeight="1">
      <c r="A394" s="18"/>
      <c r="B394" s="163"/>
      <c r="C394" s="164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8"/>
      <c r="V394" s="18"/>
      <c r="W394" s="18"/>
      <c r="X394" s="18"/>
      <c r="Y394" s="18"/>
      <c r="Z394" s="18"/>
      <c r="AA394" s="210"/>
      <c r="AB394" s="208">
        <f t="shared" si="8"/>
        <v>0</v>
      </c>
      <c r="AC394" s="18"/>
      <c r="AD394" s="18"/>
      <c r="AE394" s="18"/>
      <c r="AF394" s="18"/>
    </row>
    <row r="395" ht="15.75" customHeight="1">
      <c r="A395" s="18"/>
      <c r="B395" s="163"/>
      <c r="C395" s="164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8"/>
      <c r="V395" s="18"/>
      <c r="W395" s="18"/>
      <c r="X395" s="18"/>
      <c r="Y395" s="18"/>
      <c r="Z395" s="18"/>
      <c r="AA395" s="210"/>
      <c r="AB395" s="208">
        <f t="shared" si="8"/>
        <v>0</v>
      </c>
      <c r="AC395" s="18"/>
      <c r="AD395" s="18"/>
      <c r="AE395" s="18"/>
      <c r="AF395" s="18"/>
    </row>
    <row r="396" ht="15.75" customHeight="1">
      <c r="A396" s="18"/>
      <c r="B396" s="163"/>
      <c r="C396" s="164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8"/>
      <c r="V396" s="18"/>
      <c r="W396" s="18"/>
      <c r="X396" s="18"/>
      <c r="Y396" s="18"/>
      <c r="Z396" s="18"/>
      <c r="AA396" s="210"/>
      <c r="AB396" s="208">
        <f t="shared" si="8"/>
        <v>0</v>
      </c>
      <c r="AC396" s="18"/>
      <c r="AD396" s="18"/>
      <c r="AE396" s="18"/>
      <c r="AF396" s="18"/>
    </row>
    <row r="397" ht="15.75" customHeight="1">
      <c r="A397" s="18"/>
      <c r="B397" s="163"/>
      <c r="C397" s="164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8"/>
      <c r="V397" s="18"/>
      <c r="W397" s="18"/>
      <c r="X397" s="18"/>
      <c r="Y397" s="18"/>
      <c r="Z397" s="18"/>
      <c r="AA397" s="210"/>
      <c r="AB397" s="208">
        <f t="shared" si="8"/>
        <v>0</v>
      </c>
      <c r="AC397" s="18"/>
      <c r="AD397" s="18"/>
      <c r="AE397" s="18"/>
      <c r="AF397" s="18"/>
    </row>
    <row r="398" ht="15.75" customHeight="1">
      <c r="A398" s="18"/>
      <c r="B398" s="163"/>
      <c r="C398" s="164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8"/>
      <c r="V398" s="18"/>
      <c r="W398" s="18"/>
      <c r="X398" s="18"/>
      <c r="Y398" s="18"/>
      <c r="Z398" s="18"/>
      <c r="AA398" s="210"/>
      <c r="AB398" s="208">
        <f t="shared" si="8"/>
        <v>0</v>
      </c>
      <c r="AC398" s="18"/>
      <c r="AD398" s="18"/>
      <c r="AE398" s="18"/>
      <c r="AF398" s="18"/>
    </row>
    <row r="399" ht="15.75" customHeight="1">
      <c r="A399" s="18"/>
      <c r="B399" s="163"/>
      <c r="C399" s="164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8"/>
      <c r="V399" s="18"/>
      <c r="W399" s="18"/>
      <c r="X399" s="18"/>
      <c r="Y399" s="18"/>
      <c r="Z399" s="18"/>
      <c r="AA399" s="210"/>
      <c r="AB399" s="208">
        <f t="shared" si="8"/>
        <v>0</v>
      </c>
      <c r="AC399" s="18"/>
      <c r="AD399" s="18"/>
      <c r="AE399" s="18"/>
      <c r="AF399" s="18"/>
    </row>
    <row r="400" ht="15.75" customHeight="1">
      <c r="A400" s="18"/>
      <c r="B400" s="163"/>
      <c r="C400" s="164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8"/>
      <c r="V400" s="18"/>
      <c r="W400" s="18"/>
      <c r="X400" s="18"/>
      <c r="Y400" s="18"/>
      <c r="Z400" s="18"/>
      <c r="AA400" s="210"/>
      <c r="AB400" s="208">
        <f t="shared" si="8"/>
        <v>0</v>
      </c>
      <c r="AC400" s="18"/>
      <c r="AD400" s="18"/>
      <c r="AE400" s="18"/>
      <c r="AF400" s="18"/>
    </row>
    <row r="401" ht="15.75" customHeight="1">
      <c r="A401" s="18"/>
      <c r="B401" s="163"/>
      <c r="C401" s="164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8"/>
      <c r="V401" s="18"/>
      <c r="W401" s="18"/>
      <c r="X401" s="18"/>
      <c r="Y401" s="18"/>
      <c r="Z401" s="18"/>
      <c r="AA401" s="210"/>
      <c r="AB401" s="208">
        <f t="shared" si="8"/>
        <v>0</v>
      </c>
      <c r="AC401" s="18"/>
      <c r="AD401" s="18"/>
      <c r="AE401" s="18"/>
      <c r="AF401" s="18"/>
    </row>
    <row r="402" ht="15.75" customHeight="1">
      <c r="A402" s="18"/>
      <c r="B402" s="163"/>
      <c r="C402" s="164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8"/>
      <c r="V402" s="18"/>
      <c r="W402" s="18"/>
      <c r="X402" s="18"/>
      <c r="Y402" s="18"/>
      <c r="Z402" s="18"/>
      <c r="AA402" s="210"/>
      <c r="AB402" s="208">
        <f t="shared" si="8"/>
        <v>0</v>
      </c>
      <c r="AC402" s="18"/>
      <c r="AD402" s="18"/>
      <c r="AE402" s="18"/>
      <c r="AF402" s="18"/>
    </row>
    <row r="403" ht="15.75" customHeight="1">
      <c r="A403" s="18"/>
      <c r="B403" s="163"/>
      <c r="C403" s="164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8"/>
      <c r="V403" s="18"/>
      <c r="W403" s="18"/>
      <c r="X403" s="18"/>
      <c r="Y403" s="18"/>
      <c r="Z403" s="18"/>
      <c r="AA403" s="85"/>
      <c r="AB403" s="85"/>
      <c r="AC403" s="18"/>
      <c r="AD403" s="18"/>
      <c r="AE403" s="18"/>
      <c r="AF403" s="18"/>
    </row>
    <row r="404" ht="15.75" customHeight="1">
      <c r="A404" s="18"/>
      <c r="B404" s="163"/>
      <c r="C404" s="164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8"/>
      <c r="V404" s="18"/>
      <c r="W404" s="18"/>
      <c r="X404" s="18"/>
      <c r="Y404" s="18"/>
      <c r="Z404" s="18"/>
      <c r="AA404" s="85"/>
      <c r="AB404" s="85"/>
      <c r="AC404" s="18"/>
      <c r="AD404" s="18"/>
      <c r="AE404" s="18"/>
      <c r="AF404" s="18"/>
    </row>
    <row r="405" ht="15.75" customHeight="1">
      <c r="A405" s="18"/>
      <c r="B405" s="163"/>
      <c r="C405" s="164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8"/>
      <c r="V405" s="18"/>
      <c r="W405" s="18"/>
      <c r="X405" s="18"/>
      <c r="Y405" s="18"/>
      <c r="Z405" s="18"/>
      <c r="AA405" s="85"/>
      <c r="AB405" s="85"/>
      <c r="AC405" s="18"/>
      <c r="AD405" s="18"/>
      <c r="AE405" s="18"/>
      <c r="AF405" s="18"/>
    </row>
    <row r="406" ht="15.75" customHeight="1">
      <c r="A406" s="18"/>
      <c r="B406" s="163"/>
      <c r="C406" s="164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8"/>
      <c r="V406" s="18"/>
      <c r="W406" s="18"/>
      <c r="X406" s="18"/>
      <c r="Y406" s="18"/>
      <c r="Z406" s="18"/>
      <c r="AA406" s="85"/>
      <c r="AB406" s="85"/>
      <c r="AC406" s="18"/>
      <c r="AD406" s="18"/>
      <c r="AE406" s="18"/>
      <c r="AF406" s="18"/>
    </row>
    <row r="407" ht="15.75" customHeight="1">
      <c r="A407" s="18"/>
      <c r="B407" s="163"/>
      <c r="C407" s="164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8"/>
      <c r="V407" s="18"/>
      <c r="W407" s="18"/>
      <c r="X407" s="18"/>
      <c r="Y407" s="18"/>
      <c r="Z407" s="18"/>
      <c r="AA407" s="85"/>
      <c r="AB407" s="85"/>
      <c r="AC407" s="18"/>
      <c r="AD407" s="18"/>
      <c r="AE407" s="18"/>
      <c r="AF407" s="18"/>
    </row>
    <row r="408" ht="15.75" customHeight="1">
      <c r="A408" s="18"/>
      <c r="B408" s="163"/>
      <c r="C408" s="164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8"/>
      <c r="V408" s="18"/>
      <c r="W408" s="18"/>
      <c r="X408" s="18"/>
      <c r="Y408" s="18"/>
      <c r="Z408" s="18"/>
      <c r="AA408" s="85"/>
      <c r="AB408" s="85"/>
      <c r="AC408" s="18"/>
      <c r="AD408" s="18"/>
      <c r="AE408" s="18"/>
      <c r="AF408" s="18"/>
    </row>
    <row r="409" ht="15.75" customHeight="1">
      <c r="A409" s="18"/>
      <c r="B409" s="163"/>
      <c r="C409" s="164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8"/>
      <c r="V409" s="18"/>
      <c r="W409" s="18"/>
      <c r="X409" s="18"/>
      <c r="Y409" s="18"/>
      <c r="Z409" s="18"/>
      <c r="AA409" s="85"/>
      <c r="AB409" s="85"/>
      <c r="AC409" s="18"/>
      <c r="AD409" s="18"/>
      <c r="AE409" s="18"/>
      <c r="AF409" s="18"/>
    </row>
    <row r="410" ht="15.75" customHeight="1">
      <c r="A410" s="18"/>
      <c r="B410" s="163"/>
      <c r="C410" s="164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8"/>
      <c r="V410" s="18"/>
      <c r="W410" s="18"/>
      <c r="X410" s="18"/>
      <c r="Y410" s="18"/>
      <c r="Z410" s="18"/>
      <c r="AA410" s="85"/>
      <c r="AB410" s="85"/>
      <c r="AC410" s="18"/>
      <c r="AD410" s="18"/>
      <c r="AE410" s="18"/>
      <c r="AF410" s="18"/>
    </row>
    <row r="411" ht="15.75" customHeight="1">
      <c r="A411" s="18"/>
      <c r="B411" s="163"/>
      <c r="C411" s="164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8"/>
      <c r="V411" s="18"/>
      <c r="W411" s="18"/>
      <c r="X411" s="18"/>
      <c r="Y411" s="18"/>
      <c r="Z411" s="18"/>
      <c r="AA411" s="85"/>
      <c r="AB411" s="85"/>
      <c r="AC411" s="18"/>
      <c r="AD411" s="18"/>
      <c r="AE411" s="18"/>
      <c r="AF411" s="18"/>
    </row>
    <row r="412" ht="15.75" customHeight="1">
      <c r="A412" s="18"/>
      <c r="B412" s="163"/>
      <c r="C412" s="164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8"/>
      <c r="V412" s="18"/>
      <c r="W412" s="18"/>
      <c r="X412" s="18"/>
      <c r="Y412" s="18"/>
      <c r="Z412" s="18"/>
      <c r="AA412" s="85"/>
      <c r="AB412" s="85"/>
      <c r="AC412" s="18"/>
      <c r="AD412" s="18"/>
      <c r="AE412" s="18"/>
      <c r="AF412" s="18"/>
    </row>
    <row r="413" ht="15.75" customHeight="1">
      <c r="A413" s="18"/>
      <c r="B413" s="163"/>
      <c r="C413" s="164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8"/>
      <c r="V413" s="18"/>
      <c r="W413" s="18"/>
      <c r="X413" s="18"/>
      <c r="Y413" s="18"/>
      <c r="Z413" s="18"/>
      <c r="AA413" s="85"/>
      <c r="AB413" s="85"/>
      <c r="AC413" s="18"/>
      <c r="AD413" s="18"/>
      <c r="AE413" s="18"/>
      <c r="AF413" s="18"/>
    </row>
    <row r="414" ht="15.75" customHeight="1">
      <c r="A414" s="18"/>
      <c r="B414" s="163"/>
      <c r="C414" s="164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8"/>
      <c r="V414" s="18"/>
      <c r="W414" s="18"/>
      <c r="X414" s="18"/>
      <c r="Y414" s="18"/>
      <c r="Z414" s="18"/>
      <c r="AA414" s="85"/>
      <c r="AB414" s="85"/>
      <c r="AC414" s="18"/>
      <c r="AD414" s="18"/>
      <c r="AE414" s="18"/>
      <c r="AF414" s="18"/>
    </row>
    <row r="415" ht="15.75" customHeight="1">
      <c r="A415" s="18"/>
      <c r="B415" s="163"/>
      <c r="C415" s="164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8"/>
      <c r="V415" s="18"/>
      <c r="W415" s="18"/>
      <c r="X415" s="18"/>
      <c r="Y415" s="18"/>
      <c r="Z415" s="18"/>
      <c r="AA415" s="85"/>
      <c r="AB415" s="85"/>
      <c r="AC415" s="18"/>
      <c r="AD415" s="18"/>
      <c r="AE415" s="18"/>
      <c r="AF415" s="18"/>
    </row>
    <row r="416" ht="15.75" customHeight="1">
      <c r="A416" s="18"/>
      <c r="B416" s="163"/>
      <c r="C416" s="164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8"/>
      <c r="V416" s="18"/>
      <c r="W416" s="18"/>
      <c r="X416" s="18"/>
      <c r="Y416" s="18"/>
      <c r="Z416" s="18"/>
      <c r="AA416" s="85"/>
      <c r="AB416" s="85"/>
      <c r="AC416" s="18"/>
      <c r="AD416" s="18"/>
      <c r="AE416" s="18"/>
      <c r="AF416" s="18"/>
    </row>
    <row r="417" ht="15.75" customHeight="1">
      <c r="A417" s="18"/>
      <c r="B417" s="163"/>
      <c r="C417" s="164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8"/>
      <c r="V417" s="18"/>
      <c r="W417" s="18"/>
      <c r="X417" s="18"/>
      <c r="Y417" s="18"/>
      <c r="Z417" s="18"/>
      <c r="AA417" s="85"/>
      <c r="AB417" s="85"/>
      <c r="AC417" s="18"/>
      <c r="AD417" s="18"/>
      <c r="AE417" s="18"/>
      <c r="AF417" s="18"/>
    </row>
    <row r="418" ht="15.75" customHeight="1">
      <c r="A418" s="18"/>
      <c r="B418" s="163"/>
      <c r="C418" s="164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8"/>
      <c r="V418" s="18"/>
      <c r="W418" s="18"/>
      <c r="X418" s="18"/>
      <c r="Y418" s="18"/>
      <c r="Z418" s="18"/>
      <c r="AA418" s="85"/>
      <c r="AB418" s="85"/>
      <c r="AC418" s="18"/>
      <c r="AD418" s="18"/>
      <c r="AE418" s="18"/>
      <c r="AF418" s="18"/>
    </row>
    <row r="419" ht="15.75" customHeight="1">
      <c r="A419" s="18"/>
      <c r="B419" s="163"/>
      <c r="C419" s="164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8"/>
      <c r="V419" s="18"/>
      <c r="W419" s="18"/>
      <c r="X419" s="18"/>
      <c r="Y419" s="18"/>
      <c r="Z419" s="18"/>
      <c r="AA419" s="85"/>
      <c r="AB419" s="85"/>
      <c r="AC419" s="18"/>
      <c r="AD419" s="18"/>
      <c r="AE419" s="18"/>
      <c r="AF419" s="18"/>
    </row>
    <row r="420" ht="15.75" customHeight="1">
      <c r="A420" s="18"/>
      <c r="B420" s="163"/>
      <c r="C420" s="164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8"/>
      <c r="V420" s="18"/>
      <c r="W420" s="18"/>
      <c r="X420" s="18"/>
      <c r="Y420" s="18"/>
      <c r="Z420" s="18"/>
      <c r="AA420" s="85"/>
      <c r="AB420" s="85"/>
      <c r="AC420" s="18"/>
      <c r="AD420" s="18"/>
      <c r="AE420" s="18"/>
      <c r="AF420" s="18"/>
    </row>
    <row r="421" ht="15.75" customHeight="1">
      <c r="A421" s="18"/>
      <c r="B421" s="163"/>
      <c r="C421" s="164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8"/>
      <c r="V421" s="18"/>
      <c r="W421" s="18"/>
      <c r="X421" s="18"/>
      <c r="Y421" s="18"/>
      <c r="Z421" s="18"/>
      <c r="AA421" s="85"/>
      <c r="AB421" s="85"/>
      <c r="AC421" s="18"/>
      <c r="AD421" s="18"/>
      <c r="AE421" s="18"/>
      <c r="AF421" s="18"/>
    </row>
    <row r="422" ht="15.75" customHeight="1">
      <c r="A422" s="18"/>
      <c r="B422" s="163"/>
      <c r="C422" s="164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8"/>
      <c r="V422" s="18"/>
      <c r="W422" s="18"/>
      <c r="X422" s="18"/>
      <c r="Y422" s="18"/>
      <c r="Z422" s="18"/>
      <c r="AA422" s="85"/>
      <c r="AB422" s="85"/>
      <c r="AC422" s="18"/>
      <c r="AD422" s="18"/>
      <c r="AE422" s="18"/>
      <c r="AF422" s="18"/>
    </row>
    <row r="423" ht="15.75" customHeight="1">
      <c r="A423" s="18"/>
      <c r="B423" s="163"/>
      <c r="C423" s="164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8"/>
      <c r="V423" s="18"/>
      <c r="W423" s="18"/>
      <c r="X423" s="18"/>
      <c r="Y423" s="18"/>
      <c r="Z423" s="18"/>
      <c r="AA423" s="85"/>
      <c r="AB423" s="85"/>
      <c r="AC423" s="18"/>
      <c r="AD423" s="18"/>
      <c r="AE423" s="18"/>
      <c r="AF423" s="18"/>
    </row>
    <row r="424" ht="15.75" customHeight="1">
      <c r="A424" s="18"/>
      <c r="B424" s="163"/>
      <c r="C424" s="164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8"/>
      <c r="V424" s="18"/>
      <c r="W424" s="18"/>
      <c r="X424" s="18"/>
      <c r="Y424" s="18"/>
      <c r="Z424" s="18"/>
      <c r="AA424" s="85"/>
      <c r="AB424" s="85"/>
      <c r="AC424" s="18"/>
      <c r="AD424" s="18"/>
      <c r="AE424" s="18"/>
      <c r="AF424" s="18"/>
    </row>
    <row r="425" ht="15.75" customHeight="1">
      <c r="A425" s="18"/>
      <c r="B425" s="163"/>
      <c r="C425" s="164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8"/>
      <c r="V425" s="18"/>
      <c r="W425" s="18"/>
      <c r="X425" s="18"/>
      <c r="Y425" s="18"/>
      <c r="Z425" s="18"/>
      <c r="AA425" s="85"/>
      <c r="AB425" s="85"/>
      <c r="AC425" s="18"/>
      <c r="AD425" s="18"/>
      <c r="AE425" s="18"/>
      <c r="AF425" s="18"/>
    </row>
    <row r="426" ht="15.75" customHeight="1">
      <c r="A426" s="18"/>
      <c r="B426" s="163"/>
      <c r="C426" s="164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8"/>
      <c r="V426" s="18"/>
      <c r="W426" s="18"/>
      <c r="X426" s="18"/>
      <c r="Y426" s="18"/>
      <c r="Z426" s="18"/>
      <c r="AA426" s="85"/>
      <c r="AB426" s="85"/>
      <c r="AC426" s="18"/>
      <c r="AD426" s="18"/>
      <c r="AE426" s="18"/>
      <c r="AF426" s="18"/>
    </row>
    <row r="427" ht="15.75" customHeight="1">
      <c r="A427" s="18"/>
      <c r="B427" s="163"/>
      <c r="C427" s="164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8"/>
      <c r="V427" s="18"/>
      <c r="W427" s="18"/>
      <c r="X427" s="18"/>
      <c r="Y427" s="18"/>
      <c r="Z427" s="18"/>
      <c r="AA427" s="85"/>
      <c r="AB427" s="85"/>
      <c r="AC427" s="18"/>
      <c r="AD427" s="18"/>
      <c r="AE427" s="18"/>
      <c r="AF427" s="18"/>
    </row>
    <row r="428" ht="15.75" customHeight="1">
      <c r="A428" s="18"/>
      <c r="B428" s="163"/>
      <c r="C428" s="164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8"/>
      <c r="V428" s="18"/>
      <c r="W428" s="18"/>
      <c r="X428" s="18"/>
      <c r="Y428" s="18"/>
      <c r="Z428" s="18"/>
      <c r="AA428" s="85"/>
      <c r="AB428" s="85"/>
      <c r="AC428" s="18"/>
      <c r="AD428" s="18"/>
      <c r="AE428" s="18"/>
      <c r="AF428" s="18"/>
    </row>
    <row r="429" ht="15.75" customHeight="1">
      <c r="A429" s="18"/>
      <c r="B429" s="163"/>
      <c r="C429" s="164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8"/>
      <c r="V429" s="18"/>
      <c r="W429" s="18"/>
      <c r="X429" s="18"/>
      <c r="Y429" s="18"/>
      <c r="Z429" s="18"/>
      <c r="AA429" s="85"/>
      <c r="AB429" s="85"/>
      <c r="AC429" s="18"/>
      <c r="AD429" s="18"/>
      <c r="AE429" s="18"/>
      <c r="AF429" s="18"/>
    </row>
    <row r="430" ht="15.75" customHeight="1">
      <c r="A430" s="18"/>
      <c r="B430" s="163"/>
      <c r="C430" s="164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8"/>
      <c r="V430" s="18"/>
      <c r="W430" s="18"/>
      <c r="X430" s="18"/>
      <c r="Y430" s="18"/>
      <c r="Z430" s="18"/>
      <c r="AA430" s="85"/>
      <c r="AB430" s="85"/>
      <c r="AC430" s="18"/>
      <c r="AD430" s="18"/>
      <c r="AE430" s="18"/>
      <c r="AF430" s="18"/>
    </row>
    <row r="431" ht="15.75" customHeight="1">
      <c r="A431" s="18"/>
      <c r="B431" s="163"/>
      <c r="C431" s="164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8"/>
      <c r="V431" s="18"/>
      <c r="W431" s="18"/>
      <c r="X431" s="18"/>
      <c r="Y431" s="18"/>
      <c r="Z431" s="18"/>
      <c r="AA431" s="85"/>
      <c r="AB431" s="85"/>
      <c r="AC431" s="18"/>
      <c r="AD431" s="18"/>
      <c r="AE431" s="18"/>
      <c r="AF431" s="18"/>
    </row>
    <row r="432" ht="15.75" customHeight="1">
      <c r="A432" s="18"/>
      <c r="B432" s="163"/>
      <c r="C432" s="164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8"/>
      <c r="V432" s="18"/>
      <c r="W432" s="18"/>
      <c r="X432" s="18"/>
      <c r="Y432" s="18"/>
      <c r="Z432" s="18"/>
      <c r="AA432" s="85"/>
      <c r="AB432" s="85"/>
      <c r="AC432" s="18"/>
      <c r="AD432" s="18"/>
      <c r="AE432" s="18"/>
      <c r="AF432" s="18"/>
    </row>
    <row r="433" ht="15.75" customHeight="1">
      <c r="A433" s="18"/>
      <c r="B433" s="163"/>
      <c r="C433" s="164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8"/>
      <c r="V433" s="18"/>
      <c r="W433" s="18"/>
      <c r="X433" s="18"/>
      <c r="Y433" s="18"/>
      <c r="Z433" s="18"/>
      <c r="AA433" s="85"/>
      <c r="AB433" s="85"/>
      <c r="AC433" s="18"/>
      <c r="AD433" s="18"/>
      <c r="AE433" s="18"/>
      <c r="AF433" s="18"/>
    </row>
    <row r="434" ht="15.75" customHeight="1">
      <c r="A434" s="18"/>
      <c r="B434" s="163"/>
      <c r="C434" s="164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8"/>
      <c r="V434" s="18"/>
      <c r="W434" s="18"/>
      <c r="X434" s="18"/>
      <c r="Y434" s="18"/>
      <c r="Z434" s="18"/>
      <c r="AA434" s="85"/>
      <c r="AB434" s="85"/>
      <c r="AC434" s="18"/>
      <c r="AD434" s="18"/>
      <c r="AE434" s="18"/>
      <c r="AF434" s="18"/>
    </row>
    <row r="435" ht="15.75" customHeight="1">
      <c r="A435" s="18"/>
      <c r="B435" s="163"/>
      <c r="C435" s="164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8"/>
      <c r="V435" s="18"/>
      <c r="W435" s="18"/>
      <c r="X435" s="18"/>
      <c r="Y435" s="18"/>
      <c r="Z435" s="18"/>
      <c r="AA435" s="85"/>
      <c r="AB435" s="85"/>
      <c r="AC435" s="18"/>
      <c r="AD435" s="18"/>
      <c r="AE435" s="18"/>
      <c r="AF435" s="18"/>
    </row>
    <row r="436" ht="15.75" customHeight="1">
      <c r="A436" s="18"/>
      <c r="B436" s="163"/>
      <c r="C436" s="164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8"/>
      <c r="V436" s="18"/>
      <c r="W436" s="18"/>
      <c r="X436" s="18"/>
      <c r="Y436" s="18"/>
      <c r="Z436" s="18"/>
      <c r="AA436" s="85"/>
      <c r="AB436" s="85"/>
      <c r="AC436" s="18"/>
      <c r="AD436" s="18"/>
      <c r="AE436" s="18"/>
      <c r="AF436" s="18"/>
    </row>
    <row r="437" ht="15.75" customHeight="1">
      <c r="A437" s="18"/>
      <c r="B437" s="163"/>
      <c r="C437" s="164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8"/>
      <c r="V437" s="18"/>
      <c r="W437" s="18"/>
      <c r="X437" s="18"/>
      <c r="Y437" s="18"/>
      <c r="Z437" s="18"/>
      <c r="AA437" s="85"/>
      <c r="AB437" s="85"/>
      <c r="AC437" s="18"/>
      <c r="AD437" s="18"/>
      <c r="AE437" s="18"/>
      <c r="AF437" s="18"/>
    </row>
    <row r="438" ht="15.75" customHeight="1">
      <c r="A438" s="18"/>
      <c r="B438" s="163"/>
      <c r="C438" s="164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8"/>
      <c r="V438" s="18"/>
      <c r="W438" s="18"/>
      <c r="X438" s="18"/>
      <c r="Y438" s="18"/>
      <c r="Z438" s="18"/>
      <c r="AA438" s="85"/>
      <c r="AB438" s="85"/>
      <c r="AC438" s="18"/>
      <c r="AD438" s="18"/>
      <c r="AE438" s="18"/>
      <c r="AF438" s="18"/>
    </row>
    <row r="439" ht="15.75" customHeight="1">
      <c r="A439" s="18"/>
      <c r="B439" s="163"/>
      <c r="C439" s="164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8"/>
      <c r="V439" s="18"/>
      <c r="W439" s="18"/>
      <c r="X439" s="18"/>
      <c r="Y439" s="18"/>
      <c r="Z439" s="18"/>
      <c r="AA439" s="85"/>
      <c r="AB439" s="85"/>
      <c r="AC439" s="18"/>
      <c r="AD439" s="18"/>
      <c r="AE439" s="18"/>
      <c r="AF439" s="18"/>
    </row>
    <row r="440" ht="15.75" customHeight="1">
      <c r="A440" s="18"/>
      <c r="B440" s="163"/>
      <c r="C440" s="164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8"/>
      <c r="V440" s="18"/>
      <c r="W440" s="18"/>
      <c r="X440" s="18"/>
      <c r="Y440" s="18"/>
      <c r="Z440" s="18"/>
      <c r="AA440" s="85"/>
      <c r="AB440" s="85"/>
      <c r="AC440" s="18"/>
      <c r="AD440" s="18"/>
      <c r="AE440" s="18"/>
      <c r="AF440" s="18"/>
    </row>
    <row r="441" ht="15.75" customHeight="1">
      <c r="A441" s="18"/>
      <c r="B441" s="163"/>
      <c r="C441" s="164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8"/>
      <c r="V441" s="18"/>
      <c r="W441" s="18"/>
      <c r="X441" s="18"/>
      <c r="Y441" s="18"/>
      <c r="Z441" s="18"/>
      <c r="AA441" s="85"/>
      <c r="AB441" s="85"/>
      <c r="AC441" s="18"/>
      <c r="AD441" s="18"/>
      <c r="AE441" s="18"/>
      <c r="AF441" s="18"/>
    </row>
    <row r="442" ht="15.75" customHeight="1">
      <c r="A442" s="18"/>
      <c r="B442" s="163"/>
      <c r="C442" s="164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8"/>
      <c r="V442" s="18"/>
      <c r="W442" s="18"/>
      <c r="X442" s="18"/>
      <c r="Y442" s="18"/>
      <c r="Z442" s="18"/>
      <c r="AA442" s="85"/>
      <c r="AB442" s="85"/>
      <c r="AC442" s="18"/>
      <c r="AD442" s="18"/>
      <c r="AE442" s="18"/>
      <c r="AF442" s="18"/>
    </row>
    <row r="443" ht="15.75" customHeight="1">
      <c r="A443" s="18"/>
      <c r="B443" s="163"/>
      <c r="C443" s="164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8"/>
      <c r="V443" s="18"/>
      <c r="W443" s="18"/>
      <c r="X443" s="18"/>
      <c r="Y443" s="18"/>
      <c r="Z443" s="18"/>
      <c r="AA443" s="85"/>
      <c r="AB443" s="85"/>
      <c r="AC443" s="18"/>
      <c r="AD443" s="18"/>
      <c r="AE443" s="18"/>
      <c r="AF443" s="18"/>
    </row>
    <row r="444" ht="15.75" customHeight="1">
      <c r="A444" s="18"/>
      <c r="B444" s="163"/>
      <c r="C444" s="164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8"/>
      <c r="V444" s="18"/>
      <c r="W444" s="18"/>
      <c r="X444" s="18"/>
      <c r="Y444" s="18"/>
      <c r="Z444" s="18"/>
      <c r="AA444" s="85"/>
      <c r="AB444" s="85"/>
      <c r="AC444" s="18"/>
      <c r="AD444" s="18"/>
      <c r="AE444" s="18"/>
      <c r="AF444" s="18"/>
    </row>
    <row r="445" ht="15.75" customHeight="1">
      <c r="A445" s="18"/>
      <c r="B445" s="163"/>
      <c r="C445" s="164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8"/>
      <c r="V445" s="18"/>
      <c r="W445" s="18"/>
      <c r="X445" s="18"/>
      <c r="Y445" s="18"/>
      <c r="Z445" s="18"/>
      <c r="AA445" s="85"/>
      <c r="AB445" s="85"/>
      <c r="AC445" s="18"/>
      <c r="AD445" s="18"/>
      <c r="AE445" s="18"/>
      <c r="AF445" s="18"/>
    </row>
    <row r="446" ht="15.75" customHeight="1">
      <c r="A446" s="18"/>
      <c r="B446" s="163"/>
      <c r="C446" s="164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8"/>
      <c r="V446" s="18"/>
      <c r="W446" s="18"/>
      <c r="X446" s="18"/>
      <c r="Y446" s="18"/>
      <c r="Z446" s="18"/>
      <c r="AA446" s="85"/>
      <c r="AB446" s="85"/>
      <c r="AC446" s="18"/>
      <c r="AD446" s="18"/>
      <c r="AE446" s="18"/>
      <c r="AF446" s="18"/>
    </row>
    <row r="447" ht="15.75" customHeight="1">
      <c r="A447" s="18"/>
      <c r="B447" s="163"/>
      <c r="C447" s="164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8"/>
      <c r="V447" s="18"/>
      <c r="W447" s="18"/>
      <c r="X447" s="18"/>
      <c r="Y447" s="18"/>
      <c r="Z447" s="18"/>
      <c r="AA447" s="85"/>
      <c r="AB447" s="85"/>
      <c r="AC447" s="18"/>
      <c r="AD447" s="18"/>
      <c r="AE447" s="18"/>
      <c r="AF447" s="18"/>
    </row>
    <row r="448" ht="15.75" customHeight="1">
      <c r="A448" s="18"/>
      <c r="B448" s="163"/>
      <c r="C448" s="164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8"/>
      <c r="V448" s="18"/>
      <c r="W448" s="18"/>
      <c r="X448" s="18"/>
      <c r="Y448" s="18"/>
      <c r="Z448" s="18"/>
      <c r="AA448" s="85"/>
      <c r="AB448" s="85"/>
      <c r="AC448" s="18"/>
      <c r="AD448" s="18"/>
      <c r="AE448" s="18"/>
      <c r="AF448" s="18"/>
    </row>
    <row r="449" ht="15.75" customHeight="1">
      <c r="A449" s="18"/>
      <c r="B449" s="163"/>
      <c r="C449" s="164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8"/>
      <c r="V449" s="18"/>
      <c r="W449" s="18"/>
      <c r="X449" s="18"/>
      <c r="Y449" s="18"/>
      <c r="Z449" s="18"/>
      <c r="AA449" s="85"/>
      <c r="AB449" s="85"/>
      <c r="AC449" s="18"/>
      <c r="AD449" s="18"/>
      <c r="AE449" s="18"/>
      <c r="AF449" s="18"/>
    </row>
    <row r="450" ht="15.75" customHeight="1">
      <c r="A450" s="18"/>
      <c r="B450" s="163"/>
      <c r="C450" s="164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8"/>
      <c r="V450" s="18"/>
      <c r="W450" s="18"/>
      <c r="X450" s="18"/>
      <c r="Y450" s="18"/>
      <c r="Z450" s="18"/>
      <c r="AA450" s="85"/>
      <c r="AB450" s="85"/>
      <c r="AC450" s="18"/>
      <c r="AD450" s="18"/>
      <c r="AE450" s="18"/>
      <c r="AF450" s="18"/>
    </row>
    <row r="451" ht="15.75" customHeight="1">
      <c r="A451" s="18"/>
      <c r="B451" s="163"/>
      <c r="C451" s="164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8"/>
      <c r="V451" s="18"/>
      <c r="W451" s="18"/>
      <c r="X451" s="18"/>
      <c r="Y451" s="18"/>
      <c r="Z451" s="18"/>
      <c r="AA451" s="85"/>
      <c r="AB451" s="85"/>
      <c r="AC451" s="18"/>
      <c r="AD451" s="18"/>
      <c r="AE451" s="18"/>
      <c r="AF451" s="18"/>
    </row>
    <row r="452" ht="15.75" customHeight="1">
      <c r="A452" s="18"/>
      <c r="B452" s="163"/>
      <c r="C452" s="164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8"/>
      <c r="V452" s="18"/>
      <c r="W452" s="18"/>
      <c r="X452" s="18"/>
      <c r="Y452" s="18"/>
      <c r="Z452" s="18"/>
      <c r="AA452" s="85"/>
      <c r="AB452" s="85"/>
      <c r="AC452" s="18"/>
      <c r="AD452" s="18"/>
      <c r="AE452" s="18"/>
      <c r="AF452" s="18"/>
    </row>
    <row r="453" ht="15.75" customHeight="1">
      <c r="A453" s="18"/>
      <c r="B453" s="163"/>
      <c r="C453" s="164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8"/>
      <c r="V453" s="18"/>
      <c r="W453" s="18"/>
      <c r="X453" s="18"/>
      <c r="Y453" s="18"/>
      <c r="Z453" s="18"/>
      <c r="AA453" s="85"/>
      <c r="AB453" s="85"/>
      <c r="AC453" s="18"/>
      <c r="AD453" s="18"/>
      <c r="AE453" s="18"/>
      <c r="AF453" s="18"/>
    </row>
    <row r="454" ht="15.75" customHeight="1">
      <c r="A454" s="18"/>
      <c r="B454" s="163"/>
      <c r="C454" s="164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8"/>
      <c r="V454" s="18"/>
      <c r="W454" s="18"/>
      <c r="X454" s="18"/>
      <c r="Y454" s="18"/>
      <c r="Z454" s="18"/>
      <c r="AA454" s="85"/>
      <c r="AB454" s="85"/>
      <c r="AC454" s="18"/>
      <c r="AD454" s="18"/>
      <c r="AE454" s="18"/>
      <c r="AF454" s="18"/>
    </row>
    <row r="455" ht="15.75" customHeight="1">
      <c r="A455" s="18"/>
      <c r="B455" s="163"/>
      <c r="C455" s="164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8"/>
      <c r="V455" s="18"/>
      <c r="W455" s="18"/>
      <c r="X455" s="18"/>
      <c r="Y455" s="18"/>
      <c r="Z455" s="18"/>
      <c r="AA455" s="85"/>
      <c r="AB455" s="85"/>
      <c r="AC455" s="18"/>
      <c r="AD455" s="18"/>
      <c r="AE455" s="18"/>
      <c r="AF455" s="18"/>
    </row>
    <row r="456" ht="15.75" customHeight="1">
      <c r="A456" s="18"/>
      <c r="B456" s="163"/>
      <c r="C456" s="164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8"/>
      <c r="V456" s="18"/>
      <c r="W456" s="18"/>
      <c r="X456" s="18"/>
      <c r="Y456" s="18"/>
      <c r="Z456" s="18"/>
      <c r="AA456" s="85"/>
      <c r="AB456" s="85"/>
      <c r="AC456" s="18"/>
      <c r="AD456" s="18"/>
      <c r="AE456" s="18"/>
      <c r="AF456" s="18"/>
    </row>
    <row r="457" ht="15.75" customHeight="1">
      <c r="A457" s="18"/>
      <c r="B457" s="163"/>
      <c r="C457" s="164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8"/>
      <c r="V457" s="18"/>
      <c r="W457" s="18"/>
      <c r="X457" s="18"/>
      <c r="Y457" s="18"/>
      <c r="Z457" s="18"/>
      <c r="AA457" s="85"/>
      <c r="AB457" s="85"/>
      <c r="AC457" s="18"/>
      <c r="AD457" s="18"/>
      <c r="AE457" s="18"/>
      <c r="AF457" s="18"/>
    </row>
    <row r="458" ht="15.75" customHeight="1">
      <c r="A458" s="18"/>
      <c r="B458" s="163"/>
      <c r="C458" s="164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8"/>
      <c r="V458" s="18"/>
      <c r="W458" s="18"/>
      <c r="X458" s="18"/>
      <c r="Y458" s="18"/>
      <c r="Z458" s="18"/>
      <c r="AA458" s="85"/>
      <c r="AB458" s="85"/>
      <c r="AC458" s="18"/>
      <c r="AD458" s="18"/>
      <c r="AE458" s="18"/>
      <c r="AF458" s="18"/>
    </row>
    <row r="459" ht="15.75" customHeight="1">
      <c r="A459" s="18"/>
      <c r="B459" s="163"/>
      <c r="C459" s="164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8"/>
      <c r="V459" s="18"/>
      <c r="W459" s="18"/>
      <c r="X459" s="18"/>
      <c r="Y459" s="18"/>
      <c r="Z459" s="18"/>
      <c r="AA459" s="85"/>
      <c r="AB459" s="85"/>
      <c r="AC459" s="18"/>
      <c r="AD459" s="18"/>
      <c r="AE459" s="18"/>
      <c r="AF459" s="18"/>
    </row>
    <row r="460" ht="15.75" customHeight="1">
      <c r="A460" s="18"/>
      <c r="B460" s="163"/>
      <c r="C460" s="164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8"/>
      <c r="V460" s="18"/>
      <c r="W460" s="18"/>
      <c r="X460" s="18"/>
      <c r="Y460" s="18"/>
      <c r="Z460" s="18"/>
      <c r="AA460" s="85"/>
      <c r="AB460" s="85"/>
      <c r="AC460" s="18"/>
      <c r="AD460" s="18"/>
      <c r="AE460" s="18"/>
      <c r="AF460" s="18"/>
    </row>
    <row r="461" ht="15.75" customHeight="1">
      <c r="A461" s="18"/>
      <c r="B461" s="163"/>
      <c r="C461" s="164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8"/>
      <c r="V461" s="18"/>
      <c r="W461" s="18"/>
      <c r="X461" s="18"/>
      <c r="Y461" s="18"/>
      <c r="Z461" s="18"/>
      <c r="AA461" s="85"/>
      <c r="AB461" s="85"/>
      <c r="AC461" s="18"/>
      <c r="AD461" s="18"/>
      <c r="AE461" s="18"/>
      <c r="AF461" s="18"/>
    </row>
    <row r="462" ht="15.75" customHeight="1">
      <c r="A462" s="18"/>
      <c r="B462" s="163"/>
      <c r="C462" s="164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8"/>
      <c r="V462" s="18"/>
      <c r="W462" s="18"/>
      <c r="X462" s="18"/>
      <c r="Y462" s="18"/>
      <c r="Z462" s="18"/>
      <c r="AA462" s="85"/>
      <c r="AB462" s="85"/>
      <c r="AC462" s="18"/>
      <c r="AD462" s="18"/>
      <c r="AE462" s="18"/>
      <c r="AF462" s="18"/>
    </row>
    <row r="463" ht="15.75" customHeight="1">
      <c r="A463" s="18"/>
      <c r="B463" s="163"/>
      <c r="C463" s="164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8"/>
      <c r="V463" s="18"/>
      <c r="W463" s="18"/>
      <c r="X463" s="18"/>
      <c r="Y463" s="18"/>
      <c r="Z463" s="18"/>
      <c r="AA463" s="85"/>
      <c r="AB463" s="85"/>
      <c r="AC463" s="18"/>
      <c r="AD463" s="18"/>
      <c r="AE463" s="18"/>
      <c r="AF463" s="18"/>
    </row>
    <row r="464" ht="15.75" customHeight="1">
      <c r="A464" s="18"/>
      <c r="B464" s="163"/>
      <c r="C464" s="164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8"/>
      <c r="V464" s="18"/>
      <c r="W464" s="18"/>
      <c r="X464" s="18"/>
      <c r="Y464" s="18"/>
      <c r="Z464" s="18"/>
      <c r="AA464" s="85"/>
      <c r="AB464" s="85"/>
      <c r="AC464" s="18"/>
      <c r="AD464" s="18"/>
      <c r="AE464" s="18"/>
      <c r="AF464" s="18"/>
    </row>
    <row r="465" ht="15.75" customHeight="1">
      <c r="A465" s="18"/>
      <c r="B465" s="163"/>
      <c r="C465" s="164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8"/>
      <c r="V465" s="18"/>
      <c r="W465" s="18"/>
      <c r="X465" s="18"/>
      <c r="Y465" s="18"/>
      <c r="Z465" s="18"/>
      <c r="AA465" s="85"/>
      <c r="AB465" s="85"/>
      <c r="AC465" s="18"/>
      <c r="AD465" s="18"/>
      <c r="AE465" s="18"/>
      <c r="AF465" s="18"/>
    </row>
    <row r="466" ht="15.75" customHeight="1">
      <c r="A466" s="18"/>
      <c r="B466" s="163"/>
      <c r="C466" s="164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8"/>
      <c r="V466" s="18"/>
      <c r="W466" s="18"/>
      <c r="X466" s="18"/>
      <c r="Y466" s="18"/>
      <c r="Z466" s="18"/>
      <c r="AA466" s="85"/>
      <c r="AB466" s="85"/>
      <c r="AC466" s="18"/>
      <c r="AD466" s="18"/>
      <c r="AE466" s="18"/>
      <c r="AF466" s="18"/>
    </row>
    <row r="467" ht="15.75" customHeight="1">
      <c r="A467" s="18"/>
      <c r="B467" s="163"/>
      <c r="C467" s="164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8"/>
      <c r="V467" s="18"/>
      <c r="W467" s="18"/>
      <c r="X467" s="18"/>
      <c r="Y467" s="18"/>
      <c r="Z467" s="18"/>
      <c r="AA467" s="85"/>
      <c r="AB467" s="85"/>
      <c r="AC467" s="18"/>
      <c r="AD467" s="18"/>
      <c r="AE467" s="18"/>
      <c r="AF467" s="18"/>
    </row>
    <row r="468" ht="15.75" customHeight="1">
      <c r="A468" s="18"/>
      <c r="B468" s="163"/>
      <c r="C468" s="164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8"/>
      <c r="V468" s="18"/>
      <c r="W468" s="18"/>
      <c r="X468" s="18"/>
      <c r="Y468" s="18"/>
      <c r="Z468" s="18"/>
      <c r="AA468" s="85"/>
      <c r="AB468" s="85"/>
      <c r="AC468" s="18"/>
      <c r="AD468" s="18"/>
      <c r="AE468" s="18"/>
      <c r="AF468" s="18"/>
    </row>
    <row r="469" ht="15.75" customHeight="1">
      <c r="A469" s="18"/>
      <c r="B469" s="163"/>
      <c r="C469" s="164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8"/>
      <c r="V469" s="18"/>
      <c r="W469" s="18"/>
      <c r="X469" s="18"/>
      <c r="Y469" s="18"/>
      <c r="Z469" s="18"/>
      <c r="AA469" s="85"/>
      <c r="AB469" s="85"/>
      <c r="AC469" s="18"/>
      <c r="AD469" s="18"/>
      <c r="AE469" s="18"/>
      <c r="AF469" s="18"/>
    </row>
    <row r="470" ht="15.75" customHeight="1">
      <c r="A470" s="18"/>
      <c r="B470" s="163"/>
      <c r="C470" s="164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8"/>
      <c r="V470" s="18"/>
      <c r="W470" s="18"/>
      <c r="X470" s="18"/>
      <c r="Y470" s="18"/>
      <c r="Z470" s="18"/>
      <c r="AA470" s="85"/>
      <c r="AB470" s="85"/>
      <c r="AC470" s="18"/>
      <c r="AD470" s="18"/>
      <c r="AE470" s="18"/>
      <c r="AF470" s="18"/>
    </row>
    <row r="471" ht="15.75" customHeight="1">
      <c r="A471" s="18"/>
      <c r="B471" s="163"/>
      <c r="C471" s="164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8"/>
      <c r="V471" s="18"/>
      <c r="W471" s="18"/>
      <c r="X471" s="18"/>
      <c r="Y471" s="18"/>
      <c r="Z471" s="18"/>
      <c r="AA471" s="85"/>
      <c r="AB471" s="85"/>
      <c r="AC471" s="18"/>
      <c r="AD471" s="18"/>
      <c r="AE471" s="18"/>
      <c r="AF471" s="18"/>
    </row>
    <row r="472" ht="15.75" customHeight="1">
      <c r="A472" s="18"/>
      <c r="B472" s="163"/>
      <c r="C472" s="164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8"/>
      <c r="V472" s="18"/>
      <c r="W472" s="18"/>
      <c r="X472" s="18"/>
      <c r="Y472" s="18"/>
      <c r="Z472" s="18"/>
      <c r="AA472" s="85"/>
      <c r="AB472" s="85"/>
      <c r="AC472" s="18"/>
      <c r="AD472" s="18"/>
      <c r="AE472" s="18"/>
      <c r="AF472" s="18"/>
    </row>
    <row r="473" ht="15.75" customHeight="1">
      <c r="A473" s="18"/>
      <c r="B473" s="163"/>
      <c r="C473" s="164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8"/>
      <c r="V473" s="18"/>
      <c r="W473" s="18"/>
      <c r="X473" s="18"/>
      <c r="Y473" s="18"/>
      <c r="Z473" s="18"/>
      <c r="AA473" s="85"/>
      <c r="AB473" s="85"/>
      <c r="AC473" s="18"/>
      <c r="AD473" s="18"/>
      <c r="AE473" s="18"/>
      <c r="AF473" s="18"/>
    </row>
    <row r="474" ht="15.75" customHeight="1">
      <c r="A474" s="18"/>
      <c r="B474" s="163"/>
      <c r="C474" s="164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8"/>
      <c r="V474" s="18"/>
      <c r="W474" s="18"/>
      <c r="X474" s="18"/>
      <c r="Y474" s="18"/>
      <c r="Z474" s="18"/>
      <c r="AA474" s="85"/>
      <c r="AB474" s="85"/>
      <c r="AC474" s="18"/>
      <c r="AD474" s="18"/>
      <c r="AE474" s="18"/>
      <c r="AF474" s="18"/>
    </row>
    <row r="475" ht="15.75" customHeight="1">
      <c r="A475" s="18"/>
      <c r="B475" s="163"/>
      <c r="C475" s="164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8"/>
      <c r="V475" s="18"/>
      <c r="W475" s="18"/>
      <c r="X475" s="18"/>
      <c r="Y475" s="18"/>
      <c r="Z475" s="18"/>
      <c r="AA475" s="85"/>
      <c r="AB475" s="85"/>
      <c r="AC475" s="18"/>
      <c r="AD475" s="18"/>
      <c r="AE475" s="18"/>
      <c r="AF475" s="18"/>
    </row>
    <row r="476" ht="15.75" customHeight="1">
      <c r="A476" s="18"/>
      <c r="B476" s="163"/>
      <c r="C476" s="164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8"/>
      <c r="V476" s="18"/>
      <c r="W476" s="18"/>
      <c r="X476" s="18"/>
      <c r="Y476" s="18"/>
      <c r="Z476" s="18"/>
      <c r="AA476" s="85"/>
      <c r="AB476" s="85"/>
      <c r="AC476" s="18"/>
      <c r="AD476" s="18"/>
      <c r="AE476" s="18"/>
      <c r="AF476" s="18"/>
    </row>
    <row r="477" ht="15.75" customHeight="1">
      <c r="A477" s="18"/>
      <c r="B477" s="163"/>
      <c r="C477" s="164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8"/>
      <c r="V477" s="18"/>
      <c r="W477" s="18"/>
      <c r="X477" s="18"/>
      <c r="Y477" s="18"/>
      <c r="Z477" s="18"/>
      <c r="AA477" s="85"/>
      <c r="AB477" s="85"/>
      <c r="AC477" s="18"/>
      <c r="AD477" s="18"/>
      <c r="AE477" s="18"/>
      <c r="AF477" s="18"/>
    </row>
    <row r="478" ht="15.75" customHeight="1">
      <c r="A478" s="18"/>
      <c r="B478" s="163"/>
      <c r="C478" s="164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8"/>
      <c r="V478" s="18"/>
      <c r="W478" s="18"/>
      <c r="X478" s="18"/>
      <c r="Y478" s="18"/>
      <c r="Z478" s="18"/>
      <c r="AA478" s="85"/>
      <c r="AB478" s="85"/>
      <c r="AC478" s="18"/>
      <c r="AD478" s="18"/>
      <c r="AE478" s="18"/>
      <c r="AF478" s="18"/>
    </row>
    <row r="479" ht="15.75" customHeight="1">
      <c r="A479" s="18"/>
      <c r="B479" s="163"/>
      <c r="C479" s="164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8"/>
      <c r="V479" s="18"/>
      <c r="W479" s="18"/>
      <c r="X479" s="18"/>
      <c r="Y479" s="18"/>
      <c r="Z479" s="18"/>
      <c r="AA479" s="85"/>
      <c r="AB479" s="85"/>
      <c r="AC479" s="18"/>
      <c r="AD479" s="18"/>
      <c r="AE479" s="18"/>
      <c r="AF479" s="18"/>
    </row>
    <row r="480" ht="15.75" customHeight="1">
      <c r="A480" s="18"/>
      <c r="B480" s="163"/>
      <c r="C480" s="164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8"/>
      <c r="V480" s="18"/>
      <c r="W480" s="18"/>
      <c r="X480" s="18"/>
      <c r="Y480" s="18"/>
      <c r="Z480" s="18"/>
      <c r="AA480" s="85"/>
      <c r="AB480" s="85"/>
      <c r="AC480" s="18"/>
      <c r="AD480" s="18"/>
      <c r="AE480" s="18"/>
      <c r="AF480" s="18"/>
    </row>
    <row r="481" ht="15.75" customHeight="1">
      <c r="A481" s="18"/>
      <c r="B481" s="163"/>
      <c r="C481" s="164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8"/>
      <c r="V481" s="18"/>
      <c r="W481" s="18"/>
      <c r="X481" s="18"/>
      <c r="Y481" s="18"/>
      <c r="Z481" s="18"/>
      <c r="AA481" s="85"/>
      <c r="AB481" s="85"/>
      <c r="AC481" s="18"/>
      <c r="AD481" s="18"/>
      <c r="AE481" s="18"/>
      <c r="AF481" s="18"/>
    </row>
    <row r="482" ht="15.75" customHeight="1">
      <c r="A482" s="18"/>
      <c r="B482" s="163"/>
      <c r="C482" s="164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8"/>
      <c r="V482" s="18"/>
      <c r="W482" s="18"/>
      <c r="X482" s="18"/>
      <c r="Y482" s="18"/>
      <c r="Z482" s="18"/>
      <c r="AA482" s="85"/>
      <c r="AB482" s="85"/>
      <c r="AC482" s="18"/>
      <c r="AD482" s="18"/>
      <c r="AE482" s="18"/>
      <c r="AF482" s="18"/>
    </row>
    <row r="483" ht="15.75" customHeight="1">
      <c r="A483" s="18"/>
      <c r="B483" s="163"/>
      <c r="C483" s="164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8"/>
      <c r="V483" s="18"/>
      <c r="W483" s="18"/>
      <c r="X483" s="18"/>
      <c r="Y483" s="18"/>
      <c r="Z483" s="18"/>
      <c r="AA483" s="85"/>
      <c r="AB483" s="85"/>
      <c r="AC483" s="18"/>
      <c r="AD483" s="18"/>
      <c r="AE483" s="18"/>
      <c r="AF483" s="18"/>
    </row>
    <row r="484" ht="15.75" customHeight="1">
      <c r="A484" s="18"/>
      <c r="B484" s="163"/>
      <c r="C484" s="164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8"/>
      <c r="V484" s="18"/>
      <c r="W484" s="18"/>
      <c r="X484" s="18"/>
      <c r="Y484" s="18"/>
      <c r="Z484" s="18"/>
      <c r="AA484" s="85"/>
      <c r="AB484" s="85"/>
      <c r="AC484" s="18"/>
      <c r="AD484" s="18"/>
      <c r="AE484" s="18"/>
      <c r="AF484" s="18"/>
    </row>
    <row r="485" ht="15.75" customHeight="1">
      <c r="A485" s="18"/>
      <c r="B485" s="163"/>
      <c r="C485" s="164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8"/>
      <c r="V485" s="18"/>
      <c r="W485" s="18"/>
      <c r="X485" s="18"/>
      <c r="Y485" s="18"/>
      <c r="Z485" s="18"/>
      <c r="AA485" s="85"/>
      <c r="AB485" s="85"/>
      <c r="AC485" s="18"/>
      <c r="AD485" s="18"/>
      <c r="AE485" s="18"/>
      <c r="AF485" s="18"/>
    </row>
    <row r="486" ht="15.75" customHeight="1">
      <c r="A486" s="18"/>
      <c r="B486" s="163"/>
      <c r="C486" s="164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8"/>
      <c r="V486" s="18"/>
      <c r="W486" s="18"/>
      <c r="X486" s="18"/>
      <c r="Y486" s="18"/>
      <c r="Z486" s="18"/>
      <c r="AA486" s="85"/>
      <c r="AB486" s="85"/>
      <c r="AC486" s="18"/>
      <c r="AD486" s="18"/>
      <c r="AE486" s="18"/>
      <c r="AF486" s="18"/>
    </row>
    <row r="487" ht="15.75" customHeight="1">
      <c r="A487" s="18"/>
      <c r="B487" s="163"/>
      <c r="C487" s="164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8"/>
      <c r="V487" s="18"/>
      <c r="W487" s="18"/>
      <c r="X487" s="18"/>
      <c r="Y487" s="18"/>
      <c r="Z487" s="18"/>
      <c r="AA487" s="85"/>
      <c r="AB487" s="85"/>
      <c r="AC487" s="18"/>
      <c r="AD487" s="18"/>
      <c r="AE487" s="18"/>
      <c r="AF487" s="18"/>
    </row>
    <row r="488" ht="15.75" customHeight="1">
      <c r="A488" s="18"/>
      <c r="B488" s="163"/>
      <c r="C488" s="164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8"/>
      <c r="V488" s="18"/>
      <c r="W488" s="18"/>
      <c r="X488" s="18"/>
      <c r="Y488" s="18"/>
      <c r="Z488" s="18"/>
      <c r="AA488" s="85"/>
      <c r="AB488" s="85"/>
      <c r="AC488" s="18"/>
      <c r="AD488" s="18"/>
      <c r="AE488" s="18"/>
      <c r="AF488" s="18"/>
    </row>
    <row r="489" ht="15.75" customHeight="1">
      <c r="A489" s="18"/>
      <c r="B489" s="163"/>
      <c r="C489" s="164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8"/>
      <c r="V489" s="18"/>
      <c r="W489" s="18"/>
      <c r="X489" s="18"/>
      <c r="Y489" s="18"/>
      <c r="Z489" s="18"/>
      <c r="AA489" s="85"/>
      <c r="AB489" s="85"/>
      <c r="AC489" s="18"/>
      <c r="AD489" s="18"/>
      <c r="AE489" s="18"/>
      <c r="AF489" s="18"/>
    </row>
    <row r="490" ht="15.75" customHeight="1">
      <c r="A490" s="18"/>
      <c r="B490" s="163"/>
      <c r="C490" s="164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8"/>
      <c r="V490" s="18"/>
      <c r="W490" s="18"/>
      <c r="X490" s="18"/>
      <c r="Y490" s="18"/>
      <c r="Z490" s="18"/>
      <c r="AA490" s="85"/>
      <c r="AB490" s="85"/>
      <c r="AC490" s="18"/>
      <c r="AD490" s="18"/>
      <c r="AE490" s="18"/>
      <c r="AF490" s="18"/>
    </row>
    <row r="491" ht="15.75" customHeight="1">
      <c r="A491" s="18"/>
      <c r="B491" s="163"/>
      <c r="C491" s="164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8"/>
      <c r="V491" s="18"/>
      <c r="W491" s="18"/>
      <c r="X491" s="18"/>
      <c r="Y491" s="18"/>
      <c r="Z491" s="18"/>
      <c r="AA491" s="85"/>
      <c r="AB491" s="85"/>
      <c r="AC491" s="18"/>
      <c r="AD491" s="18"/>
      <c r="AE491" s="18"/>
      <c r="AF491" s="18"/>
    </row>
    <row r="492" ht="15.75" customHeight="1">
      <c r="A492" s="18"/>
      <c r="B492" s="163"/>
      <c r="C492" s="164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8"/>
      <c r="V492" s="18"/>
      <c r="W492" s="18"/>
      <c r="X492" s="18"/>
      <c r="Y492" s="18"/>
      <c r="Z492" s="18"/>
      <c r="AA492" s="85"/>
      <c r="AB492" s="85"/>
      <c r="AC492" s="18"/>
      <c r="AD492" s="18"/>
      <c r="AE492" s="18"/>
      <c r="AF492" s="18"/>
    </row>
    <row r="493" ht="15.75" customHeight="1">
      <c r="A493" s="18"/>
      <c r="B493" s="163"/>
      <c r="C493" s="164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8"/>
      <c r="V493" s="18"/>
      <c r="W493" s="18"/>
      <c r="X493" s="18"/>
      <c r="Y493" s="18"/>
      <c r="Z493" s="18"/>
      <c r="AA493" s="85"/>
      <c r="AB493" s="85"/>
      <c r="AC493" s="18"/>
      <c r="AD493" s="18"/>
      <c r="AE493" s="18"/>
      <c r="AF493" s="18"/>
    </row>
    <row r="494" ht="15.75" customHeight="1">
      <c r="A494" s="18"/>
      <c r="B494" s="163"/>
      <c r="C494" s="164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8"/>
      <c r="V494" s="18"/>
      <c r="W494" s="18"/>
      <c r="X494" s="18"/>
      <c r="Y494" s="18"/>
      <c r="Z494" s="18"/>
      <c r="AA494" s="85"/>
      <c r="AB494" s="85"/>
      <c r="AC494" s="18"/>
      <c r="AD494" s="18"/>
      <c r="AE494" s="18"/>
      <c r="AF494" s="18"/>
    </row>
    <row r="495" ht="15.75" customHeight="1">
      <c r="A495" s="18"/>
      <c r="B495" s="163"/>
      <c r="C495" s="164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8"/>
      <c r="V495" s="18"/>
      <c r="W495" s="18"/>
      <c r="X495" s="18"/>
      <c r="Y495" s="18"/>
      <c r="Z495" s="18"/>
      <c r="AA495" s="85"/>
      <c r="AB495" s="85"/>
      <c r="AC495" s="18"/>
      <c r="AD495" s="18"/>
      <c r="AE495" s="18"/>
      <c r="AF495" s="18"/>
    </row>
    <row r="496" ht="15.75" customHeight="1">
      <c r="A496" s="18"/>
      <c r="B496" s="163"/>
      <c r="C496" s="164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8"/>
      <c r="V496" s="18"/>
      <c r="W496" s="18"/>
      <c r="X496" s="18"/>
      <c r="Y496" s="18"/>
      <c r="Z496" s="18"/>
      <c r="AA496" s="85"/>
      <c r="AB496" s="85"/>
      <c r="AC496" s="18"/>
      <c r="AD496" s="18"/>
      <c r="AE496" s="18"/>
      <c r="AF496" s="18"/>
    </row>
    <row r="497" ht="15.75" customHeight="1">
      <c r="A497" s="18"/>
      <c r="B497" s="163"/>
      <c r="C497" s="164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8"/>
      <c r="V497" s="18"/>
      <c r="W497" s="18"/>
      <c r="X497" s="18"/>
      <c r="Y497" s="18"/>
      <c r="Z497" s="18"/>
      <c r="AA497" s="85"/>
      <c r="AB497" s="85"/>
      <c r="AC497" s="18"/>
      <c r="AD497" s="18"/>
      <c r="AE497" s="18"/>
      <c r="AF497" s="18"/>
    </row>
    <row r="498" ht="15.75" customHeight="1">
      <c r="A498" s="18"/>
      <c r="B498" s="163"/>
      <c r="C498" s="164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8"/>
      <c r="V498" s="18"/>
      <c r="W498" s="18"/>
      <c r="X498" s="18"/>
      <c r="Y498" s="18"/>
      <c r="Z498" s="18"/>
      <c r="AA498" s="85"/>
      <c r="AB498" s="85"/>
      <c r="AC498" s="18"/>
      <c r="AD498" s="18"/>
      <c r="AE498" s="18"/>
      <c r="AF498" s="18"/>
    </row>
    <row r="499" ht="15.75" customHeight="1">
      <c r="A499" s="18"/>
      <c r="B499" s="163"/>
      <c r="C499" s="164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8"/>
      <c r="V499" s="18"/>
      <c r="W499" s="18"/>
      <c r="X499" s="18"/>
      <c r="Y499" s="18"/>
      <c r="Z499" s="18"/>
      <c r="AA499" s="85"/>
      <c r="AB499" s="85"/>
      <c r="AC499" s="18"/>
      <c r="AD499" s="18"/>
      <c r="AE499" s="18"/>
      <c r="AF499" s="18"/>
    </row>
    <row r="500" ht="15.75" customHeight="1">
      <c r="A500" s="18"/>
      <c r="B500" s="163"/>
      <c r="C500" s="164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8"/>
      <c r="V500" s="18"/>
      <c r="W500" s="18"/>
      <c r="X500" s="18"/>
      <c r="Y500" s="18"/>
      <c r="Z500" s="18"/>
      <c r="AA500" s="85"/>
      <c r="AB500" s="85"/>
      <c r="AC500" s="18"/>
      <c r="AD500" s="18"/>
      <c r="AE500" s="18"/>
      <c r="AF500" s="18"/>
    </row>
    <row r="501" ht="15.75" customHeight="1">
      <c r="A501" s="18"/>
      <c r="B501" s="163"/>
      <c r="C501" s="164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8"/>
      <c r="V501" s="18"/>
      <c r="W501" s="18"/>
      <c r="X501" s="18"/>
      <c r="Y501" s="18"/>
      <c r="Z501" s="18"/>
      <c r="AA501" s="85"/>
      <c r="AB501" s="85"/>
      <c r="AC501" s="18"/>
      <c r="AD501" s="18"/>
      <c r="AE501" s="18"/>
      <c r="AF501" s="18"/>
    </row>
    <row r="502" ht="15.75" customHeight="1">
      <c r="A502" s="18"/>
      <c r="B502" s="163"/>
      <c r="C502" s="164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8"/>
      <c r="V502" s="18"/>
      <c r="W502" s="18"/>
      <c r="X502" s="18"/>
      <c r="Y502" s="18"/>
      <c r="Z502" s="18"/>
      <c r="AA502" s="85"/>
      <c r="AB502" s="85"/>
      <c r="AC502" s="18"/>
      <c r="AD502" s="18"/>
      <c r="AE502" s="18"/>
      <c r="AF502" s="18"/>
    </row>
    <row r="503" ht="15.75" customHeight="1">
      <c r="A503" s="18"/>
      <c r="B503" s="163"/>
      <c r="C503" s="164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8"/>
      <c r="V503" s="18"/>
      <c r="W503" s="18"/>
      <c r="X503" s="18"/>
      <c r="Y503" s="18"/>
      <c r="Z503" s="18"/>
      <c r="AA503" s="85"/>
      <c r="AB503" s="85"/>
      <c r="AC503" s="18"/>
      <c r="AD503" s="18"/>
      <c r="AE503" s="18"/>
      <c r="AF503" s="18"/>
    </row>
    <row r="504" ht="15.75" customHeight="1">
      <c r="A504" s="18"/>
      <c r="B504" s="163"/>
      <c r="C504" s="164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8"/>
      <c r="V504" s="18"/>
      <c r="W504" s="18"/>
      <c r="X504" s="18"/>
      <c r="Y504" s="18"/>
      <c r="Z504" s="18"/>
      <c r="AA504" s="85"/>
      <c r="AB504" s="85"/>
      <c r="AC504" s="18"/>
      <c r="AD504" s="18"/>
      <c r="AE504" s="18"/>
      <c r="AF504" s="18"/>
    </row>
    <row r="505" ht="15.75" customHeight="1">
      <c r="A505" s="18"/>
      <c r="B505" s="163"/>
      <c r="C505" s="164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8"/>
      <c r="V505" s="18"/>
      <c r="W505" s="18"/>
      <c r="X505" s="18"/>
      <c r="Y505" s="18"/>
      <c r="Z505" s="18"/>
      <c r="AA505" s="85"/>
      <c r="AB505" s="85"/>
      <c r="AC505" s="18"/>
      <c r="AD505" s="18"/>
      <c r="AE505" s="18"/>
      <c r="AF505" s="18"/>
    </row>
    <row r="506" ht="15.75" customHeight="1">
      <c r="A506" s="18"/>
      <c r="B506" s="163"/>
      <c r="C506" s="164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8"/>
      <c r="V506" s="18"/>
      <c r="W506" s="18"/>
      <c r="X506" s="18"/>
      <c r="Y506" s="18"/>
      <c r="Z506" s="18"/>
      <c r="AA506" s="85"/>
      <c r="AB506" s="85"/>
      <c r="AC506" s="18"/>
      <c r="AD506" s="18"/>
      <c r="AE506" s="18"/>
      <c r="AF506" s="18"/>
    </row>
    <row r="507" ht="15.75" customHeight="1">
      <c r="A507" s="18"/>
      <c r="B507" s="163"/>
      <c r="C507" s="164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8"/>
      <c r="V507" s="18"/>
      <c r="W507" s="18"/>
      <c r="X507" s="18"/>
      <c r="Y507" s="18"/>
      <c r="Z507" s="18"/>
      <c r="AA507" s="85"/>
      <c r="AB507" s="85"/>
      <c r="AC507" s="18"/>
      <c r="AD507" s="18"/>
      <c r="AE507" s="18"/>
      <c r="AF507" s="18"/>
    </row>
    <row r="508" ht="15.75" customHeight="1">
      <c r="A508" s="18"/>
      <c r="B508" s="163"/>
      <c r="C508" s="164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8"/>
      <c r="V508" s="18"/>
      <c r="W508" s="18"/>
      <c r="X508" s="18"/>
      <c r="Y508" s="18"/>
      <c r="Z508" s="18"/>
      <c r="AA508" s="85"/>
      <c r="AB508" s="85"/>
      <c r="AC508" s="18"/>
      <c r="AD508" s="18"/>
      <c r="AE508" s="18"/>
      <c r="AF508" s="18"/>
    </row>
    <row r="509" ht="15.75" customHeight="1">
      <c r="A509" s="18"/>
      <c r="B509" s="163"/>
      <c r="C509" s="164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8"/>
      <c r="V509" s="18"/>
      <c r="W509" s="18"/>
      <c r="X509" s="18"/>
      <c r="Y509" s="18"/>
      <c r="Z509" s="18"/>
      <c r="AA509" s="85"/>
      <c r="AB509" s="85"/>
      <c r="AC509" s="18"/>
      <c r="AD509" s="18"/>
      <c r="AE509" s="18"/>
      <c r="AF509" s="18"/>
    </row>
    <row r="510" ht="15.75" customHeight="1">
      <c r="A510" s="18"/>
      <c r="B510" s="163"/>
      <c r="C510" s="164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8"/>
      <c r="V510" s="18"/>
      <c r="W510" s="18"/>
      <c r="X510" s="18"/>
      <c r="Y510" s="18"/>
      <c r="Z510" s="18"/>
      <c r="AA510" s="85"/>
      <c r="AB510" s="85"/>
      <c r="AC510" s="18"/>
      <c r="AD510" s="18"/>
      <c r="AE510" s="18"/>
      <c r="AF510" s="18"/>
    </row>
    <row r="511" ht="15.75" customHeight="1">
      <c r="A511" s="18"/>
      <c r="B511" s="163"/>
      <c r="C511" s="164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8"/>
      <c r="V511" s="18"/>
      <c r="W511" s="18"/>
      <c r="X511" s="18"/>
      <c r="Y511" s="18"/>
      <c r="Z511" s="18"/>
      <c r="AA511" s="85"/>
      <c r="AB511" s="85"/>
      <c r="AC511" s="18"/>
      <c r="AD511" s="18"/>
      <c r="AE511" s="18"/>
      <c r="AF511" s="18"/>
    </row>
    <row r="512" ht="15.75" customHeight="1">
      <c r="A512" s="18"/>
      <c r="B512" s="163"/>
      <c r="C512" s="164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8"/>
      <c r="V512" s="18"/>
      <c r="W512" s="18"/>
      <c r="X512" s="18"/>
      <c r="Y512" s="18"/>
      <c r="Z512" s="18"/>
      <c r="AA512" s="85"/>
      <c r="AB512" s="85"/>
      <c r="AC512" s="18"/>
      <c r="AD512" s="18"/>
      <c r="AE512" s="18"/>
      <c r="AF512" s="18"/>
    </row>
    <row r="513" ht="15.75" customHeight="1">
      <c r="A513" s="18"/>
      <c r="B513" s="163"/>
      <c r="C513" s="164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8"/>
      <c r="V513" s="18"/>
      <c r="W513" s="18"/>
      <c r="X513" s="18"/>
      <c r="Y513" s="18"/>
      <c r="Z513" s="18"/>
      <c r="AA513" s="85"/>
      <c r="AB513" s="85"/>
      <c r="AC513" s="18"/>
      <c r="AD513" s="18"/>
      <c r="AE513" s="18"/>
      <c r="AF513" s="18"/>
    </row>
    <row r="514" ht="15.75" customHeight="1">
      <c r="A514" s="18"/>
      <c r="B514" s="163"/>
      <c r="C514" s="164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8"/>
      <c r="V514" s="18"/>
      <c r="W514" s="18"/>
      <c r="X514" s="18"/>
      <c r="Y514" s="18"/>
      <c r="Z514" s="18"/>
      <c r="AA514" s="85"/>
      <c r="AB514" s="85"/>
      <c r="AC514" s="18"/>
      <c r="AD514" s="18"/>
      <c r="AE514" s="18"/>
      <c r="AF514" s="18"/>
    </row>
    <row r="515" ht="15.75" customHeight="1">
      <c r="A515" s="18"/>
      <c r="B515" s="163"/>
      <c r="C515" s="164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8"/>
      <c r="V515" s="18"/>
      <c r="W515" s="18"/>
      <c r="X515" s="18"/>
      <c r="Y515" s="18"/>
      <c r="Z515" s="18"/>
      <c r="AA515" s="85"/>
      <c r="AB515" s="85"/>
      <c r="AC515" s="18"/>
      <c r="AD515" s="18"/>
      <c r="AE515" s="18"/>
      <c r="AF515" s="18"/>
    </row>
    <row r="516" ht="15.75" customHeight="1">
      <c r="A516" s="18"/>
      <c r="B516" s="163"/>
      <c r="C516" s="164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8"/>
      <c r="V516" s="18"/>
      <c r="W516" s="18"/>
      <c r="X516" s="18"/>
      <c r="Y516" s="18"/>
      <c r="Z516" s="18"/>
      <c r="AA516" s="85"/>
      <c r="AB516" s="85"/>
      <c r="AC516" s="18"/>
      <c r="AD516" s="18"/>
      <c r="AE516" s="18"/>
      <c r="AF516" s="18"/>
    </row>
    <row r="517" ht="15.75" customHeight="1">
      <c r="A517" s="18"/>
      <c r="B517" s="163"/>
      <c r="C517" s="164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8"/>
      <c r="V517" s="18"/>
      <c r="W517" s="18"/>
      <c r="X517" s="18"/>
      <c r="Y517" s="18"/>
      <c r="Z517" s="18"/>
      <c r="AA517" s="85"/>
      <c r="AB517" s="85"/>
      <c r="AC517" s="18"/>
      <c r="AD517" s="18"/>
      <c r="AE517" s="18"/>
      <c r="AF517" s="18"/>
    </row>
    <row r="518" ht="15.75" customHeight="1">
      <c r="A518" s="18"/>
      <c r="B518" s="163"/>
      <c r="C518" s="164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8"/>
      <c r="V518" s="18"/>
      <c r="W518" s="18"/>
      <c r="X518" s="18"/>
      <c r="Y518" s="18"/>
      <c r="Z518" s="18"/>
      <c r="AA518" s="85"/>
      <c r="AB518" s="85"/>
      <c r="AC518" s="18"/>
      <c r="AD518" s="18"/>
      <c r="AE518" s="18"/>
      <c r="AF518" s="18"/>
    </row>
    <row r="519" ht="15.75" customHeight="1">
      <c r="A519" s="18"/>
      <c r="B519" s="163"/>
      <c r="C519" s="164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8"/>
      <c r="V519" s="18"/>
      <c r="W519" s="18"/>
      <c r="X519" s="18"/>
      <c r="Y519" s="18"/>
      <c r="Z519" s="18"/>
      <c r="AA519" s="85"/>
      <c r="AB519" s="85"/>
      <c r="AC519" s="18"/>
      <c r="AD519" s="18"/>
      <c r="AE519" s="18"/>
      <c r="AF519" s="18"/>
    </row>
    <row r="520" ht="15.75" customHeight="1">
      <c r="A520" s="18"/>
      <c r="B520" s="163"/>
      <c r="C520" s="164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8"/>
      <c r="V520" s="18"/>
      <c r="W520" s="18"/>
      <c r="X520" s="18"/>
      <c r="Y520" s="18"/>
      <c r="Z520" s="18"/>
      <c r="AA520" s="85"/>
      <c r="AB520" s="85"/>
      <c r="AC520" s="18"/>
      <c r="AD520" s="18"/>
      <c r="AE520" s="18"/>
      <c r="AF520" s="18"/>
    </row>
    <row r="521" ht="15.75" customHeight="1">
      <c r="A521" s="18"/>
      <c r="B521" s="163"/>
      <c r="C521" s="164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8"/>
      <c r="V521" s="18"/>
      <c r="W521" s="18"/>
      <c r="X521" s="18"/>
      <c r="Y521" s="18"/>
      <c r="Z521" s="18"/>
      <c r="AA521" s="85"/>
      <c r="AB521" s="85"/>
      <c r="AC521" s="18"/>
      <c r="AD521" s="18"/>
      <c r="AE521" s="18"/>
      <c r="AF521" s="18"/>
    </row>
    <row r="522" ht="15.75" customHeight="1">
      <c r="A522" s="18"/>
      <c r="B522" s="163"/>
      <c r="C522" s="164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8"/>
      <c r="V522" s="18"/>
      <c r="W522" s="18"/>
      <c r="X522" s="18"/>
      <c r="Y522" s="18"/>
      <c r="Z522" s="18"/>
      <c r="AA522" s="85"/>
      <c r="AB522" s="85"/>
      <c r="AC522" s="18"/>
      <c r="AD522" s="18"/>
      <c r="AE522" s="18"/>
      <c r="AF522" s="18"/>
    </row>
    <row r="523" ht="15.75" customHeight="1">
      <c r="A523" s="18"/>
      <c r="B523" s="163"/>
      <c r="C523" s="164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8"/>
      <c r="V523" s="18"/>
      <c r="W523" s="18"/>
      <c r="X523" s="18"/>
      <c r="Y523" s="18"/>
      <c r="Z523" s="18"/>
      <c r="AA523" s="85"/>
      <c r="AB523" s="85"/>
      <c r="AC523" s="18"/>
      <c r="AD523" s="18"/>
      <c r="AE523" s="18"/>
      <c r="AF523" s="18"/>
    </row>
    <row r="524" ht="15.75" customHeight="1">
      <c r="A524" s="18"/>
      <c r="B524" s="163"/>
      <c r="C524" s="164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8"/>
      <c r="V524" s="18"/>
      <c r="W524" s="18"/>
      <c r="X524" s="18"/>
      <c r="Y524" s="18"/>
      <c r="Z524" s="18"/>
      <c r="AA524" s="85"/>
      <c r="AB524" s="85"/>
      <c r="AC524" s="18"/>
      <c r="AD524" s="18"/>
      <c r="AE524" s="18"/>
      <c r="AF524" s="18"/>
    </row>
    <row r="525" ht="15.75" customHeight="1">
      <c r="A525" s="18"/>
      <c r="B525" s="163"/>
      <c r="C525" s="164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8"/>
      <c r="V525" s="18"/>
      <c r="W525" s="18"/>
      <c r="X525" s="18"/>
      <c r="Y525" s="18"/>
      <c r="Z525" s="18"/>
      <c r="AA525" s="85"/>
      <c r="AB525" s="85"/>
      <c r="AC525" s="18"/>
      <c r="AD525" s="18"/>
      <c r="AE525" s="18"/>
      <c r="AF525" s="18"/>
    </row>
    <row r="526" ht="15.75" customHeight="1">
      <c r="A526" s="18"/>
      <c r="B526" s="163"/>
      <c r="C526" s="164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8"/>
      <c r="V526" s="18"/>
      <c r="W526" s="18"/>
      <c r="X526" s="18"/>
      <c r="Y526" s="18"/>
      <c r="Z526" s="18"/>
      <c r="AA526" s="85"/>
      <c r="AB526" s="85"/>
      <c r="AC526" s="18"/>
      <c r="AD526" s="18"/>
      <c r="AE526" s="18"/>
      <c r="AF526" s="18"/>
    </row>
    <row r="527" ht="15.75" customHeight="1">
      <c r="A527" s="18"/>
      <c r="B527" s="163"/>
      <c r="C527" s="164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8"/>
      <c r="V527" s="18"/>
      <c r="W527" s="18"/>
      <c r="X527" s="18"/>
      <c r="Y527" s="18"/>
      <c r="Z527" s="18"/>
      <c r="AA527" s="85"/>
      <c r="AB527" s="85"/>
      <c r="AC527" s="18"/>
      <c r="AD527" s="18"/>
      <c r="AE527" s="18"/>
      <c r="AF527" s="18"/>
    </row>
    <row r="528" ht="15.75" customHeight="1">
      <c r="A528" s="18"/>
      <c r="B528" s="163"/>
      <c r="C528" s="164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8"/>
      <c r="V528" s="18"/>
      <c r="W528" s="18"/>
      <c r="X528" s="18"/>
      <c r="Y528" s="18"/>
      <c r="Z528" s="18"/>
      <c r="AA528" s="85"/>
      <c r="AB528" s="85"/>
      <c r="AC528" s="18"/>
      <c r="AD528" s="18"/>
      <c r="AE528" s="18"/>
      <c r="AF528" s="18"/>
    </row>
    <row r="529" ht="15.75" customHeight="1">
      <c r="A529" s="18"/>
      <c r="B529" s="163"/>
      <c r="C529" s="164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8"/>
      <c r="V529" s="18"/>
      <c r="W529" s="18"/>
      <c r="X529" s="18"/>
      <c r="Y529" s="18"/>
      <c r="Z529" s="18"/>
      <c r="AA529" s="85"/>
      <c r="AB529" s="85"/>
      <c r="AC529" s="18"/>
      <c r="AD529" s="18"/>
      <c r="AE529" s="18"/>
      <c r="AF529" s="18"/>
    </row>
    <row r="530" ht="15.75" customHeight="1">
      <c r="A530" s="18"/>
      <c r="B530" s="163"/>
      <c r="C530" s="164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8"/>
      <c r="V530" s="18"/>
      <c r="W530" s="18"/>
      <c r="X530" s="18"/>
      <c r="Y530" s="18"/>
      <c r="Z530" s="18"/>
      <c r="AA530" s="85"/>
      <c r="AB530" s="85"/>
      <c r="AC530" s="18"/>
      <c r="AD530" s="18"/>
      <c r="AE530" s="18"/>
      <c r="AF530" s="18"/>
    </row>
    <row r="531" ht="15.75" customHeight="1">
      <c r="A531" s="18"/>
      <c r="B531" s="163"/>
      <c r="C531" s="164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8"/>
      <c r="V531" s="18"/>
      <c r="W531" s="18"/>
      <c r="X531" s="18"/>
      <c r="Y531" s="18"/>
      <c r="Z531" s="18"/>
      <c r="AA531" s="85"/>
      <c r="AB531" s="85"/>
      <c r="AC531" s="18"/>
      <c r="AD531" s="18"/>
      <c r="AE531" s="18"/>
      <c r="AF531" s="18"/>
    </row>
    <row r="532" ht="15.75" customHeight="1">
      <c r="A532" s="18"/>
      <c r="B532" s="163"/>
      <c r="C532" s="164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8"/>
      <c r="V532" s="18"/>
      <c r="W532" s="18"/>
      <c r="X532" s="18"/>
      <c r="Y532" s="18"/>
      <c r="Z532" s="18"/>
      <c r="AA532" s="85"/>
      <c r="AB532" s="85"/>
      <c r="AC532" s="18"/>
      <c r="AD532" s="18"/>
      <c r="AE532" s="18"/>
      <c r="AF532" s="18"/>
    </row>
    <row r="533" ht="15.75" customHeight="1">
      <c r="A533" s="18"/>
      <c r="B533" s="163"/>
      <c r="C533" s="164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8"/>
      <c r="V533" s="18"/>
      <c r="W533" s="18"/>
      <c r="X533" s="18"/>
      <c r="Y533" s="18"/>
      <c r="Z533" s="18"/>
      <c r="AA533" s="85"/>
      <c r="AB533" s="85"/>
      <c r="AC533" s="18"/>
      <c r="AD533" s="18"/>
      <c r="AE533" s="18"/>
      <c r="AF533" s="18"/>
    </row>
    <row r="534" ht="15.75" customHeight="1">
      <c r="A534" s="18"/>
      <c r="B534" s="163"/>
      <c r="C534" s="164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8"/>
      <c r="V534" s="18"/>
      <c r="W534" s="18"/>
      <c r="X534" s="18"/>
      <c r="Y534" s="18"/>
      <c r="Z534" s="18"/>
      <c r="AA534" s="85"/>
      <c r="AB534" s="85"/>
      <c r="AC534" s="18"/>
      <c r="AD534" s="18"/>
      <c r="AE534" s="18"/>
      <c r="AF534" s="18"/>
    </row>
    <row r="535" ht="15.75" customHeight="1">
      <c r="A535" s="18"/>
      <c r="B535" s="163"/>
      <c r="C535" s="164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8"/>
      <c r="V535" s="18"/>
      <c r="W535" s="18"/>
      <c r="X535" s="18"/>
      <c r="Y535" s="18"/>
      <c r="Z535" s="18"/>
      <c r="AA535" s="85"/>
      <c r="AB535" s="85"/>
      <c r="AC535" s="18"/>
      <c r="AD535" s="18"/>
      <c r="AE535" s="18"/>
      <c r="AF535" s="18"/>
    </row>
    <row r="536" ht="15.75" customHeight="1">
      <c r="A536" s="18"/>
      <c r="B536" s="163"/>
      <c r="C536" s="164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8"/>
      <c r="V536" s="18"/>
      <c r="W536" s="18"/>
      <c r="X536" s="18"/>
      <c r="Y536" s="18"/>
      <c r="Z536" s="18"/>
      <c r="AA536" s="85"/>
      <c r="AB536" s="85"/>
      <c r="AC536" s="18"/>
      <c r="AD536" s="18"/>
      <c r="AE536" s="18"/>
      <c r="AF536" s="18"/>
    </row>
    <row r="537" ht="15.75" customHeight="1">
      <c r="A537" s="18"/>
      <c r="B537" s="163"/>
      <c r="C537" s="164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8"/>
      <c r="V537" s="18"/>
      <c r="W537" s="18"/>
      <c r="X537" s="18"/>
      <c r="Y537" s="18"/>
      <c r="Z537" s="18"/>
      <c r="AA537" s="85"/>
      <c r="AB537" s="85"/>
      <c r="AC537" s="18"/>
      <c r="AD537" s="18"/>
      <c r="AE537" s="18"/>
      <c r="AF537" s="18"/>
    </row>
    <row r="538" ht="15.75" customHeight="1">
      <c r="A538" s="18"/>
      <c r="B538" s="163"/>
      <c r="C538" s="164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8"/>
      <c r="V538" s="18"/>
      <c r="W538" s="18"/>
      <c r="X538" s="18"/>
      <c r="Y538" s="18"/>
      <c r="Z538" s="18"/>
      <c r="AA538" s="85"/>
      <c r="AB538" s="85"/>
      <c r="AC538" s="18"/>
      <c r="AD538" s="18"/>
      <c r="AE538" s="18"/>
      <c r="AF538" s="18"/>
    </row>
    <row r="539" ht="15.75" customHeight="1">
      <c r="A539" s="18"/>
      <c r="B539" s="163"/>
      <c r="C539" s="164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8"/>
      <c r="V539" s="18"/>
      <c r="W539" s="18"/>
      <c r="X539" s="18"/>
      <c r="Y539" s="18"/>
      <c r="Z539" s="18"/>
      <c r="AA539" s="85"/>
      <c r="AB539" s="85"/>
      <c r="AC539" s="18"/>
      <c r="AD539" s="18"/>
      <c r="AE539" s="18"/>
      <c r="AF539" s="18"/>
    </row>
    <row r="540" ht="15.75" customHeight="1">
      <c r="A540" s="18"/>
      <c r="B540" s="163"/>
      <c r="C540" s="164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8"/>
      <c r="V540" s="18"/>
      <c r="W540" s="18"/>
      <c r="X540" s="18"/>
      <c r="Y540" s="18"/>
      <c r="Z540" s="18"/>
      <c r="AA540" s="85"/>
      <c r="AB540" s="85"/>
      <c r="AC540" s="18"/>
      <c r="AD540" s="18"/>
      <c r="AE540" s="18"/>
      <c r="AF540" s="18"/>
    </row>
    <row r="541" ht="15.75" customHeight="1">
      <c r="A541" s="18"/>
      <c r="B541" s="163"/>
      <c r="C541" s="164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8"/>
      <c r="V541" s="18"/>
      <c r="W541" s="18"/>
      <c r="X541" s="18"/>
      <c r="Y541" s="18"/>
      <c r="Z541" s="18"/>
      <c r="AA541" s="85"/>
      <c r="AB541" s="85"/>
      <c r="AC541" s="18"/>
      <c r="AD541" s="18"/>
      <c r="AE541" s="18"/>
      <c r="AF541" s="18"/>
    </row>
    <row r="542" ht="15.75" customHeight="1">
      <c r="A542" s="18"/>
      <c r="B542" s="163"/>
      <c r="C542" s="164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8"/>
      <c r="V542" s="18"/>
      <c r="W542" s="18"/>
      <c r="X542" s="18"/>
      <c r="Y542" s="18"/>
      <c r="Z542" s="18"/>
      <c r="AA542" s="85"/>
      <c r="AB542" s="85"/>
      <c r="AC542" s="18"/>
      <c r="AD542" s="18"/>
      <c r="AE542" s="18"/>
      <c r="AF542" s="18"/>
    </row>
    <row r="543" ht="15.75" customHeight="1">
      <c r="A543" s="18"/>
      <c r="B543" s="163"/>
      <c r="C543" s="164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8"/>
      <c r="V543" s="18"/>
      <c r="W543" s="18"/>
      <c r="X543" s="18"/>
      <c r="Y543" s="18"/>
      <c r="Z543" s="18"/>
      <c r="AA543" s="85"/>
      <c r="AB543" s="85"/>
      <c r="AC543" s="18"/>
      <c r="AD543" s="18"/>
      <c r="AE543" s="18"/>
      <c r="AF543" s="18"/>
    </row>
    <row r="544" ht="15.75" customHeight="1">
      <c r="A544" s="18"/>
      <c r="B544" s="163"/>
      <c r="C544" s="164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8"/>
      <c r="V544" s="18"/>
      <c r="W544" s="18"/>
      <c r="X544" s="18"/>
      <c r="Y544" s="18"/>
      <c r="Z544" s="18"/>
      <c r="AA544" s="85"/>
      <c r="AB544" s="85"/>
      <c r="AC544" s="18"/>
      <c r="AD544" s="18"/>
      <c r="AE544" s="18"/>
      <c r="AF544" s="18"/>
    </row>
    <row r="545" ht="15.75" customHeight="1">
      <c r="A545" s="18"/>
      <c r="B545" s="163"/>
      <c r="C545" s="164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8"/>
      <c r="V545" s="18"/>
      <c r="W545" s="18"/>
      <c r="X545" s="18"/>
      <c r="Y545" s="18"/>
      <c r="Z545" s="18"/>
      <c r="AA545" s="85"/>
      <c r="AB545" s="85"/>
      <c r="AC545" s="18"/>
      <c r="AD545" s="18"/>
      <c r="AE545" s="18"/>
      <c r="AF545" s="18"/>
    </row>
    <row r="546" ht="15.75" customHeight="1">
      <c r="A546" s="18"/>
      <c r="B546" s="163"/>
      <c r="C546" s="164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8"/>
      <c r="V546" s="18"/>
      <c r="W546" s="18"/>
      <c r="X546" s="18"/>
      <c r="Y546" s="18"/>
      <c r="Z546" s="18"/>
      <c r="AA546" s="85"/>
      <c r="AB546" s="85"/>
      <c r="AC546" s="18"/>
      <c r="AD546" s="18"/>
      <c r="AE546" s="18"/>
      <c r="AF546" s="18"/>
    </row>
    <row r="547" ht="15.75" customHeight="1">
      <c r="A547" s="18"/>
      <c r="B547" s="163"/>
      <c r="C547" s="164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8"/>
      <c r="V547" s="18"/>
      <c r="W547" s="18"/>
      <c r="X547" s="18"/>
      <c r="Y547" s="18"/>
      <c r="Z547" s="18"/>
      <c r="AA547" s="85"/>
      <c r="AB547" s="85"/>
      <c r="AC547" s="18"/>
      <c r="AD547" s="18"/>
      <c r="AE547" s="18"/>
      <c r="AF547" s="18"/>
    </row>
    <row r="548" ht="15.75" customHeight="1">
      <c r="A548" s="18"/>
      <c r="B548" s="163"/>
      <c r="C548" s="164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8"/>
      <c r="V548" s="18"/>
      <c r="W548" s="18"/>
      <c r="X548" s="18"/>
      <c r="Y548" s="18"/>
      <c r="Z548" s="18"/>
      <c r="AA548" s="85"/>
      <c r="AB548" s="85"/>
      <c r="AC548" s="18"/>
      <c r="AD548" s="18"/>
      <c r="AE548" s="18"/>
      <c r="AF548" s="18"/>
    </row>
    <row r="549" ht="15.75" customHeight="1">
      <c r="A549" s="18"/>
      <c r="B549" s="163"/>
      <c r="C549" s="164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8"/>
      <c r="V549" s="18"/>
      <c r="W549" s="18"/>
      <c r="X549" s="18"/>
      <c r="Y549" s="18"/>
      <c r="Z549" s="18"/>
      <c r="AA549" s="85"/>
      <c r="AB549" s="85"/>
      <c r="AC549" s="18"/>
      <c r="AD549" s="18"/>
      <c r="AE549" s="18"/>
      <c r="AF549" s="18"/>
    </row>
    <row r="550" ht="15.75" customHeight="1">
      <c r="A550" s="18"/>
      <c r="B550" s="163"/>
      <c r="C550" s="164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8"/>
      <c r="V550" s="18"/>
      <c r="W550" s="18"/>
      <c r="X550" s="18"/>
      <c r="Y550" s="18"/>
      <c r="Z550" s="18"/>
      <c r="AA550" s="85"/>
      <c r="AB550" s="85"/>
      <c r="AC550" s="18"/>
      <c r="AD550" s="18"/>
      <c r="AE550" s="18"/>
      <c r="AF550" s="18"/>
    </row>
    <row r="551" ht="15.75" customHeight="1">
      <c r="A551" s="18"/>
      <c r="B551" s="163"/>
      <c r="C551" s="164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8"/>
      <c r="V551" s="18"/>
      <c r="W551" s="18"/>
      <c r="X551" s="18"/>
      <c r="Y551" s="18"/>
      <c r="Z551" s="18"/>
      <c r="AA551" s="85"/>
      <c r="AB551" s="85"/>
      <c r="AC551" s="18"/>
      <c r="AD551" s="18"/>
      <c r="AE551" s="18"/>
      <c r="AF551" s="18"/>
    </row>
    <row r="552" ht="15.75" customHeight="1">
      <c r="A552" s="18"/>
      <c r="B552" s="163"/>
      <c r="C552" s="164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8"/>
      <c r="V552" s="18"/>
      <c r="W552" s="18"/>
      <c r="X552" s="18"/>
      <c r="Y552" s="18"/>
      <c r="Z552" s="18"/>
      <c r="AA552" s="85"/>
      <c r="AB552" s="85"/>
      <c r="AC552" s="18"/>
      <c r="AD552" s="18"/>
      <c r="AE552" s="18"/>
      <c r="AF552" s="18"/>
    </row>
    <row r="553" ht="15.75" customHeight="1">
      <c r="A553" s="18"/>
      <c r="B553" s="163"/>
      <c r="C553" s="164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8"/>
      <c r="V553" s="18"/>
      <c r="W553" s="18"/>
      <c r="X553" s="18"/>
      <c r="Y553" s="18"/>
      <c r="Z553" s="18"/>
      <c r="AA553" s="85"/>
      <c r="AB553" s="85"/>
      <c r="AC553" s="18"/>
      <c r="AD553" s="18"/>
      <c r="AE553" s="18"/>
      <c r="AF553" s="18"/>
    </row>
    <row r="554" ht="15.75" customHeight="1">
      <c r="A554" s="18"/>
      <c r="B554" s="163"/>
      <c r="C554" s="164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8"/>
      <c r="V554" s="18"/>
      <c r="W554" s="18"/>
      <c r="X554" s="18"/>
      <c r="Y554" s="18"/>
      <c r="Z554" s="18"/>
      <c r="AA554" s="85"/>
      <c r="AB554" s="85"/>
      <c r="AC554" s="18"/>
      <c r="AD554" s="18"/>
      <c r="AE554" s="18"/>
      <c r="AF554" s="18"/>
    </row>
    <row r="555" ht="15.75" customHeight="1">
      <c r="A555" s="18"/>
      <c r="B555" s="163"/>
      <c r="C555" s="164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8"/>
      <c r="V555" s="18"/>
      <c r="W555" s="18"/>
      <c r="X555" s="18"/>
      <c r="Y555" s="18"/>
      <c r="Z555" s="18"/>
      <c r="AA555" s="85"/>
      <c r="AB555" s="85"/>
      <c r="AC555" s="18"/>
      <c r="AD555" s="18"/>
      <c r="AE555" s="18"/>
      <c r="AF555" s="18"/>
    </row>
    <row r="556" ht="15.75" customHeight="1">
      <c r="A556" s="18"/>
      <c r="B556" s="163"/>
      <c r="C556" s="164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8"/>
      <c r="V556" s="18"/>
      <c r="W556" s="18"/>
      <c r="X556" s="18"/>
      <c r="Y556" s="18"/>
      <c r="Z556" s="18"/>
      <c r="AA556" s="85"/>
      <c r="AB556" s="85"/>
      <c r="AC556" s="18"/>
      <c r="AD556" s="18"/>
      <c r="AE556" s="18"/>
      <c r="AF556" s="18"/>
    </row>
    <row r="557" ht="15.75" customHeight="1">
      <c r="A557" s="18"/>
      <c r="B557" s="163"/>
      <c r="C557" s="164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8"/>
      <c r="V557" s="18"/>
      <c r="W557" s="18"/>
      <c r="X557" s="18"/>
      <c r="Y557" s="18"/>
      <c r="Z557" s="18"/>
      <c r="AA557" s="85"/>
      <c r="AB557" s="85"/>
      <c r="AC557" s="18"/>
      <c r="AD557" s="18"/>
      <c r="AE557" s="18"/>
      <c r="AF557" s="18"/>
    </row>
    <row r="558" ht="15.75" customHeight="1">
      <c r="A558" s="18"/>
      <c r="B558" s="163"/>
      <c r="C558" s="164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8"/>
      <c r="V558" s="18"/>
      <c r="W558" s="18"/>
      <c r="X558" s="18"/>
      <c r="Y558" s="18"/>
      <c r="Z558" s="18"/>
      <c r="AA558" s="85"/>
      <c r="AB558" s="85"/>
      <c r="AC558" s="18"/>
      <c r="AD558" s="18"/>
      <c r="AE558" s="18"/>
      <c r="AF558" s="18"/>
    </row>
    <row r="559" ht="15.75" customHeight="1">
      <c r="A559" s="18"/>
      <c r="B559" s="163"/>
      <c r="C559" s="164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8"/>
      <c r="V559" s="18"/>
      <c r="W559" s="18"/>
      <c r="X559" s="18"/>
      <c r="Y559" s="18"/>
      <c r="Z559" s="18"/>
      <c r="AA559" s="85"/>
      <c r="AB559" s="85"/>
      <c r="AC559" s="18"/>
      <c r="AD559" s="18"/>
      <c r="AE559" s="18"/>
      <c r="AF559" s="18"/>
    </row>
    <row r="560" ht="15.75" customHeight="1">
      <c r="A560" s="18"/>
      <c r="B560" s="163"/>
      <c r="C560" s="164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8"/>
      <c r="V560" s="18"/>
      <c r="W560" s="18"/>
      <c r="X560" s="18"/>
      <c r="Y560" s="18"/>
      <c r="Z560" s="18"/>
      <c r="AA560" s="85"/>
      <c r="AB560" s="85"/>
      <c r="AC560" s="18"/>
      <c r="AD560" s="18"/>
      <c r="AE560" s="18"/>
      <c r="AF560" s="18"/>
    </row>
    <row r="561" ht="15.75" customHeight="1">
      <c r="A561" s="18"/>
      <c r="B561" s="163"/>
      <c r="C561" s="164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8"/>
      <c r="V561" s="18"/>
      <c r="W561" s="18"/>
      <c r="X561" s="18"/>
      <c r="Y561" s="18"/>
      <c r="Z561" s="18"/>
      <c r="AA561" s="85"/>
      <c r="AB561" s="85"/>
      <c r="AC561" s="18"/>
      <c r="AD561" s="18"/>
      <c r="AE561" s="18"/>
      <c r="AF561" s="18"/>
    </row>
    <row r="562" ht="15.75" customHeight="1">
      <c r="A562" s="18"/>
      <c r="B562" s="163"/>
      <c r="C562" s="164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8"/>
      <c r="V562" s="18"/>
      <c r="W562" s="18"/>
      <c r="X562" s="18"/>
      <c r="Y562" s="18"/>
      <c r="Z562" s="18"/>
      <c r="AA562" s="85"/>
      <c r="AB562" s="85"/>
      <c r="AC562" s="18"/>
      <c r="AD562" s="18"/>
      <c r="AE562" s="18"/>
      <c r="AF562" s="18"/>
    </row>
    <row r="563" ht="15.75" customHeight="1">
      <c r="A563" s="18"/>
      <c r="B563" s="163"/>
      <c r="C563" s="164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8"/>
      <c r="V563" s="18"/>
      <c r="W563" s="18"/>
      <c r="X563" s="18"/>
      <c r="Y563" s="18"/>
      <c r="Z563" s="18"/>
      <c r="AA563" s="85"/>
      <c r="AB563" s="85"/>
      <c r="AC563" s="18"/>
      <c r="AD563" s="18"/>
      <c r="AE563" s="18"/>
      <c r="AF563" s="18"/>
    </row>
    <row r="564" ht="15.75" customHeight="1">
      <c r="A564" s="18"/>
      <c r="B564" s="163"/>
      <c r="C564" s="164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8"/>
      <c r="V564" s="18"/>
      <c r="W564" s="18"/>
      <c r="X564" s="18"/>
      <c r="Y564" s="18"/>
      <c r="Z564" s="18"/>
      <c r="AA564" s="85"/>
      <c r="AB564" s="85"/>
      <c r="AC564" s="18"/>
      <c r="AD564" s="18"/>
      <c r="AE564" s="18"/>
      <c r="AF564" s="18"/>
    </row>
    <row r="565" ht="15.75" customHeight="1">
      <c r="A565" s="18"/>
      <c r="B565" s="163"/>
      <c r="C565" s="164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8"/>
      <c r="V565" s="18"/>
      <c r="W565" s="18"/>
      <c r="X565" s="18"/>
      <c r="Y565" s="18"/>
      <c r="Z565" s="18"/>
      <c r="AA565" s="85"/>
      <c r="AB565" s="85"/>
      <c r="AC565" s="18"/>
      <c r="AD565" s="18"/>
      <c r="AE565" s="18"/>
      <c r="AF565" s="18"/>
    </row>
    <row r="566" ht="15.75" customHeight="1">
      <c r="A566" s="18"/>
      <c r="B566" s="163"/>
      <c r="C566" s="164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8"/>
      <c r="V566" s="18"/>
      <c r="W566" s="18"/>
      <c r="X566" s="18"/>
      <c r="Y566" s="18"/>
      <c r="Z566" s="18"/>
      <c r="AA566" s="85"/>
      <c r="AB566" s="85"/>
      <c r="AC566" s="18"/>
      <c r="AD566" s="18"/>
      <c r="AE566" s="18"/>
      <c r="AF566" s="18"/>
    </row>
    <row r="567" ht="15.75" customHeight="1">
      <c r="A567" s="18"/>
      <c r="B567" s="163"/>
      <c r="C567" s="164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8"/>
      <c r="V567" s="18"/>
      <c r="W567" s="18"/>
      <c r="X567" s="18"/>
      <c r="Y567" s="18"/>
      <c r="Z567" s="18"/>
      <c r="AA567" s="85"/>
      <c r="AB567" s="85"/>
      <c r="AC567" s="18"/>
      <c r="AD567" s="18"/>
      <c r="AE567" s="18"/>
      <c r="AF567" s="18"/>
    </row>
    <row r="568" ht="15.75" customHeight="1">
      <c r="A568" s="18"/>
      <c r="B568" s="163"/>
      <c r="C568" s="164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8"/>
      <c r="V568" s="18"/>
      <c r="W568" s="18"/>
      <c r="X568" s="18"/>
      <c r="Y568" s="18"/>
      <c r="Z568" s="18"/>
      <c r="AA568" s="85"/>
      <c r="AB568" s="85"/>
      <c r="AC568" s="18"/>
      <c r="AD568" s="18"/>
      <c r="AE568" s="18"/>
      <c r="AF568" s="18"/>
    </row>
    <row r="569" ht="15.75" customHeight="1">
      <c r="A569" s="18"/>
      <c r="B569" s="163"/>
      <c r="C569" s="164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8"/>
      <c r="V569" s="18"/>
      <c r="W569" s="18"/>
      <c r="X569" s="18"/>
      <c r="Y569" s="18"/>
      <c r="Z569" s="18"/>
      <c r="AA569" s="85"/>
      <c r="AB569" s="85"/>
      <c r="AC569" s="18"/>
      <c r="AD569" s="18"/>
      <c r="AE569" s="18"/>
      <c r="AF569" s="18"/>
    </row>
    <row r="570" ht="15.75" customHeight="1">
      <c r="A570" s="18"/>
      <c r="B570" s="163"/>
      <c r="C570" s="164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8"/>
      <c r="V570" s="18"/>
      <c r="W570" s="18"/>
      <c r="X570" s="18"/>
      <c r="Y570" s="18"/>
      <c r="Z570" s="18"/>
      <c r="AA570" s="85"/>
      <c r="AB570" s="85"/>
      <c r="AC570" s="18"/>
      <c r="AD570" s="18"/>
      <c r="AE570" s="18"/>
      <c r="AF570" s="18"/>
    </row>
    <row r="571" ht="15.75" customHeight="1">
      <c r="A571" s="18"/>
      <c r="B571" s="163"/>
      <c r="C571" s="164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8"/>
      <c r="V571" s="18"/>
      <c r="W571" s="18"/>
      <c r="X571" s="18"/>
      <c r="Y571" s="18"/>
      <c r="Z571" s="18"/>
      <c r="AA571" s="85"/>
      <c r="AB571" s="85"/>
      <c r="AC571" s="18"/>
      <c r="AD571" s="18"/>
      <c r="AE571" s="18"/>
      <c r="AF571" s="18"/>
    </row>
    <row r="572" ht="15.75" customHeight="1">
      <c r="A572" s="18"/>
      <c r="B572" s="163"/>
      <c r="C572" s="164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8"/>
      <c r="V572" s="18"/>
      <c r="W572" s="18"/>
      <c r="X572" s="18"/>
      <c r="Y572" s="18"/>
      <c r="Z572" s="18"/>
      <c r="AA572" s="85"/>
      <c r="AB572" s="85"/>
      <c r="AC572" s="18"/>
      <c r="AD572" s="18"/>
      <c r="AE572" s="18"/>
      <c r="AF572" s="18"/>
    </row>
    <row r="573" ht="15.75" customHeight="1">
      <c r="A573" s="18"/>
      <c r="B573" s="163"/>
      <c r="C573" s="164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8"/>
      <c r="V573" s="18"/>
      <c r="W573" s="18"/>
      <c r="X573" s="18"/>
      <c r="Y573" s="18"/>
      <c r="Z573" s="18"/>
      <c r="AA573" s="85"/>
      <c r="AB573" s="85"/>
      <c r="AC573" s="18"/>
      <c r="AD573" s="18"/>
      <c r="AE573" s="18"/>
      <c r="AF573" s="18"/>
    </row>
    <row r="574" ht="15.75" customHeight="1">
      <c r="A574" s="18"/>
      <c r="B574" s="163"/>
      <c r="C574" s="164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8"/>
      <c r="V574" s="18"/>
      <c r="W574" s="18"/>
      <c r="X574" s="18"/>
      <c r="Y574" s="18"/>
      <c r="Z574" s="18"/>
      <c r="AA574" s="85"/>
      <c r="AB574" s="85"/>
      <c r="AC574" s="18"/>
      <c r="AD574" s="18"/>
      <c r="AE574" s="18"/>
      <c r="AF574" s="18"/>
    </row>
    <row r="575" ht="15.75" customHeight="1">
      <c r="A575" s="18"/>
      <c r="B575" s="163"/>
      <c r="C575" s="164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8"/>
      <c r="V575" s="18"/>
      <c r="W575" s="18"/>
      <c r="X575" s="18"/>
      <c r="Y575" s="18"/>
      <c r="Z575" s="18"/>
      <c r="AA575" s="85"/>
      <c r="AB575" s="85"/>
      <c r="AC575" s="18"/>
      <c r="AD575" s="18"/>
      <c r="AE575" s="18"/>
      <c r="AF575" s="18"/>
    </row>
    <row r="576" ht="15.75" customHeight="1">
      <c r="A576" s="18"/>
      <c r="B576" s="163"/>
      <c r="C576" s="164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8"/>
      <c r="V576" s="18"/>
      <c r="W576" s="18"/>
      <c r="X576" s="18"/>
      <c r="Y576" s="18"/>
      <c r="Z576" s="18"/>
      <c r="AA576" s="85"/>
      <c r="AB576" s="85"/>
      <c r="AC576" s="18"/>
      <c r="AD576" s="18"/>
      <c r="AE576" s="18"/>
      <c r="AF576" s="18"/>
    </row>
    <row r="577" ht="15.75" customHeight="1">
      <c r="A577" s="18"/>
      <c r="B577" s="163"/>
      <c r="C577" s="164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8"/>
      <c r="V577" s="18"/>
      <c r="W577" s="18"/>
      <c r="X577" s="18"/>
      <c r="Y577" s="18"/>
      <c r="Z577" s="18"/>
      <c r="AA577" s="85"/>
      <c r="AB577" s="85"/>
      <c r="AC577" s="18"/>
      <c r="AD577" s="18"/>
      <c r="AE577" s="18"/>
      <c r="AF577" s="18"/>
    </row>
    <row r="578" ht="15.75" customHeight="1">
      <c r="A578" s="18"/>
      <c r="B578" s="163"/>
      <c r="C578" s="164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8"/>
      <c r="V578" s="18"/>
      <c r="W578" s="18"/>
      <c r="X578" s="18"/>
      <c r="Y578" s="18"/>
      <c r="Z578" s="18"/>
      <c r="AA578" s="85"/>
      <c r="AB578" s="85"/>
      <c r="AC578" s="18"/>
      <c r="AD578" s="18"/>
      <c r="AE578" s="18"/>
      <c r="AF578" s="18"/>
    </row>
    <row r="579" ht="15.75" customHeight="1">
      <c r="A579" s="18"/>
      <c r="B579" s="163"/>
      <c r="C579" s="164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8"/>
      <c r="V579" s="18"/>
      <c r="W579" s="18"/>
      <c r="X579" s="18"/>
      <c r="Y579" s="18"/>
      <c r="Z579" s="18"/>
      <c r="AA579" s="85"/>
      <c r="AB579" s="85"/>
      <c r="AC579" s="18"/>
      <c r="AD579" s="18"/>
      <c r="AE579" s="18"/>
      <c r="AF579" s="18"/>
    </row>
    <row r="580" ht="15.75" customHeight="1">
      <c r="A580" s="18"/>
      <c r="B580" s="163"/>
      <c r="C580" s="164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8"/>
      <c r="V580" s="18"/>
      <c r="W580" s="18"/>
      <c r="X580" s="18"/>
      <c r="Y580" s="18"/>
      <c r="Z580" s="18"/>
      <c r="AA580" s="85"/>
      <c r="AB580" s="85"/>
      <c r="AC580" s="18"/>
      <c r="AD580" s="18"/>
      <c r="AE580" s="18"/>
      <c r="AF580" s="18"/>
    </row>
    <row r="581" ht="15.75" customHeight="1">
      <c r="A581" s="18"/>
      <c r="B581" s="163"/>
      <c r="C581" s="164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8"/>
      <c r="V581" s="18"/>
      <c r="W581" s="18"/>
      <c r="X581" s="18"/>
      <c r="Y581" s="18"/>
      <c r="Z581" s="18"/>
      <c r="AA581" s="85"/>
      <c r="AB581" s="85"/>
      <c r="AC581" s="18"/>
      <c r="AD581" s="18"/>
      <c r="AE581" s="18"/>
      <c r="AF581" s="18"/>
    </row>
    <row r="582" ht="15.75" customHeight="1">
      <c r="A582" s="18"/>
      <c r="B582" s="163"/>
      <c r="C582" s="164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8"/>
      <c r="V582" s="18"/>
      <c r="W582" s="18"/>
      <c r="X582" s="18"/>
      <c r="Y582" s="18"/>
      <c r="Z582" s="18"/>
      <c r="AA582" s="85"/>
      <c r="AB582" s="85"/>
      <c r="AC582" s="18"/>
      <c r="AD582" s="18"/>
      <c r="AE582" s="18"/>
      <c r="AF582" s="18"/>
    </row>
    <row r="583" ht="15.75" customHeight="1">
      <c r="A583" s="18"/>
      <c r="B583" s="163"/>
      <c r="C583" s="164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8"/>
      <c r="V583" s="18"/>
      <c r="W583" s="18"/>
      <c r="X583" s="18"/>
      <c r="Y583" s="18"/>
      <c r="Z583" s="18"/>
      <c r="AA583" s="85"/>
      <c r="AB583" s="85"/>
      <c r="AC583" s="18"/>
      <c r="AD583" s="18"/>
      <c r="AE583" s="18"/>
      <c r="AF583" s="18"/>
    </row>
    <row r="584" ht="15.75" customHeight="1">
      <c r="A584" s="18"/>
      <c r="B584" s="163"/>
      <c r="C584" s="164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8"/>
      <c r="V584" s="18"/>
      <c r="W584" s="18"/>
      <c r="X584" s="18"/>
      <c r="Y584" s="18"/>
      <c r="Z584" s="18"/>
      <c r="AA584" s="85"/>
      <c r="AB584" s="85"/>
      <c r="AC584" s="18"/>
      <c r="AD584" s="18"/>
      <c r="AE584" s="18"/>
      <c r="AF584" s="18"/>
    </row>
    <row r="585" ht="15.75" customHeight="1">
      <c r="A585" s="18"/>
      <c r="B585" s="163"/>
      <c r="C585" s="164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8"/>
      <c r="V585" s="18"/>
      <c r="W585" s="18"/>
      <c r="X585" s="18"/>
      <c r="Y585" s="18"/>
      <c r="Z585" s="18"/>
      <c r="AA585" s="85"/>
      <c r="AB585" s="85"/>
      <c r="AC585" s="18"/>
      <c r="AD585" s="18"/>
      <c r="AE585" s="18"/>
      <c r="AF585" s="18"/>
    </row>
    <row r="586" ht="15.75" customHeight="1">
      <c r="A586" s="18"/>
      <c r="B586" s="163"/>
      <c r="C586" s="164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8"/>
      <c r="V586" s="18"/>
      <c r="W586" s="18"/>
      <c r="X586" s="18"/>
      <c r="Y586" s="18"/>
      <c r="Z586" s="18"/>
      <c r="AA586" s="85"/>
      <c r="AB586" s="85"/>
      <c r="AC586" s="18"/>
      <c r="AD586" s="18"/>
      <c r="AE586" s="18"/>
      <c r="AF586" s="18"/>
    </row>
    <row r="587" ht="15.75" customHeight="1">
      <c r="A587" s="18"/>
      <c r="B587" s="163"/>
      <c r="C587" s="164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8"/>
      <c r="V587" s="18"/>
      <c r="W587" s="18"/>
      <c r="X587" s="18"/>
      <c r="Y587" s="18"/>
      <c r="Z587" s="18"/>
      <c r="AA587" s="85"/>
      <c r="AB587" s="85"/>
      <c r="AC587" s="18"/>
      <c r="AD587" s="18"/>
      <c r="AE587" s="18"/>
      <c r="AF587" s="18"/>
    </row>
    <row r="588" ht="15.75" customHeight="1">
      <c r="A588" s="18"/>
      <c r="B588" s="163"/>
      <c r="C588" s="164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8"/>
      <c r="V588" s="18"/>
      <c r="W588" s="18"/>
      <c r="X588" s="18"/>
      <c r="Y588" s="18"/>
      <c r="Z588" s="18"/>
      <c r="AA588" s="85"/>
      <c r="AB588" s="85"/>
      <c r="AC588" s="18"/>
      <c r="AD588" s="18"/>
      <c r="AE588" s="18"/>
      <c r="AF588" s="18"/>
    </row>
    <row r="589" ht="15.75" customHeight="1">
      <c r="A589" s="18"/>
      <c r="B589" s="163"/>
      <c r="C589" s="164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8"/>
      <c r="V589" s="18"/>
      <c r="W589" s="18"/>
      <c r="X589" s="18"/>
      <c r="Y589" s="18"/>
      <c r="Z589" s="18"/>
      <c r="AA589" s="85"/>
      <c r="AB589" s="85"/>
      <c r="AC589" s="18"/>
      <c r="AD589" s="18"/>
      <c r="AE589" s="18"/>
      <c r="AF589" s="18"/>
    </row>
    <row r="590" ht="15.75" customHeight="1">
      <c r="A590" s="18"/>
      <c r="B590" s="163"/>
      <c r="C590" s="164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8"/>
      <c r="V590" s="18"/>
      <c r="W590" s="18"/>
      <c r="X590" s="18"/>
      <c r="Y590" s="18"/>
      <c r="Z590" s="18"/>
      <c r="AA590" s="85"/>
      <c r="AB590" s="85"/>
      <c r="AC590" s="18"/>
      <c r="AD590" s="18"/>
      <c r="AE590" s="18"/>
      <c r="AF590" s="18"/>
    </row>
    <row r="591" ht="15.75" customHeight="1">
      <c r="A591" s="18"/>
      <c r="B591" s="163"/>
      <c r="C591" s="164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8"/>
      <c r="V591" s="18"/>
      <c r="W591" s="18"/>
      <c r="X591" s="18"/>
      <c r="Y591" s="18"/>
      <c r="Z591" s="18"/>
      <c r="AA591" s="85"/>
      <c r="AB591" s="85"/>
      <c r="AC591" s="18"/>
      <c r="AD591" s="18"/>
      <c r="AE591" s="18"/>
      <c r="AF591" s="18"/>
    </row>
    <row r="592" ht="15.75" customHeight="1">
      <c r="A592" s="18"/>
      <c r="B592" s="163"/>
      <c r="C592" s="164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8"/>
      <c r="V592" s="18"/>
      <c r="W592" s="18"/>
      <c r="X592" s="18"/>
      <c r="Y592" s="18"/>
      <c r="Z592" s="18"/>
      <c r="AA592" s="85"/>
      <c r="AB592" s="85"/>
      <c r="AC592" s="18"/>
      <c r="AD592" s="18"/>
      <c r="AE592" s="18"/>
      <c r="AF592" s="18"/>
    </row>
    <row r="593" ht="15.75" customHeight="1">
      <c r="A593" s="18"/>
      <c r="B593" s="163"/>
      <c r="C593" s="164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8"/>
      <c r="V593" s="18"/>
      <c r="W593" s="18"/>
      <c r="X593" s="18"/>
      <c r="Y593" s="18"/>
      <c r="Z593" s="18"/>
      <c r="AA593" s="85"/>
      <c r="AB593" s="85"/>
      <c r="AC593" s="18"/>
      <c r="AD593" s="18"/>
      <c r="AE593" s="18"/>
      <c r="AF593" s="18"/>
    </row>
    <row r="594" ht="15.75" customHeight="1">
      <c r="A594" s="18"/>
      <c r="B594" s="163"/>
      <c r="C594" s="164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8"/>
      <c r="V594" s="18"/>
      <c r="W594" s="18"/>
      <c r="X594" s="18"/>
      <c r="Y594" s="18"/>
      <c r="Z594" s="18"/>
      <c r="AA594" s="85"/>
      <c r="AB594" s="85"/>
      <c r="AC594" s="18"/>
      <c r="AD594" s="18"/>
      <c r="AE594" s="18"/>
      <c r="AF594" s="18"/>
    </row>
    <row r="595" ht="15.75" customHeight="1">
      <c r="A595" s="18"/>
      <c r="B595" s="163"/>
      <c r="C595" s="164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8"/>
      <c r="V595" s="18"/>
      <c r="W595" s="18"/>
      <c r="X595" s="18"/>
      <c r="Y595" s="18"/>
      <c r="Z595" s="18"/>
      <c r="AA595" s="85"/>
      <c r="AB595" s="85"/>
      <c r="AC595" s="18"/>
      <c r="AD595" s="18"/>
      <c r="AE595" s="18"/>
      <c r="AF595" s="18"/>
    </row>
    <row r="596" ht="15.75" customHeight="1">
      <c r="A596" s="18"/>
      <c r="B596" s="163"/>
      <c r="C596" s="164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8"/>
      <c r="V596" s="18"/>
      <c r="W596" s="18"/>
      <c r="X596" s="18"/>
      <c r="Y596" s="18"/>
      <c r="Z596" s="18"/>
      <c r="AA596" s="85"/>
      <c r="AB596" s="85"/>
      <c r="AC596" s="18"/>
      <c r="AD596" s="18"/>
      <c r="AE596" s="18"/>
      <c r="AF596" s="18"/>
    </row>
    <row r="597" ht="15.75" customHeight="1">
      <c r="A597" s="18"/>
      <c r="B597" s="163"/>
      <c r="C597" s="164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8"/>
      <c r="V597" s="18"/>
      <c r="W597" s="18"/>
      <c r="X597" s="18"/>
      <c r="Y597" s="18"/>
      <c r="Z597" s="18"/>
      <c r="AA597" s="85"/>
      <c r="AB597" s="85"/>
      <c r="AC597" s="18"/>
      <c r="AD597" s="18"/>
      <c r="AE597" s="18"/>
      <c r="AF597" s="18"/>
    </row>
    <row r="598" ht="15.75" customHeight="1">
      <c r="A598" s="18"/>
      <c r="B598" s="163"/>
      <c r="C598" s="164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8"/>
      <c r="V598" s="18"/>
      <c r="W598" s="18"/>
      <c r="X598" s="18"/>
      <c r="Y598" s="18"/>
      <c r="Z598" s="18"/>
      <c r="AA598" s="85"/>
      <c r="AB598" s="85"/>
      <c r="AC598" s="18"/>
      <c r="AD598" s="18"/>
      <c r="AE598" s="18"/>
      <c r="AF598" s="18"/>
    </row>
    <row r="599" ht="15.75" customHeight="1">
      <c r="A599" s="18"/>
      <c r="B599" s="163"/>
      <c r="C599" s="164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8"/>
      <c r="V599" s="18"/>
      <c r="W599" s="18"/>
      <c r="X599" s="18"/>
      <c r="Y599" s="18"/>
      <c r="Z599" s="18"/>
      <c r="AA599" s="85"/>
      <c r="AB599" s="85"/>
      <c r="AC599" s="18"/>
      <c r="AD599" s="18"/>
      <c r="AE599" s="18"/>
      <c r="AF599" s="18"/>
    </row>
    <row r="600" ht="15.75" customHeight="1">
      <c r="A600" s="18"/>
      <c r="B600" s="163"/>
      <c r="C600" s="164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8"/>
      <c r="V600" s="18"/>
      <c r="W600" s="18"/>
      <c r="X600" s="18"/>
      <c r="Y600" s="18"/>
      <c r="Z600" s="18"/>
      <c r="AA600" s="85"/>
      <c r="AB600" s="85"/>
      <c r="AC600" s="18"/>
      <c r="AD600" s="18"/>
      <c r="AE600" s="18"/>
      <c r="AF600" s="18"/>
    </row>
    <row r="601" ht="15.75" customHeight="1">
      <c r="A601" s="18"/>
      <c r="B601" s="163"/>
      <c r="C601" s="164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8"/>
      <c r="V601" s="18"/>
      <c r="W601" s="18"/>
      <c r="X601" s="18"/>
      <c r="Y601" s="18"/>
      <c r="Z601" s="18"/>
      <c r="AA601" s="85"/>
      <c r="AB601" s="85"/>
      <c r="AC601" s="18"/>
      <c r="AD601" s="18"/>
      <c r="AE601" s="18"/>
      <c r="AF601" s="18"/>
    </row>
    <row r="602" ht="15.75" customHeight="1">
      <c r="A602" s="18"/>
      <c r="B602" s="163"/>
      <c r="C602" s="164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8"/>
      <c r="V602" s="18"/>
      <c r="W602" s="18"/>
      <c r="X602" s="18"/>
      <c r="Y602" s="18"/>
      <c r="Z602" s="18"/>
      <c r="AA602" s="85"/>
      <c r="AB602" s="85"/>
      <c r="AC602" s="18"/>
      <c r="AD602" s="18"/>
      <c r="AE602" s="18"/>
      <c r="AF602" s="18"/>
    </row>
    <row r="603" ht="15.75" customHeight="1">
      <c r="A603" s="18"/>
      <c r="B603" s="163"/>
      <c r="C603" s="164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8"/>
      <c r="V603" s="18"/>
      <c r="W603" s="18"/>
      <c r="X603" s="18"/>
      <c r="Y603" s="18"/>
      <c r="Z603" s="18"/>
      <c r="AA603" s="85"/>
      <c r="AB603" s="85"/>
      <c r="AC603" s="18"/>
      <c r="AD603" s="18"/>
      <c r="AE603" s="18"/>
      <c r="AF603" s="18"/>
    </row>
    <row r="604" ht="15.75" customHeight="1">
      <c r="A604" s="18"/>
      <c r="B604" s="163"/>
      <c r="C604" s="164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8"/>
      <c r="V604" s="18"/>
      <c r="W604" s="18"/>
      <c r="X604" s="18"/>
      <c r="Y604" s="18"/>
      <c r="Z604" s="18"/>
      <c r="AA604" s="85"/>
      <c r="AB604" s="85"/>
      <c r="AC604" s="18"/>
      <c r="AD604" s="18"/>
      <c r="AE604" s="18"/>
      <c r="AF604" s="18"/>
    </row>
    <row r="605" ht="15.75" customHeight="1">
      <c r="A605" s="18"/>
      <c r="B605" s="163"/>
      <c r="C605" s="164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8"/>
      <c r="V605" s="18"/>
      <c r="W605" s="18"/>
      <c r="X605" s="18"/>
      <c r="Y605" s="18"/>
      <c r="Z605" s="18"/>
      <c r="AA605" s="85"/>
      <c r="AB605" s="85"/>
      <c r="AC605" s="18"/>
      <c r="AD605" s="18"/>
      <c r="AE605" s="18"/>
      <c r="AF605" s="18"/>
    </row>
    <row r="606" ht="15.75" customHeight="1">
      <c r="A606" s="18"/>
      <c r="B606" s="163"/>
      <c r="C606" s="164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8"/>
      <c r="V606" s="18"/>
      <c r="W606" s="18"/>
      <c r="X606" s="18"/>
      <c r="Y606" s="18"/>
      <c r="Z606" s="18"/>
      <c r="AA606" s="85"/>
      <c r="AB606" s="85"/>
      <c r="AC606" s="18"/>
      <c r="AD606" s="18"/>
      <c r="AE606" s="18"/>
      <c r="AF606" s="18"/>
    </row>
    <row r="607" ht="15.75" customHeight="1">
      <c r="A607" s="18"/>
      <c r="B607" s="163"/>
      <c r="C607" s="164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8"/>
      <c r="V607" s="18"/>
      <c r="W607" s="18"/>
      <c r="X607" s="18"/>
      <c r="Y607" s="18"/>
      <c r="Z607" s="18"/>
      <c r="AA607" s="85"/>
      <c r="AB607" s="85"/>
      <c r="AC607" s="18"/>
      <c r="AD607" s="18"/>
      <c r="AE607" s="18"/>
      <c r="AF607" s="18"/>
    </row>
    <row r="608" ht="15.75" customHeight="1">
      <c r="A608" s="18"/>
      <c r="B608" s="163"/>
      <c r="C608" s="164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8"/>
      <c r="V608" s="18"/>
      <c r="W608" s="18"/>
      <c r="X608" s="18"/>
      <c r="Y608" s="18"/>
      <c r="Z608" s="18"/>
      <c r="AA608" s="85"/>
      <c r="AB608" s="85"/>
      <c r="AC608" s="18"/>
      <c r="AD608" s="18"/>
      <c r="AE608" s="18"/>
      <c r="AF608" s="18"/>
    </row>
    <row r="609" ht="15.75" customHeight="1">
      <c r="A609" s="18"/>
      <c r="B609" s="163"/>
      <c r="C609" s="164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8"/>
      <c r="V609" s="18"/>
      <c r="W609" s="18"/>
      <c r="X609" s="18"/>
      <c r="Y609" s="18"/>
      <c r="Z609" s="18"/>
      <c r="AA609" s="85"/>
      <c r="AB609" s="85"/>
      <c r="AC609" s="18"/>
      <c r="AD609" s="18"/>
      <c r="AE609" s="18"/>
      <c r="AF609" s="18"/>
    </row>
    <row r="610" ht="15.75" customHeight="1">
      <c r="A610" s="18"/>
      <c r="B610" s="163"/>
      <c r="C610" s="164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8"/>
      <c r="V610" s="18"/>
      <c r="W610" s="18"/>
      <c r="X610" s="18"/>
      <c r="Y610" s="18"/>
      <c r="Z610" s="18"/>
      <c r="AA610" s="85"/>
      <c r="AB610" s="85"/>
      <c r="AC610" s="18"/>
      <c r="AD610" s="18"/>
      <c r="AE610" s="18"/>
      <c r="AF610" s="18"/>
    </row>
    <row r="611" ht="15.75" customHeight="1">
      <c r="A611" s="18"/>
      <c r="B611" s="163"/>
      <c r="C611" s="164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8"/>
      <c r="V611" s="18"/>
      <c r="W611" s="18"/>
      <c r="X611" s="18"/>
      <c r="Y611" s="18"/>
      <c r="Z611" s="18"/>
      <c r="AA611" s="85"/>
      <c r="AB611" s="85"/>
      <c r="AC611" s="18"/>
      <c r="AD611" s="18"/>
      <c r="AE611" s="18"/>
      <c r="AF611" s="18"/>
    </row>
    <row r="612" ht="15.75" customHeight="1">
      <c r="A612" s="18"/>
      <c r="B612" s="163"/>
      <c r="C612" s="164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8"/>
      <c r="V612" s="18"/>
      <c r="W612" s="18"/>
      <c r="X612" s="18"/>
      <c r="Y612" s="18"/>
      <c r="Z612" s="18"/>
      <c r="AA612" s="85"/>
      <c r="AB612" s="85"/>
      <c r="AC612" s="18"/>
      <c r="AD612" s="18"/>
      <c r="AE612" s="18"/>
      <c r="AF612" s="18"/>
    </row>
    <row r="613" ht="15.75" customHeight="1">
      <c r="A613" s="18"/>
      <c r="B613" s="163"/>
      <c r="C613" s="164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8"/>
      <c r="V613" s="18"/>
      <c r="W613" s="18"/>
      <c r="X613" s="18"/>
      <c r="Y613" s="18"/>
      <c r="Z613" s="18"/>
      <c r="AA613" s="85"/>
      <c r="AB613" s="85"/>
      <c r="AC613" s="18"/>
      <c r="AD613" s="18"/>
      <c r="AE613" s="18"/>
      <c r="AF613" s="18"/>
    </row>
    <row r="614" ht="15.75" customHeight="1">
      <c r="A614" s="18"/>
      <c r="B614" s="163"/>
      <c r="C614" s="164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8"/>
      <c r="V614" s="18"/>
      <c r="W614" s="18"/>
      <c r="X614" s="18"/>
      <c r="Y614" s="18"/>
      <c r="Z614" s="18"/>
      <c r="AA614" s="85"/>
      <c r="AB614" s="85"/>
      <c r="AC614" s="18"/>
      <c r="AD614" s="18"/>
      <c r="AE614" s="18"/>
      <c r="AF614" s="18"/>
    </row>
    <row r="615" ht="15.75" customHeight="1">
      <c r="A615" s="18"/>
      <c r="B615" s="163"/>
      <c r="C615" s="164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8"/>
      <c r="V615" s="18"/>
      <c r="W615" s="18"/>
      <c r="X615" s="18"/>
      <c r="Y615" s="18"/>
      <c r="Z615" s="18"/>
      <c r="AA615" s="85"/>
      <c r="AB615" s="85"/>
      <c r="AC615" s="18"/>
      <c r="AD615" s="18"/>
      <c r="AE615" s="18"/>
      <c r="AF615" s="18"/>
    </row>
    <row r="616" ht="15.75" customHeight="1">
      <c r="A616" s="18"/>
      <c r="B616" s="163"/>
      <c r="C616" s="164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8"/>
      <c r="V616" s="18"/>
      <c r="W616" s="18"/>
      <c r="X616" s="18"/>
      <c r="Y616" s="18"/>
      <c r="Z616" s="18"/>
      <c r="AA616" s="85"/>
      <c r="AB616" s="85"/>
      <c r="AC616" s="18"/>
      <c r="AD616" s="18"/>
      <c r="AE616" s="18"/>
      <c r="AF616" s="18"/>
    </row>
    <row r="617" ht="15.75" customHeight="1">
      <c r="A617" s="18"/>
      <c r="B617" s="163"/>
      <c r="C617" s="164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8"/>
      <c r="V617" s="18"/>
      <c r="W617" s="18"/>
      <c r="X617" s="18"/>
      <c r="Y617" s="18"/>
      <c r="Z617" s="18"/>
      <c r="AA617" s="85"/>
      <c r="AB617" s="85"/>
      <c r="AC617" s="18"/>
      <c r="AD617" s="18"/>
      <c r="AE617" s="18"/>
      <c r="AF617" s="18"/>
    </row>
    <row r="618" ht="15.75" customHeight="1">
      <c r="A618" s="18"/>
      <c r="B618" s="163"/>
      <c r="C618" s="164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8"/>
      <c r="V618" s="18"/>
      <c r="W618" s="18"/>
      <c r="X618" s="18"/>
      <c r="Y618" s="18"/>
      <c r="Z618" s="18"/>
      <c r="AA618" s="85"/>
      <c r="AB618" s="85"/>
      <c r="AC618" s="18"/>
      <c r="AD618" s="18"/>
      <c r="AE618" s="18"/>
      <c r="AF618" s="18"/>
    </row>
    <row r="619" ht="15.75" customHeight="1">
      <c r="A619" s="18"/>
      <c r="B619" s="163"/>
      <c r="C619" s="164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8"/>
      <c r="V619" s="18"/>
      <c r="W619" s="18"/>
      <c r="X619" s="18"/>
      <c r="Y619" s="18"/>
      <c r="Z619" s="18"/>
      <c r="AA619" s="85"/>
      <c r="AB619" s="85"/>
      <c r="AC619" s="18"/>
      <c r="AD619" s="18"/>
      <c r="AE619" s="18"/>
      <c r="AF619" s="18"/>
    </row>
    <row r="620" ht="15.75" customHeight="1">
      <c r="A620" s="18"/>
      <c r="B620" s="163"/>
      <c r="C620" s="164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8"/>
      <c r="V620" s="18"/>
      <c r="W620" s="18"/>
      <c r="X620" s="18"/>
      <c r="Y620" s="18"/>
      <c r="Z620" s="18"/>
      <c r="AA620" s="85"/>
      <c r="AB620" s="85"/>
      <c r="AC620" s="18"/>
      <c r="AD620" s="18"/>
      <c r="AE620" s="18"/>
      <c r="AF620" s="18"/>
    </row>
    <row r="621" ht="15.75" customHeight="1">
      <c r="A621" s="18"/>
      <c r="B621" s="163"/>
      <c r="C621" s="164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8"/>
      <c r="V621" s="18"/>
      <c r="W621" s="18"/>
      <c r="X621" s="18"/>
      <c r="Y621" s="18"/>
      <c r="Z621" s="18"/>
      <c r="AA621" s="85"/>
      <c r="AB621" s="85"/>
      <c r="AC621" s="18"/>
      <c r="AD621" s="18"/>
      <c r="AE621" s="18"/>
      <c r="AF621" s="18"/>
    </row>
    <row r="622" ht="15.75" customHeight="1">
      <c r="A622" s="18"/>
      <c r="B622" s="163"/>
      <c r="C622" s="164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8"/>
      <c r="V622" s="18"/>
      <c r="W622" s="18"/>
      <c r="X622" s="18"/>
      <c r="Y622" s="18"/>
      <c r="Z622" s="18"/>
      <c r="AA622" s="85"/>
      <c r="AB622" s="85"/>
      <c r="AC622" s="18"/>
      <c r="AD622" s="18"/>
      <c r="AE622" s="18"/>
      <c r="AF622" s="18"/>
    </row>
    <row r="623" ht="15.75" customHeight="1">
      <c r="A623" s="18"/>
      <c r="B623" s="163"/>
      <c r="C623" s="164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8"/>
      <c r="V623" s="18"/>
      <c r="W623" s="18"/>
      <c r="X623" s="18"/>
      <c r="Y623" s="18"/>
      <c r="Z623" s="18"/>
      <c r="AA623" s="85"/>
      <c r="AB623" s="85"/>
      <c r="AC623" s="18"/>
      <c r="AD623" s="18"/>
      <c r="AE623" s="18"/>
      <c r="AF623" s="18"/>
    </row>
    <row r="624" ht="15.75" customHeight="1">
      <c r="A624" s="18"/>
      <c r="B624" s="163"/>
      <c r="C624" s="164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8"/>
      <c r="V624" s="18"/>
      <c r="W624" s="18"/>
      <c r="X624" s="18"/>
      <c r="Y624" s="18"/>
      <c r="Z624" s="18"/>
      <c r="AA624" s="85"/>
      <c r="AB624" s="85"/>
      <c r="AC624" s="18"/>
      <c r="AD624" s="18"/>
      <c r="AE624" s="18"/>
      <c r="AF624" s="18"/>
    </row>
    <row r="625" ht="15.75" customHeight="1">
      <c r="A625" s="18"/>
      <c r="B625" s="163"/>
      <c r="C625" s="164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8"/>
      <c r="V625" s="18"/>
      <c r="W625" s="18"/>
      <c r="X625" s="18"/>
      <c r="Y625" s="18"/>
      <c r="Z625" s="18"/>
      <c r="AA625" s="85"/>
      <c r="AB625" s="85"/>
      <c r="AC625" s="18"/>
      <c r="AD625" s="18"/>
      <c r="AE625" s="18"/>
      <c r="AF625" s="18"/>
    </row>
    <row r="626" ht="15.75" customHeight="1">
      <c r="A626" s="18"/>
      <c r="B626" s="163"/>
      <c r="C626" s="164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8"/>
      <c r="V626" s="18"/>
      <c r="W626" s="18"/>
      <c r="X626" s="18"/>
      <c r="Y626" s="18"/>
      <c r="Z626" s="18"/>
      <c r="AA626" s="85"/>
      <c r="AB626" s="85"/>
      <c r="AC626" s="18"/>
      <c r="AD626" s="18"/>
      <c r="AE626" s="18"/>
      <c r="AF626" s="18"/>
    </row>
    <row r="627" ht="15.75" customHeight="1">
      <c r="A627" s="18"/>
      <c r="B627" s="163"/>
      <c r="C627" s="164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8"/>
      <c r="V627" s="18"/>
      <c r="W627" s="18"/>
      <c r="X627" s="18"/>
      <c r="Y627" s="18"/>
      <c r="Z627" s="18"/>
      <c r="AA627" s="85"/>
      <c r="AB627" s="85"/>
      <c r="AC627" s="18"/>
      <c r="AD627" s="18"/>
      <c r="AE627" s="18"/>
      <c r="AF627" s="18"/>
    </row>
    <row r="628" ht="15.75" customHeight="1">
      <c r="A628" s="18"/>
      <c r="B628" s="163"/>
      <c r="C628" s="164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8"/>
      <c r="V628" s="18"/>
      <c r="W628" s="18"/>
      <c r="X628" s="18"/>
      <c r="Y628" s="18"/>
      <c r="Z628" s="18"/>
      <c r="AA628" s="85"/>
      <c r="AB628" s="85"/>
      <c r="AC628" s="18"/>
      <c r="AD628" s="18"/>
      <c r="AE628" s="18"/>
      <c r="AF628" s="18"/>
    </row>
    <row r="629" ht="15.75" customHeight="1">
      <c r="A629" s="18"/>
      <c r="B629" s="163"/>
      <c r="C629" s="164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8"/>
      <c r="V629" s="18"/>
      <c r="W629" s="18"/>
      <c r="X629" s="18"/>
      <c r="Y629" s="18"/>
      <c r="Z629" s="18"/>
      <c r="AA629" s="85"/>
      <c r="AB629" s="85"/>
      <c r="AC629" s="18"/>
      <c r="AD629" s="18"/>
      <c r="AE629" s="18"/>
      <c r="AF629" s="18"/>
    </row>
    <row r="630" ht="15.75" customHeight="1">
      <c r="A630" s="18"/>
      <c r="B630" s="163"/>
      <c r="C630" s="164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8"/>
      <c r="V630" s="18"/>
      <c r="W630" s="18"/>
      <c r="X630" s="18"/>
      <c r="Y630" s="18"/>
      <c r="Z630" s="18"/>
      <c r="AA630" s="85"/>
      <c r="AB630" s="85"/>
      <c r="AC630" s="18"/>
      <c r="AD630" s="18"/>
      <c r="AE630" s="18"/>
      <c r="AF630" s="18"/>
    </row>
    <row r="631" ht="15.75" customHeight="1">
      <c r="A631" s="18"/>
      <c r="B631" s="163"/>
      <c r="C631" s="164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8"/>
      <c r="V631" s="18"/>
      <c r="W631" s="18"/>
      <c r="X631" s="18"/>
      <c r="Y631" s="18"/>
      <c r="Z631" s="18"/>
      <c r="AA631" s="85"/>
      <c r="AB631" s="85"/>
      <c r="AC631" s="18"/>
      <c r="AD631" s="18"/>
      <c r="AE631" s="18"/>
      <c r="AF631" s="18"/>
    </row>
    <row r="632" ht="15.75" customHeight="1">
      <c r="A632" s="18"/>
      <c r="B632" s="163"/>
      <c r="C632" s="164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8"/>
      <c r="V632" s="18"/>
      <c r="W632" s="18"/>
      <c r="X632" s="18"/>
      <c r="Y632" s="18"/>
      <c r="Z632" s="18"/>
      <c r="AA632" s="85"/>
      <c r="AB632" s="85"/>
      <c r="AC632" s="18"/>
      <c r="AD632" s="18"/>
      <c r="AE632" s="18"/>
      <c r="AF632" s="18"/>
    </row>
    <row r="633" ht="15.75" customHeight="1">
      <c r="A633" s="18"/>
      <c r="B633" s="163"/>
      <c r="C633" s="164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8"/>
      <c r="V633" s="18"/>
      <c r="W633" s="18"/>
      <c r="X633" s="18"/>
      <c r="Y633" s="18"/>
      <c r="Z633" s="18"/>
      <c r="AA633" s="85"/>
      <c r="AB633" s="85"/>
      <c r="AC633" s="18"/>
      <c r="AD633" s="18"/>
      <c r="AE633" s="18"/>
      <c r="AF633" s="18"/>
    </row>
    <row r="634" ht="15.75" customHeight="1">
      <c r="A634" s="18"/>
      <c r="B634" s="163"/>
      <c r="C634" s="164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8"/>
      <c r="V634" s="18"/>
      <c r="W634" s="18"/>
      <c r="X634" s="18"/>
      <c r="Y634" s="18"/>
      <c r="Z634" s="18"/>
      <c r="AA634" s="85"/>
      <c r="AB634" s="85"/>
      <c r="AC634" s="18"/>
      <c r="AD634" s="18"/>
      <c r="AE634" s="18"/>
      <c r="AF634" s="18"/>
    </row>
    <row r="635" ht="15.75" customHeight="1">
      <c r="A635" s="18"/>
      <c r="B635" s="163"/>
      <c r="C635" s="164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8"/>
      <c r="V635" s="18"/>
      <c r="W635" s="18"/>
      <c r="X635" s="18"/>
      <c r="Y635" s="18"/>
      <c r="Z635" s="18"/>
      <c r="AA635" s="85"/>
      <c r="AB635" s="85"/>
      <c r="AC635" s="18"/>
      <c r="AD635" s="18"/>
      <c r="AE635" s="18"/>
      <c r="AF635" s="18"/>
    </row>
    <row r="636" ht="15.75" customHeight="1">
      <c r="A636" s="18"/>
      <c r="B636" s="163"/>
      <c r="C636" s="164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8"/>
      <c r="V636" s="18"/>
      <c r="W636" s="18"/>
      <c r="X636" s="18"/>
      <c r="Y636" s="18"/>
      <c r="Z636" s="18"/>
      <c r="AA636" s="85"/>
      <c r="AB636" s="85"/>
      <c r="AC636" s="18"/>
      <c r="AD636" s="18"/>
      <c r="AE636" s="18"/>
      <c r="AF636" s="18"/>
    </row>
    <row r="637" ht="15.75" customHeight="1">
      <c r="A637" s="18"/>
      <c r="B637" s="163"/>
      <c r="C637" s="164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8"/>
      <c r="V637" s="18"/>
      <c r="W637" s="18"/>
      <c r="X637" s="18"/>
      <c r="Y637" s="18"/>
      <c r="Z637" s="18"/>
      <c r="AA637" s="85"/>
      <c r="AB637" s="85"/>
      <c r="AC637" s="18"/>
      <c r="AD637" s="18"/>
      <c r="AE637" s="18"/>
      <c r="AF637" s="18"/>
    </row>
    <row r="638" ht="15.75" customHeight="1">
      <c r="A638" s="18"/>
      <c r="B638" s="163"/>
      <c r="C638" s="164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8"/>
      <c r="V638" s="18"/>
      <c r="W638" s="18"/>
      <c r="X638" s="18"/>
      <c r="Y638" s="18"/>
      <c r="Z638" s="18"/>
      <c r="AA638" s="85"/>
      <c r="AB638" s="85"/>
      <c r="AC638" s="18"/>
      <c r="AD638" s="18"/>
      <c r="AE638" s="18"/>
      <c r="AF638" s="18"/>
    </row>
    <row r="639" ht="15.75" customHeight="1">
      <c r="A639" s="18"/>
      <c r="B639" s="163"/>
      <c r="C639" s="164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8"/>
      <c r="V639" s="18"/>
      <c r="W639" s="18"/>
      <c r="X639" s="18"/>
      <c r="Y639" s="18"/>
      <c r="Z639" s="18"/>
      <c r="AA639" s="85"/>
      <c r="AB639" s="85"/>
      <c r="AC639" s="18"/>
      <c r="AD639" s="18"/>
      <c r="AE639" s="18"/>
      <c r="AF639" s="18"/>
    </row>
    <row r="640" ht="15.75" customHeight="1">
      <c r="A640" s="18"/>
      <c r="B640" s="163"/>
      <c r="C640" s="164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8"/>
      <c r="V640" s="18"/>
      <c r="W640" s="18"/>
      <c r="X640" s="18"/>
      <c r="Y640" s="18"/>
      <c r="Z640" s="18"/>
      <c r="AA640" s="85"/>
      <c r="AB640" s="85"/>
      <c r="AC640" s="18"/>
      <c r="AD640" s="18"/>
      <c r="AE640" s="18"/>
      <c r="AF640" s="18"/>
    </row>
    <row r="641" ht="15.75" customHeight="1">
      <c r="A641" s="18"/>
      <c r="B641" s="163"/>
      <c r="C641" s="164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8"/>
      <c r="V641" s="18"/>
      <c r="W641" s="18"/>
      <c r="X641" s="18"/>
      <c r="Y641" s="18"/>
      <c r="Z641" s="18"/>
      <c r="AA641" s="85"/>
      <c r="AB641" s="85"/>
      <c r="AC641" s="18"/>
      <c r="AD641" s="18"/>
      <c r="AE641" s="18"/>
      <c r="AF641" s="18"/>
    </row>
    <row r="642" ht="15.75" customHeight="1">
      <c r="A642" s="18"/>
      <c r="B642" s="163"/>
      <c r="C642" s="164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8"/>
      <c r="V642" s="18"/>
      <c r="W642" s="18"/>
      <c r="X642" s="18"/>
      <c r="Y642" s="18"/>
      <c r="Z642" s="18"/>
      <c r="AA642" s="85"/>
      <c r="AB642" s="85"/>
      <c r="AC642" s="18"/>
      <c r="AD642" s="18"/>
      <c r="AE642" s="18"/>
      <c r="AF642" s="18"/>
    </row>
    <row r="643" ht="15.75" customHeight="1">
      <c r="A643" s="18"/>
      <c r="B643" s="163"/>
      <c r="C643" s="164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8"/>
      <c r="V643" s="18"/>
      <c r="W643" s="18"/>
      <c r="X643" s="18"/>
      <c r="Y643" s="18"/>
      <c r="Z643" s="18"/>
      <c r="AA643" s="85"/>
      <c r="AB643" s="85"/>
      <c r="AC643" s="18"/>
      <c r="AD643" s="18"/>
      <c r="AE643" s="18"/>
      <c r="AF643" s="18"/>
    </row>
    <row r="644" ht="15.75" customHeight="1">
      <c r="A644" s="18"/>
      <c r="B644" s="163"/>
      <c r="C644" s="164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8"/>
      <c r="V644" s="18"/>
      <c r="W644" s="18"/>
      <c r="X644" s="18"/>
      <c r="Y644" s="18"/>
      <c r="Z644" s="18"/>
      <c r="AA644" s="85"/>
      <c r="AB644" s="85"/>
      <c r="AC644" s="18"/>
      <c r="AD644" s="18"/>
      <c r="AE644" s="18"/>
      <c r="AF644" s="18"/>
    </row>
    <row r="645" ht="15.75" customHeight="1">
      <c r="A645" s="18"/>
      <c r="B645" s="163"/>
      <c r="C645" s="164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8"/>
      <c r="V645" s="18"/>
      <c r="W645" s="18"/>
      <c r="X645" s="18"/>
      <c r="Y645" s="18"/>
      <c r="Z645" s="18"/>
      <c r="AA645" s="85"/>
      <c r="AB645" s="85"/>
      <c r="AC645" s="18"/>
      <c r="AD645" s="18"/>
      <c r="AE645" s="18"/>
      <c r="AF645" s="18"/>
    </row>
    <row r="646" ht="15.75" customHeight="1">
      <c r="A646" s="18"/>
      <c r="B646" s="163"/>
      <c r="C646" s="164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8"/>
      <c r="V646" s="18"/>
      <c r="W646" s="18"/>
      <c r="X646" s="18"/>
      <c r="Y646" s="18"/>
      <c r="Z646" s="18"/>
      <c r="AA646" s="85"/>
      <c r="AB646" s="85"/>
      <c r="AC646" s="18"/>
      <c r="AD646" s="18"/>
      <c r="AE646" s="18"/>
      <c r="AF646" s="18"/>
    </row>
    <row r="647" ht="15.75" customHeight="1">
      <c r="A647" s="18"/>
      <c r="B647" s="163"/>
      <c r="C647" s="164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8"/>
      <c r="V647" s="18"/>
      <c r="W647" s="18"/>
      <c r="X647" s="18"/>
      <c r="Y647" s="18"/>
      <c r="Z647" s="18"/>
      <c r="AA647" s="85"/>
      <c r="AB647" s="85"/>
      <c r="AC647" s="18"/>
      <c r="AD647" s="18"/>
      <c r="AE647" s="18"/>
      <c r="AF647" s="18"/>
    </row>
    <row r="648" ht="15.75" customHeight="1">
      <c r="A648" s="18"/>
      <c r="B648" s="163"/>
      <c r="C648" s="164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8"/>
      <c r="V648" s="18"/>
      <c r="W648" s="18"/>
      <c r="X648" s="18"/>
      <c r="Y648" s="18"/>
      <c r="Z648" s="18"/>
      <c r="AA648" s="85"/>
      <c r="AB648" s="85"/>
      <c r="AC648" s="18"/>
      <c r="AD648" s="18"/>
      <c r="AE648" s="18"/>
      <c r="AF648" s="18"/>
    </row>
    <row r="649" ht="15.75" customHeight="1">
      <c r="A649" s="18"/>
      <c r="B649" s="163"/>
      <c r="C649" s="164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8"/>
      <c r="V649" s="18"/>
      <c r="W649" s="18"/>
      <c r="X649" s="18"/>
      <c r="Y649" s="18"/>
      <c r="Z649" s="18"/>
      <c r="AA649" s="85"/>
      <c r="AB649" s="85"/>
      <c r="AC649" s="18"/>
      <c r="AD649" s="18"/>
      <c r="AE649" s="18"/>
      <c r="AF649" s="18"/>
    </row>
    <row r="650" ht="15.75" customHeight="1">
      <c r="A650" s="18"/>
      <c r="B650" s="163"/>
      <c r="C650" s="164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8"/>
      <c r="V650" s="18"/>
      <c r="W650" s="18"/>
      <c r="X650" s="18"/>
      <c r="Y650" s="18"/>
      <c r="Z650" s="18"/>
      <c r="AA650" s="85"/>
      <c r="AB650" s="85"/>
      <c r="AC650" s="18"/>
      <c r="AD650" s="18"/>
      <c r="AE650" s="18"/>
      <c r="AF650" s="18"/>
    </row>
    <row r="651" ht="15.75" customHeight="1">
      <c r="A651" s="18"/>
      <c r="B651" s="163"/>
      <c r="C651" s="164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8"/>
      <c r="V651" s="18"/>
      <c r="W651" s="18"/>
      <c r="X651" s="18"/>
      <c r="Y651" s="18"/>
      <c r="Z651" s="18"/>
      <c r="AA651" s="85"/>
      <c r="AB651" s="85"/>
      <c r="AC651" s="18"/>
      <c r="AD651" s="18"/>
      <c r="AE651" s="18"/>
      <c r="AF651" s="18"/>
    </row>
    <row r="652" ht="15.75" customHeight="1">
      <c r="A652" s="18"/>
      <c r="B652" s="163"/>
      <c r="C652" s="164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8"/>
      <c r="V652" s="18"/>
      <c r="W652" s="18"/>
      <c r="X652" s="18"/>
      <c r="Y652" s="18"/>
      <c r="Z652" s="18"/>
      <c r="AA652" s="85"/>
      <c r="AB652" s="85"/>
      <c r="AC652" s="18"/>
      <c r="AD652" s="18"/>
      <c r="AE652" s="18"/>
      <c r="AF652" s="18"/>
    </row>
    <row r="653" ht="15.75" customHeight="1">
      <c r="A653" s="18"/>
      <c r="B653" s="163"/>
      <c r="C653" s="164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8"/>
      <c r="V653" s="18"/>
      <c r="W653" s="18"/>
      <c r="X653" s="18"/>
      <c r="Y653" s="18"/>
      <c r="Z653" s="18"/>
      <c r="AA653" s="85"/>
      <c r="AB653" s="85"/>
      <c r="AC653" s="18"/>
      <c r="AD653" s="18"/>
      <c r="AE653" s="18"/>
      <c r="AF653" s="18"/>
    </row>
    <row r="654" ht="15.75" customHeight="1">
      <c r="A654" s="18"/>
      <c r="B654" s="163"/>
      <c r="C654" s="164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8"/>
      <c r="V654" s="18"/>
      <c r="W654" s="18"/>
      <c r="X654" s="18"/>
      <c r="Y654" s="18"/>
      <c r="Z654" s="18"/>
      <c r="AA654" s="85"/>
      <c r="AB654" s="85"/>
      <c r="AC654" s="18"/>
      <c r="AD654" s="18"/>
      <c r="AE654" s="18"/>
      <c r="AF654" s="18"/>
    </row>
    <row r="655" ht="15.75" customHeight="1">
      <c r="A655" s="18"/>
      <c r="B655" s="163"/>
      <c r="C655" s="164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8"/>
      <c r="V655" s="18"/>
      <c r="W655" s="18"/>
      <c r="X655" s="18"/>
      <c r="Y655" s="18"/>
      <c r="Z655" s="18"/>
      <c r="AA655" s="85"/>
      <c r="AB655" s="85"/>
      <c r="AC655" s="18"/>
      <c r="AD655" s="18"/>
      <c r="AE655" s="18"/>
      <c r="AF655" s="18"/>
    </row>
    <row r="656" ht="15.75" customHeight="1">
      <c r="A656" s="18"/>
      <c r="B656" s="163"/>
      <c r="C656" s="164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8"/>
      <c r="V656" s="18"/>
      <c r="W656" s="18"/>
      <c r="X656" s="18"/>
      <c r="Y656" s="18"/>
      <c r="Z656" s="18"/>
      <c r="AA656" s="85"/>
      <c r="AB656" s="85"/>
      <c r="AC656" s="18"/>
      <c r="AD656" s="18"/>
      <c r="AE656" s="18"/>
      <c r="AF656" s="18"/>
    </row>
    <row r="657" ht="15.75" customHeight="1">
      <c r="A657" s="18"/>
      <c r="B657" s="163"/>
      <c r="C657" s="164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8"/>
      <c r="V657" s="18"/>
      <c r="W657" s="18"/>
      <c r="X657" s="18"/>
      <c r="Y657" s="18"/>
      <c r="Z657" s="18"/>
      <c r="AA657" s="85"/>
      <c r="AB657" s="85"/>
      <c r="AC657" s="18"/>
      <c r="AD657" s="18"/>
      <c r="AE657" s="18"/>
      <c r="AF657" s="18"/>
    </row>
    <row r="658" ht="15.75" customHeight="1">
      <c r="A658" s="18"/>
      <c r="B658" s="163"/>
      <c r="C658" s="164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8"/>
      <c r="V658" s="18"/>
      <c r="W658" s="18"/>
      <c r="X658" s="18"/>
      <c r="Y658" s="18"/>
      <c r="Z658" s="18"/>
      <c r="AA658" s="85"/>
      <c r="AB658" s="85"/>
      <c r="AC658" s="18"/>
      <c r="AD658" s="18"/>
      <c r="AE658" s="18"/>
      <c r="AF658" s="18"/>
    </row>
    <row r="659" ht="15.75" customHeight="1">
      <c r="A659" s="18"/>
      <c r="B659" s="163"/>
      <c r="C659" s="164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8"/>
      <c r="V659" s="18"/>
      <c r="W659" s="18"/>
      <c r="X659" s="18"/>
      <c r="Y659" s="18"/>
      <c r="Z659" s="18"/>
      <c r="AA659" s="85"/>
      <c r="AB659" s="85"/>
      <c r="AC659" s="18"/>
      <c r="AD659" s="18"/>
      <c r="AE659" s="18"/>
      <c r="AF659" s="18"/>
    </row>
    <row r="660" ht="15.75" customHeight="1">
      <c r="A660" s="18"/>
      <c r="B660" s="163"/>
      <c r="C660" s="164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8"/>
      <c r="V660" s="18"/>
      <c r="W660" s="18"/>
      <c r="X660" s="18"/>
      <c r="Y660" s="18"/>
      <c r="Z660" s="18"/>
      <c r="AA660" s="85"/>
      <c r="AB660" s="85"/>
      <c r="AC660" s="18"/>
      <c r="AD660" s="18"/>
      <c r="AE660" s="18"/>
      <c r="AF660" s="18"/>
    </row>
    <row r="661" ht="15.75" customHeight="1">
      <c r="A661" s="18"/>
      <c r="B661" s="163"/>
      <c r="C661" s="164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8"/>
      <c r="V661" s="18"/>
      <c r="W661" s="18"/>
      <c r="X661" s="18"/>
      <c r="Y661" s="18"/>
      <c r="Z661" s="18"/>
      <c r="AA661" s="85"/>
      <c r="AB661" s="85"/>
      <c r="AC661" s="18"/>
      <c r="AD661" s="18"/>
      <c r="AE661" s="18"/>
      <c r="AF661" s="18"/>
    </row>
    <row r="662" ht="15.75" customHeight="1">
      <c r="A662" s="18"/>
      <c r="B662" s="163"/>
      <c r="C662" s="164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8"/>
      <c r="V662" s="18"/>
      <c r="W662" s="18"/>
      <c r="X662" s="18"/>
      <c r="Y662" s="18"/>
      <c r="Z662" s="18"/>
      <c r="AA662" s="85"/>
      <c r="AB662" s="85"/>
      <c r="AC662" s="18"/>
      <c r="AD662" s="18"/>
      <c r="AE662" s="18"/>
      <c r="AF662" s="18"/>
    </row>
    <row r="663" ht="15.75" customHeight="1">
      <c r="A663" s="18"/>
      <c r="B663" s="163"/>
      <c r="C663" s="164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8"/>
      <c r="V663" s="18"/>
      <c r="W663" s="18"/>
      <c r="X663" s="18"/>
      <c r="Y663" s="18"/>
      <c r="Z663" s="18"/>
      <c r="AA663" s="85"/>
      <c r="AB663" s="85"/>
      <c r="AC663" s="18"/>
      <c r="AD663" s="18"/>
      <c r="AE663" s="18"/>
      <c r="AF663" s="18"/>
    </row>
    <row r="664" ht="15.75" customHeight="1">
      <c r="A664" s="18"/>
      <c r="B664" s="163"/>
      <c r="C664" s="164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8"/>
      <c r="V664" s="18"/>
      <c r="W664" s="18"/>
      <c r="X664" s="18"/>
      <c r="Y664" s="18"/>
      <c r="Z664" s="18"/>
      <c r="AA664" s="85"/>
      <c r="AB664" s="85"/>
      <c r="AC664" s="18"/>
      <c r="AD664" s="18"/>
      <c r="AE664" s="18"/>
      <c r="AF664" s="18"/>
    </row>
    <row r="665" ht="15.75" customHeight="1">
      <c r="A665" s="18"/>
      <c r="B665" s="163"/>
      <c r="C665" s="164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8"/>
      <c r="V665" s="18"/>
      <c r="W665" s="18"/>
      <c r="X665" s="18"/>
      <c r="Y665" s="18"/>
      <c r="Z665" s="18"/>
      <c r="AA665" s="85"/>
      <c r="AB665" s="85"/>
      <c r="AC665" s="18"/>
      <c r="AD665" s="18"/>
      <c r="AE665" s="18"/>
      <c r="AF665" s="18"/>
    </row>
    <row r="666" ht="15.75" customHeight="1">
      <c r="A666" s="18"/>
      <c r="B666" s="163"/>
      <c r="C666" s="164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8"/>
      <c r="V666" s="18"/>
      <c r="W666" s="18"/>
      <c r="X666" s="18"/>
      <c r="Y666" s="18"/>
      <c r="Z666" s="18"/>
      <c r="AA666" s="85"/>
      <c r="AB666" s="85"/>
      <c r="AC666" s="18"/>
      <c r="AD666" s="18"/>
      <c r="AE666" s="18"/>
      <c r="AF666" s="18"/>
    </row>
    <row r="667" ht="15.75" customHeight="1">
      <c r="A667" s="18"/>
      <c r="B667" s="163"/>
      <c r="C667" s="164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8"/>
      <c r="V667" s="18"/>
      <c r="W667" s="18"/>
      <c r="X667" s="18"/>
      <c r="Y667" s="18"/>
      <c r="Z667" s="18"/>
      <c r="AA667" s="85"/>
      <c r="AB667" s="85"/>
      <c r="AC667" s="18"/>
      <c r="AD667" s="18"/>
      <c r="AE667" s="18"/>
      <c r="AF667" s="18"/>
    </row>
    <row r="668" ht="15.75" customHeight="1">
      <c r="A668" s="18"/>
      <c r="B668" s="163"/>
      <c r="C668" s="164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8"/>
      <c r="V668" s="18"/>
      <c r="W668" s="18"/>
      <c r="X668" s="18"/>
      <c r="Y668" s="18"/>
      <c r="Z668" s="18"/>
      <c r="AA668" s="85"/>
      <c r="AB668" s="85"/>
      <c r="AC668" s="18"/>
      <c r="AD668" s="18"/>
      <c r="AE668" s="18"/>
      <c r="AF668" s="18"/>
    </row>
    <row r="669" ht="15.75" customHeight="1">
      <c r="A669" s="18"/>
      <c r="B669" s="163"/>
      <c r="C669" s="164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8"/>
      <c r="V669" s="18"/>
      <c r="W669" s="18"/>
      <c r="X669" s="18"/>
      <c r="Y669" s="18"/>
      <c r="Z669" s="18"/>
      <c r="AA669" s="85"/>
      <c r="AB669" s="85"/>
      <c r="AC669" s="18"/>
      <c r="AD669" s="18"/>
      <c r="AE669" s="18"/>
      <c r="AF669" s="18"/>
    </row>
    <row r="670" ht="15.75" customHeight="1">
      <c r="A670" s="18"/>
      <c r="B670" s="163"/>
      <c r="C670" s="164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8"/>
      <c r="V670" s="18"/>
      <c r="W670" s="18"/>
      <c r="X670" s="18"/>
      <c r="Y670" s="18"/>
      <c r="Z670" s="18"/>
      <c r="AA670" s="85"/>
      <c r="AB670" s="85"/>
      <c r="AC670" s="18"/>
      <c r="AD670" s="18"/>
      <c r="AE670" s="18"/>
      <c r="AF670" s="18"/>
    </row>
    <row r="671" ht="15.75" customHeight="1">
      <c r="A671" s="18"/>
      <c r="B671" s="163"/>
      <c r="C671" s="164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8"/>
      <c r="V671" s="18"/>
      <c r="W671" s="18"/>
      <c r="X671" s="18"/>
      <c r="Y671" s="18"/>
      <c r="Z671" s="18"/>
      <c r="AA671" s="85"/>
      <c r="AB671" s="85"/>
      <c r="AC671" s="18"/>
      <c r="AD671" s="18"/>
      <c r="AE671" s="18"/>
      <c r="AF671" s="18"/>
    </row>
    <row r="672" ht="15.75" customHeight="1">
      <c r="A672" s="18"/>
      <c r="B672" s="163"/>
      <c r="C672" s="164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8"/>
      <c r="V672" s="18"/>
      <c r="W672" s="18"/>
      <c r="X672" s="18"/>
      <c r="Y672" s="18"/>
      <c r="Z672" s="18"/>
      <c r="AA672" s="85"/>
      <c r="AB672" s="85"/>
      <c r="AC672" s="18"/>
      <c r="AD672" s="18"/>
      <c r="AE672" s="18"/>
      <c r="AF672" s="18"/>
    </row>
    <row r="673" ht="15.75" customHeight="1">
      <c r="A673" s="18"/>
      <c r="B673" s="163"/>
      <c r="C673" s="164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8"/>
      <c r="V673" s="18"/>
      <c r="W673" s="18"/>
      <c r="X673" s="18"/>
      <c r="Y673" s="18"/>
      <c r="Z673" s="18"/>
      <c r="AA673" s="85"/>
      <c r="AB673" s="85"/>
      <c r="AC673" s="18"/>
      <c r="AD673" s="18"/>
      <c r="AE673" s="18"/>
      <c r="AF673" s="18"/>
    </row>
    <row r="674" ht="15.75" customHeight="1">
      <c r="A674" s="18"/>
      <c r="B674" s="163"/>
      <c r="C674" s="164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8"/>
      <c r="V674" s="18"/>
      <c r="W674" s="18"/>
      <c r="X674" s="18"/>
      <c r="Y674" s="18"/>
      <c r="Z674" s="18"/>
      <c r="AA674" s="85"/>
      <c r="AB674" s="85"/>
      <c r="AC674" s="18"/>
      <c r="AD674" s="18"/>
      <c r="AE674" s="18"/>
      <c r="AF674" s="18"/>
    </row>
    <row r="675" ht="15.75" customHeight="1">
      <c r="A675" s="18"/>
      <c r="B675" s="163"/>
      <c r="C675" s="164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8"/>
      <c r="V675" s="18"/>
      <c r="W675" s="18"/>
      <c r="X675" s="18"/>
      <c r="Y675" s="18"/>
      <c r="Z675" s="18"/>
      <c r="AA675" s="85"/>
      <c r="AB675" s="85"/>
      <c r="AC675" s="18"/>
      <c r="AD675" s="18"/>
      <c r="AE675" s="18"/>
      <c r="AF675" s="18"/>
    </row>
    <row r="676" ht="15.75" customHeight="1">
      <c r="A676" s="18"/>
      <c r="B676" s="163"/>
      <c r="C676" s="164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8"/>
      <c r="V676" s="18"/>
      <c r="W676" s="18"/>
      <c r="X676" s="18"/>
      <c r="Y676" s="18"/>
      <c r="Z676" s="18"/>
      <c r="AA676" s="85"/>
      <c r="AB676" s="85"/>
      <c r="AC676" s="18"/>
      <c r="AD676" s="18"/>
      <c r="AE676" s="18"/>
      <c r="AF676" s="18"/>
    </row>
    <row r="677" ht="15.75" customHeight="1">
      <c r="A677" s="18"/>
      <c r="B677" s="163"/>
      <c r="C677" s="164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8"/>
      <c r="V677" s="18"/>
      <c r="W677" s="18"/>
      <c r="X677" s="18"/>
      <c r="Y677" s="18"/>
      <c r="Z677" s="18"/>
      <c r="AA677" s="85"/>
      <c r="AB677" s="85"/>
      <c r="AC677" s="18"/>
      <c r="AD677" s="18"/>
      <c r="AE677" s="18"/>
      <c r="AF677" s="18"/>
    </row>
    <row r="678" ht="15.75" customHeight="1">
      <c r="A678" s="18"/>
      <c r="B678" s="163"/>
      <c r="C678" s="164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8"/>
      <c r="V678" s="18"/>
      <c r="W678" s="18"/>
      <c r="X678" s="18"/>
      <c r="Y678" s="18"/>
      <c r="Z678" s="18"/>
      <c r="AA678" s="85"/>
      <c r="AB678" s="85"/>
      <c r="AC678" s="18"/>
      <c r="AD678" s="18"/>
      <c r="AE678" s="18"/>
      <c r="AF678" s="18"/>
    </row>
    <row r="679" ht="15.75" customHeight="1">
      <c r="A679" s="18"/>
      <c r="B679" s="163"/>
      <c r="C679" s="164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8"/>
      <c r="V679" s="18"/>
      <c r="W679" s="18"/>
      <c r="X679" s="18"/>
      <c r="Y679" s="18"/>
      <c r="Z679" s="18"/>
      <c r="AA679" s="85"/>
      <c r="AB679" s="85"/>
      <c r="AC679" s="18"/>
      <c r="AD679" s="18"/>
      <c r="AE679" s="18"/>
      <c r="AF679" s="18"/>
    </row>
    <row r="680" ht="15.75" customHeight="1">
      <c r="A680" s="18"/>
      <c r="B680" s="163"/>
      <c r="C680" s="164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8"/>
      <c r="V680" s="18"/>
      <c r="W680" s="18"/>
      <c r="X680" s="18"/>
      <c r="Y680" s="18"/>
      <c r="Z680" s="18"/>
      <c r="AA680" s="85"/>
      <c r="AB680" s="85"/>
      <c r="AC680" s="18"/>
      <c r="AD680" s="18"/>
      <c r="AE680" s="18"/>
      <c r="AF680" s="18"/>
    </row>
    <row r="681" ht="15.75" customHeight="1">
      <c r="A681" s="18"/>
      <c r="B681" s="163"/>
      <c r="C681" s="164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8"/>
      <c r="V681" s="18"/>
      <c r="W681" s="18"/>
      <c r="X681" s="18"/>
      <c r="Y681" s="18"/>
      <c r="Z681" s="18"/>
      <c r="AA681" s="85"/>
      <c r="AB681" s="85"/>
      <c r="AC681" s="18"/>
      <c r="AD681" s="18"/>
      <c r="AE681" s="18"/>
      <c r="AF681" s="18"/>
    </row>
    <row r="682" ht="15.75" customHeight="1">
      <c r="A682" s="18"/>
      <c r="B682" s="163"/>
      <c r="C682" s="164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8"/>
      <c r="V682" s="18"/>
      <c r="W682" s="18"/>
      <c r="X682" s="18"/>
      <c r="Y682" s="18"/>
      <c r="Z682" s="18"/>
      <c r="AA682" s="85"/>
      <c r="AB682" s="85"/>
      <c r="AC682" s="18"/>
      <c r="AD682" s="18"/>
      <c r="AE682" s="18"/>
      <c r="AF682" s="18"/>
    </row>
    <row r="683" ht="15.75" customHeight="1">
      <c r="A683" s="18"/>
      <c r="B683" s="163"/>
      <c r="C683" s="164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8"/>
      <c r="V683" s="18"/>
      <c r="W683" s="18"/>
      <c r="X683" s="18"/>
      <c r="Y683" s="18"/>
      <c r="Z683" s="18"/>
      <c r="AA683" s="85"/>
      <c r="AB683" s="85"/>
      <c r="AC683" s="18"/>
      <c r="AD683" s="18"/>
      <c r="AE683" s="18"/>
      <c r="AF683" s="18"/>
    </row>
    <row r="684" ht="15.75" customHeight="1">
      <c r="A684" s="18"/>
      <c r="B684" s="163"/>
      <c r="C684" s="164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8"/>
      <c r="V684" s="18"/>
      <c r="W684" s="18"/>
      <c r="X684" s="18"/>
      <c r="Y684" s="18"/>
      <c r="Z684" s="18"/>
      <c r="AA684" s="85"/>
      <c r="AB684" s="85"/>
      <c r="AC684" s="18"/>
      <c r="AD684" s="18"/>
      <c r="AE684" s="18"/>
      <c r="AF684" s="18"/>
    </row>
    <row r="685" ht="15.75" customHeight="1">
      <c r="A685" s="18"/>
      <c r="B685" s="163"/>
      <c r="C685" s="164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8"/>
      <c r="V685" s="18"/>
      <c r="W685" s="18"/>
      <c r="X685" s="18"/>
      <c r="Y685" s="18"/>
      <c r="Z685" s="18"/>
      <c r="AA685" s="85"/>
      <c r="AB685" s="85"/>
      <c r="AC685" s="18"/>
      <c r="AD685" s="18"/>
      <c r="AE685" s="18"/>
      <c r="AF685" s="18"/>
    </row>
    <row r="686" ht="15.75" customHeight="1">
      <c r="A686" s="18"/>
      <c r="B686" s="163"/>
      <c r="C686" s="164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8"/>
      <c r="V686" s="18"/>
      <c r="W686" s="18"/>
      <c r="X686" s="18"/>
      <c r="Y686" s="18"/>
      <c r="Z686" s="18"/>
      <c r="AA686" s="85"/>
      <c r="AB686" s="85"/>
      <c r="AC686" s="18"/>
      <c r="AD686" s="18"/>
      <c r="AE686" s="18"/>
      <c r="AF686" s="18"/>
    </row>
    <row r="687" ht="15.75" customHeight="1">
      <c r="A687" s="18"/>
      <c r="B687" s="163"/>
      <c r="C687" s="164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8"/>
      <c r="V687" s="18"/>
      <c r="W687" s="18"/>
      <c r="X687" s="18"/>
      <c r="Y687" s="18"/>
      <c r="Z687" s="18"/>
      <c r="AA687" s="85"/>
      <c r="AB687" s="85"/>
      <c r="AC687" s="18"/>
      <c r="AD687" s="18"/>
      <c r="AE687" s="18"/>
      <c r="AF687" s="18"/>
    </row>
    <row r="688" ht="15.75" customHeight="1">
      <c r="A688" s="18"/>
      <c r="B688" s="163"/>
      <c r="C688" s="164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8"/>
      <c r="V688" s="18"/>
      <c r="W688" s="18"/>
      <c r="X688" s="18"/>
      <c r="Y688" s="18"/>
      <c r="Z688" s="18"/>
      <c r="AA688" s="85"/>
      <c r="AB688" s="85"/>
      <c r="AC688" s="18"/>
      <c r="AD688" s="18"/>
      <c r="AE688" s="18"/>
      <c r="AF688" s="18"/>
    </row>
    <row r="689" ht="15.75" customHeight="1">
      <c r="A689" s="18"/>
      <c r="B689" s="163"/>
      <c r="C689" s="164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8"/>
      <c r="V689" s="18"/>
      <c r="W689" s="18"/>
      <c r="X689" s="18"/>
      <c r="Y689" s="18"/>
      <c r="Z689" s="18"/>
      <c r="AA689" s="85"/>
      <c r="AB689" s="85"/>
      <c r="AC689" s="18"/>
      <c r="AD689" s="18"/>
      <c r="AE689" s="18"/>
      <c r="AF689" s="18"/>
    </row>
    <row r="690" ht="15.75" customHeight="1">
      <c r="A690" s="18"/>
      <c r="B690" s="163"/>
      <c r="C690" s="164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8"/>
      <c r="V690" s="18"/>
      <c r="W690" s="18"/>
      <c r="X690" s="18"/>
      <c r="Y690" s="18"/>
      <c r="Z690" s="18"/>
      <c r="AA690" s="85"/>
      <c r="AB690" s="85"/>
      <c r="AC690" s="18"/>
      <c r="AD690" s="18"/>
      <c r="AE690" s="18"/>
      <c r="AF690" s="18"/>
    </row>
    <row r="691" ht="15.75" customHeight="1">
      <c r="A691" s="18"/>
      <c r="B691" s="163"/>
      <c r="C691" s="164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8"/>
      <c r="V691" s="18"/>
      <c r="W691" s="18"/>
      <c r="X691" s="18"/>
      <c r="Y691" s="18"/>
      <c r="Z691" s="18"/>
      <c r="AA691" s="85"/>
      <c r="AB691" s="85"/>
      <c r="AC691" s="18"/>
      <c r="AD691" s="18"/>
      <c r="AE691" s="18"/>
      <c r="AF691" s="18"/>
    </row>
    <row r="692" ht="15.75" customHeight="1">
      <c r="A692" s="18"/>
      <c r="B692" s="163"/>
      <c r="C692" s="164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8"/>
      <c r="V692" s="18"/>
      <c r="W692" s="18"/>
      <c r="X692" s="18"/>
      <c r="Y692" s="18"/>
      <c r="Z692" s="18"/>
      <c r="AA692" s="85"/>
      <c r="AB692" s="85"/>
      <c r="AC692" s="18"/>
      <c r="AD692" s="18"/>
      <c r="AE692" s="18"/>
      <c r="AF692" s="18"/>
    </row>
    <row r="693" ht="15.75" customHeight="1">
      <c r="A693" s="18"/>
      <c r="B693" s="163"/>
      <c r="C693" s="164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8"/>
      <c r="V693" s="18"/>
      <c r="W693" s="18"/>
      <c r="X693" s="18"/>
      <c r="Y693" s="18"/>
      <c r="Z693" s="18"/>
      <c r="AA693" s="85"/>
      <c r="AB693" s="85"/>
      <c r="AC693" s="18"/>
      <c r="AD693" s="18"/>
      <c r="AE693" s="18"/>
      <c r="AF693" s="18"/>
    </row>
    <row r="694" ht="15.75" customHeight="1">
      <c r="A694" s="18"/>
      <c r="B694" s="163"/>
      <c r="C694" s="164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8"/>
      <c r="V694" s="18"/>
      <c r="W694" s="18"/>
      <c r="X694" s="18"/>
      <c r="Y694" s="18"/>
      <c r="Z694" s="18"/>
      <c r="AA694" s="85"/>
      <c r="AB694" s="85"/>
      <c r="AC694" s="18"/>
      <c r="AD694" s="18"/>
      <c r="AE694" s="18"/>
      <c r="AF694" s="18"/>
    </row>
    <row r="695" ht="15.75" customHeight="1">
      <c r="A695" s="18"/>
      <c r="B695" s="163"/>
      <c r="C695" s="164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8"/>
      <c r="V695" s="18"/>
      <c r="W695" s="18"/>
      <c r="X695" s="18"/>
      <c r="Y695" s="18"/>
      <c r="Z695" s="18"/>
      <c r="AA695" s="85"/>
      <c r="AB695" s="85"/>
      <c r="AC695" s="18"/>
      <c r="AD695" s="18"/>
      <c r="AE695" s="18"/>
      <c r="AF695" s="18"/>
    </row>
    <row r="696" ht="15.75" customHeight="1">
      <c r="A696" s="18"/>
      <c r="B696" s="163"/>
      <c r="C696" s="164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8"/>
      <c r="V696" s="18"/>
      <c r="W696" s="18"/>
      <c r="X696" s="18"/>
      <c r="Y696" s="18"/>
      <c r="Z696" s="18"/>
      <c r="AA696" s="85"/>
      <c r="AB696" s="85"/>
      <c r="AC696" s="18"/>
      <c r="AD696" s="18"/>
      <c r="AE696" s="18"/>
      <c r="AF696" s="18"/>
    </row>
    <row r="697" ht="15.75" customHeight="1">
      <c r="A697" s="18"/>
      <c r="B697" s="163"/>
      <c r="C697" s="164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8"/>
      <c r="V697" s="18"/>
      <c r="W697" s="18"/>
      <c r="X697" s="18"/>
      <c r="Y697" s="18"/>
      <c r="Z697" s="18"/>
      <c r="AA697" s="85"/>
      <c r="AB697" s="85"/>
      <c r="AC697" s="18"/>
      <c r="AD697" s="18"/>
      <c r="AE697" s="18"/>
      <c r="AF697" s="18"/>
    </row>
    <row r="698" ht="15.75" customHeight="1">
      <c r="A698" s="18"/>
      <c r="B698" s="163"/>
      <c r="C698" s="164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8"/>
      <c r="V698" s="18"/>
      <c r="W698" s="18"/>
      <c r="X698" s="18"/>
      <c r="Y698" s="18"/>
      <c r="Z698" s="18"/>
      <c r="AA698" s="85"/>
      <c r="AB698" s="85"/>
      <c r="AC698" s="18"/>
      <c r="AD698" s="18"/>
      <c r="AE698" s="18"/>
      <c r="AF698" s="18"/>
    </row>
    <row r="699" ht="15.75" customHeight="1">
      <c r="A699" s="18"/>
      <c r="B699" s="163"/>
      <c r="C699" s="164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8"/>
      <c r="V699" s="18"/>
      <c r="W699" s="18"/>
      <c r="X699" s="18"/>
      <c r="Y699" s="18"/>
      <c r="Z699" s="18"/>
      <c r="AA699" s="85"/>
      <c r="AB699" s="85"/>
      <c r="AC699" s="18"/>
      <c r="AD699" s="18"/>
      <c r="AE699" s="18"/>
      <c r="AF699" s="18"/>
    </row>
    <row r="700" ht="15.75" customHeight="1">
      <c r="A700" s="18"/>
      <c r="B700" s="163"/>
      <c r="C700" s="164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8"/>
      <c r="V700" s="18"/>
      <c r="W700" s="18"/>
      <c r="X700" s="18"/>
      <c r="Y700" s="18"/>
      <c r="Z700" s="18"/>
      <c r="AA700" s="85"/>
      <c r="AB700" s="85"/>
      <c r="AC700" s="18"/>
      <c r="AD700" s="18"/>
      <c r="AE700" s="18"/>
      <c r="AF700" s="18"/>
    </row>
    <row r="701" ht="15.75" customHeight="1">
      <c r="A701" s="18"/>
      <c r="B701" s="163"/>
      <c r="C701" s="164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8"/>
      <c r="V701" s="18"/>
      <c r="W701" s="18"/>
      <c r="X701" s="18"/>
      <c r="Y701" s="18"/>
      <c r="Z701" s="18"/>
      <c r="AA701" s="85"/>
      <c r="AB701" s="85"/>
      <c r="AC701" s="18"/>
      <c r="AD701" s="18"/>
      <c r="AE701" s="18"/>
      <c r="AF701" s="18"/>
    </row>
    <row r="702" ht="15.75" customHeight="1">
      <c r="A702" s="18"/>
      <c r="B702" s="163"/>
      <c r="C702" s="164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8"/>
      <c r="V702" s="18"/>
      <c r="W702" s="18"/>
      <c r="X702" s="18"/>
      <c r="Y702" s="18"/>
      <c r="Z702" s="18"/>
      <c r="AA702" s="85"/>
      <c r="AB702" s="85"/>
      <c r="AC702" s="18"/>
      <c r="AD702" s="18"/>
      <c r="AE702" s="18"/>
      <c r="AF702" s="18"/>
    </row>
    <row r="703" ht="15.75" customHeight="1">
      <c r="A703" s="18"/>
      <c r="B703" s="163"/>
      <c r="C703" s="164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8"/>
      <c r="V703" s="18"/>
      <c r="W703" s="18"/>
      <c r="X703" s="18"/>
      <c r="Y703" s="18"/>
      <c r="Z703" s="18"/>
      <c r="AA703" s="85"/>
      <c r="AB703" s="85"/>
      <c r="AC703" s="18"/>
      <c r="AD703" s="18"/>
      <c r="AE703" s="18"/>
      <c r="AF703" s="18"/>
    </row>
    <row r="704" ht="15.75" customHeight="1">
      <c r="A704" s="18"/>
      <c r="B704" s="163"/>
      <c r="C704" s="164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8"/>
      <c r="V704" s="18"/>
      <c r="W704" s="18"/>
      <c r="X704" s="18"/>
      <c r="Y704" s="18"/>
      <c r="Z704" s="18"/>
      <c r="AA704" s="85"/>
      <c r="AB704" s="85"/>
      <c r="AC704" s="18"/>
      <c r="AD704" s="18"/>
      <c r="AE704" s="18"/>
      <c r="AF704" s="18"/>
    </row>
    <row r="705" ht="15.75" customHeight="1">
      <c r="A705" s="18"/>
      <c r="B705" s="163"/>
      <c r="C705" s="164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8"/>
      <c r="V705" s="18"/>
      <c r="W705" s="18"/>
      <c r="X705" s="18"/>
      <c r="Y705" s="18"/>
      <c r="Z705" s="18"/>
      <c r="AA705" s="85"/>
      <c r="AB705" s="85"/>
      <c r="AC705" s="18"/>
      <c r="AD705" s="18"/>
      <c r="AE705" s="18"/>
      <c r="AF705" s="18"/>
    </row>
    <row r="706" ht="15.75" customHeight="1">
      <c r="A706" s="18"/>
      <c r="B706" s="163"/>
      <c r="C706" s="164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8"/>
      <c r="V706" s="18"/>
      <c r="W706" s="18"/>
      <c r="X706" s="18"/>
      <c r="Y706" s="18"/>
      <c r="Z706" s="18"/>
      <c r="AA706" s="85"/>
      <c r="AB706" s="85"/>
      <c r="AC706" s="18"/>
      <c r="AD706" s="18"/>
      <c r="AE706" s="18"/>
      <c r="AF706" s="18"/>
    </row>
    <row r="707" ht="15.75" customHeight="1">
      <c r="A707" s="18"/>
      <c r="B707" s="163"/>
      <c r="C707" s="164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8"/>
      <c r="V707" s="18"/>
      <c r="W707" s="18"/>
      <c r="X707" s="18"/>
      <c r="Y707" s="18"/>
      <c r="Z707" s="18"/>
      <c r="AA707" s="85"/>
      <c r="AB707" s="85"/>
      <c r="AC707" s="18"/>
      <c r="AD707" s="18"/>
      <c r="AE707" s="18"/>
      <c r="AF707" s="18"/>
    </row>
    <row r="708" ht="15.75" customHeight="1">
      <c r="A708" s="18"/>
      <c r="B708" s="163"/>
      <c r="C708" s="164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8"/>
      <c r="V708" s="18"/>
      <c r="W708" s="18"/>
      <c r="X708" s="18"/>
      <c r="Y708" s="18"/>
      <c r="Z708" s="18"/>
      <c r="AA708" s="85"/>
      <c r="AB708" s="85"/>
      <c r="AC708" s="18"/>
      <c r="AD708" s="18"/>
      <c r="AE708" s="18"/>
      <c r="AF708" s="18"/>
    </row>
    <row r="709" ht="15.75" customHeight="1">
      <c r="A709" s="18"/>
      <c r="B709" s="163"/>
      <c r="C709" s="164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8"/>
      <c r="V709" s="18"/>
      <c r="W709" s="18"/>
      <c r="X709" s="18"/>
      <c r="Y709" s="18"/>
      <c r="Z709" s="18"/>
      <c r="AA709" s="85"/>
      <c r="AB709" s="85"/>
      <c r="AC709" s="18"/>
      <c r="AD709" s="18"/>
      <c r="AE709" s="18"/>
      <c r="AF709" s="18"/>
    </row>
    <row r="710" ht="15.75" customHeight="1">
      <c r="A710" s="18"/>
      <c r="B710" s="163"/>
      <c r="C710" s="164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8"/>
      <c r="V710" s="18"/>
      <c r="W710" s="18"/>
      <c r="X710" s="18"/>
      <c r="Y710" s="18"/>
      <c r="Z710" s="18"/>
      <c r="AA710" s="85"/>
      <c r="AB710" s="85"/>
      <c r="AC710" s="18"/>
      <c r="AD710" s="18"/>
      <c r="AE710" s="18"/>
      <c r="AF710" s="18"/>
    </row>
    <row r="711" ht="15.75" customHeight="1">
      <c r="A711" s="18"/>
      <c r="B711" s="163"/>
      <c r="C711" s="164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8"/>
      <c r="V711" s="18"/>
      <c r="W711" s="18"/>
      <c r="X711" s="18"/>
      <c r="Y711" s="18"/>
      <c r="Z711" s="18"/>
      <c r="AA711" s="85"/>
      <c r="AB711" s="85"/>
      <c r="AC711" s="18"/>
      <c r="AD711" s="18"/>
      <c r="AE711" s="18"/>
      <c r="AF711" s="18"/>
    </row>
    <row r="712" ht="15.75" customHeight="1">
      <c r="A712" s="18"/>
      <c r="B712" s="163"/>
      <c r="C712" s="164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8"/>
      <c r="V712" s="18"/>
      <c r="W712" s="18"/>
      <c r="X712" s="18"/>
      <c r="Y712" s="18"/>
      <c r="Z712" s="18"/>
      <c r="AA712" s="85"/>
      <c r="AB712" s="85"/>
      <c r="AC712" s="18"/>
      <c r="AD712" s="18"/>
      <c r="AE712" s="18"/>
      <c r="AF712" s="18"/>
    </row>
    <row r="713" ht="15.75" customHeight="1">
      <c r="A713" s="18"/>
      <c r="B713" s="163"/>
      <c r="C713" s="164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8"/>
      <c r="V713" s="18"/>
      <c r="W713" s="18"/>
      <c r="X713" s="18"/>
      <c r="Y713" s="18"/>
      <c r="Z713" s="18"/>
      <c r="AA713" s="85"/>
      <c r="AB713" s="85"/>
      <c r="AC713" s="18"/>
      <c r="AD713" s="18"/>
      <c r="AE713" s="18"/>
      <c r="AF713" s="18"/>
    </row>
    <row r="714" ht="15.75" customHeight="1">
      <c r="A714" s="18"/>
      <c r="B714" s="163"/>
      <c r="C714" s="164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8"/>
      <c r="V714" s="18"/>
      <c r="W714" s="18"/>
      <c r="X714" s="18"/>
      <c r="Y714" s="18"/>
      <c r="Z714" s="18"/>
      <c r="AA714" s="85"/>
      <c r="AB714" s="85"/>
      <c r="AC714" s="18"/>
      <c r="AD714" s="18"/>
      <c r="AE714" s="18"/>
      <c r="AF714" s="18"/>
    </row>
    <row r="715" ht="15.75" customHeight="1">
      <c r="A715" s="18"/>
      <c r="B715" s="163"/>
      <c r="C715" s="164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8"/>
      <c r="V715" s="18"/>
      <c r="W715" s="18"/>
      <c r="X715" s="18"/>
      <c r="Y715" s="18"/>
      <c r="Z715" s="18"/>
      <c r="AA715" s="85"/>
      <c r="AB715" s="85"/>
      <c r="AC715" s="18"/>
      <c r="AD715" s="18"/>
      <c r="AE715" s="18"/>
      <c r="AF715" s="18"/>
    </row>
    <row r="716" ht="15.75" customHeight="1">
      <c r="A716" s="18"/>
      <c r="B716" s="163"/>
      <c r="C716" s="164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8"/>
      <c r="V716" s="18"/>
      <c r="W716" s="18"/>
      <c r="X716" s="18"/>
      <c r="Y716" s="18"/>
      <c r="Z716" s="18"/>
      <c r="AA716" s="85"/>
      <c r="AB716" s="85"/>
      <c r="AC716" s="18"/>
      <c r="AD716" s="18"/>
      <c r="AE716" s="18"/>
      <c r="AF716" s="18"/>
    </row>
    <row r="717" ht="15.75" customHeight="1">
      <c r="A717" s="18"/>
      <c r="B717" s="163"/>
      <c r="C717" s="164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8"/>
      <c r="V717" s="18"/>
      <c r="W717" s="18"/>
      <c r="X717" s="18"/>
      <c r="Y717" s="18"/>
      <c r="Z717" s="18"/>
      <c r="AA717" s="85"/>
      <c r="AB717" s="85"/>
      <c r="AC717" s="18"/>
      <c r="AD717" s="18"/>
      <c r="AE717" s="18"/>
      <c r="AF717" s="18"/>
    </row>
    <row r="718" ht="15.75" customHeight="1">
      <c r="A718" s="18"/>
      <c r="B718" s="163"/>
      <c r="C718" s="164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8"/>
      <c r="V718" s="18"/>
      <c r="W718" s="18"/>
      <c r="X718" s="18"/>
      <c r="Y718" s="18"/>
      <c r="Z718" s="18"/>
      <c r="AA718" s="85"/>
      <c r="AB718" s="85"/>
      <c r="AC718" s="18"/>
      <c r="AD718" s="18"/>
      <c r="AE718" s="18"/>
      <c r="AF718" s="18"/>
    </row>
    <row r="719" ht="15.75" customHeight="1">
      <c r="A719" s="18"/>
      <c r="B719" s="163"/>
      <c r="C719" s="164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8"/>
      <c r="V719" s="18"/>
      <c r="W719" s="18"/>
      <c r="X719" s="18"/>
      <c r="Y719" s="18"/>
      <c r="Z719" s="18"/>
      <c r="AA719" s="85"/>
      <c r="AB719" s="85"/>
      <c r="AC719" s="18"/>
      <c r="AD719" s="18"/>
      <c r="AE719" s="18"/>
      <c r="AF719" s="18"/>
    </row>
    <row r="720" ht="15.75" customHeight="1">
      <c r="A720" s="18"/>
      <c r="B720" s="163"/>
      <c r="C720" s="164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8"/>
      <c r="V720" s="18"/>
      <c r="W720" s="18"/>
      <c r="X720" s="18"/>
      <c r="Y720" s="18"/>
      <c r="Z720" s="18"/>
      <c r="AA720" s="85"/>
      <c r="AB720" s="85"/>
      <c r="AC720" s="18"/>
      <c r="AD720" s="18"/>
      <c r="AE720" s="18"/>
      <c r="AF720" s="18"/>
    </row>
    <row r="721" ht="15.75" customHeight="1">
      <c r="A721" s="18"/>
      <c r="B721" s="163"/>
      <c r="C721" s="164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8"/>
      <c r="V721" s="18"/>
      <c r="W721" s="18"/>
      <c r="X721" s="18"/>
      <c r="Y721" s="18"/>
      <c r="Z721" s="18"/>
      <c r="AA721" s="85"/>
      <c r="AB721" s="85"/>
      <c r="AC721" s="18"/>
      <c r="AD721" s="18"/>
      <c r="AE721" s="18"/>
      <c r="AF721" s="18"/>
    </row>
    <row r="722" ht="15.75" customHeight="1">
      <c r="A722" s="18"/>
      <c r="B722" s="163"/>
      <c r="C722" s="164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8"/>
      <c r="V722" s="18"/>
      <c r="W722" s="18"/>
      <c r="X722" s="18"/>
      <c r="Y722" s="18"/>
      <c r="Z722" s="18"/>
      <c r="AA722" s="85"/>
      <c r="AB722" s="85"/>
      <c r="AC722" s="18"/>
      <c r="AD722" s="18"/>
      <c r="AE722" s="18"/>
      <c r="AF722" s="18"/>
    </row>
    <row r="723" ht="15.75" customHeight="1">
      <c r="A723" s="18"/>
      <c r="B723" s="163"/>
      <c r="C723" s="164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8"/>
      <c r="V723" s="18"/>
      <c r="W723" s="18"/>
      <c r="X723" s="18"/>
      <c r="Y723" s="18"/>
      <c r="Z723" s="18"/>
      <c r="AA723" s="85"/>
      <c r="AB723" s="85"/>
      <c r="AC723" s="18"/>
      <c r="AD723" s="18"/>
      <c r="AE723" s="18"/>
      <c r="AF723" s="18"/>
    </row>
    <row r="724" ht="15.75" customHeight="1">
      <c r="A724" s="18"/>
      <c r="B724" s="163"/>
      <c r="C724" s="164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8"/>
      <c r="V724" s="18"/>
      <c r="W724" s="18"/>
      <c r="X724" s="18"/>
      <c r="Y724" s="18"/>
      <c r="Z724" s="18"/>
      <c r="AA724" s="85"/>
      <c r="AB724" s="85"/>
      <c r="AC724" s="18"/>
      <c r="AD724" s="18"/>
      <c r="AE724" s="18"/>
      <c r="AF724" s="18"/>
    </row>
    <row r="725" ht="15.75" customHeight="1">
      <c r="A725" s="18"/>
      <c r="B725" s="163"/>
      <c r="C725" s="164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8"/>
      <c r="V725" s="18"/>
      <c r="W725" s="18"/>
      <c r="X725" s="18"/>
      <c r="Y725" s="18"/>
      <c r="Z725" s="18"/>
      <c r="AA725" s="85"/>
      <c r="AB725" s="85"/>
      <c r="AC725" s="18"/>
      <c r="AD725" s="18"/>
      <c r="AE725" s="18"/>
      <c r="AF725" s="18"/>
    </row>
    <row r="726" ht="15.75" customHeight="1">
      <c r="A726" s="18"/>
      <c r="B726" s="163"/>
      <c r="C726" s="164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8"/>
      <c r="V726" s="18"/>
      <c r="W726" s="18"/>
      <c r="X726" s="18"/>
      <c r="Y726" s="18"/>
      <c r="Z726" s="18"/>
      <c r="AA726" s="85"/>
      <c r="AB726" s="85"/>
      <c r="AC726" s="18"/>
      <c r="AD726" s="18"/>
      <c r="AE726" s="18"/>
      <c r="AF726" s="18"/>
    </row>
    <row r="727" ht="15.75" customHeight="1">
      <c r="A727" s="18"/>
      <c r="B727" s="163"/>
      <c r="C727" s="164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8"/>
      <c r="V727" s="18"/>
      <c r="W727" s="18"/>
      <c r="X727" s="18"/>
      <c r="Y727" s="18"/>
      <c r="Z727" s="18"/>
      <c r="AA727" s="85"/>
      <c r="AB727" s="85"/>
      <c r="AC727" s="18"/>
      <c r="AD727" s="18"/>
      <c r="AE727" s="18"/>
      <c r="AF727" s="18"/>
    </row>
    <row r="728" ht="15.75" customHeight="1">
      <c r="A728" s="18"/>
      <c r="B728" s="163"/>
      <c r="C728" s="164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8"/>
      <c r="V728" s="18"/>
      <c r="W728" s="18"/>
      <c r="X728" s="18"/>
      <c r="Y728" s="18"/>
      <c r="Z728" s="18"/>
      <c r="AA728" s="85"/>
      <c r="AB728" s="85"/>
      <c r="AC728" s="18"/>
      <c r="AD728" s="18"/>
      <c r="AE728" s="18"/>
      <c r="AF728" s="18"/>
    </row>
    <row r="729" ht="15.75" customHeight="1">
      <c r="A729" s="18"/>
      <c r="B729" s="163"/>
      <c r="C729" s="164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8"/>
      <c r="V729" s="18"/>
      <c r="W729" s="18"/>
      <c r="X729" s="18"/>
      <c r="Y729" s="18"/>
      <c r="Z729" s="18"/>
      <c r="AA729" s="85"/>
      <c r="AB729" s="85"/>
      <c r="AC729" s="18"/>
      <c r="AD729" s="18"/>
      <c r="AE729" s="18"/>
      <c r="AF729" s="18"/>
    </row>
    <row r="730" ht="15.75" customHeight="1">
      <c r="A730" s="18"/>
      <c r="B730" s="163"/>
      <c r="C730" s="164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8"/>
      <c r="V730" s="18"/>
      <c r="W730" s="18"/>
      <c r="X730" s="18"/>
      <c r="Y730" s="18"/>
      <c r="Z730" s="18"/>
      <c r="AA730" s="85"/>
      <c r="AB730" s="85"/>
      <c r="AC730" s="18"/>
      <c r="AD730" s="18"/>
      <c r="AE730" s="18"/>
      <c r="AF730" s="18"/>
    </row>
    <row r="731" ht="15.75" customHeight="1">
      <c r="A731" s="18"/>
      <c r="B731" s="163"/>
      <c r="C731" s="164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8"/>
      <c r="V731" s="18"/>
      <c r="W731" s="18"/>
      <c r="X731" s="18"/>
      <c r="Y731" s="18"/>
      <c r="Z731" s="18"/>
      <c r="AA731" s="85"/>
      <c r="AB731" s="85"/>
      <c r="AC731" s="18"/>
      <c r="AD731" s="18"/>
      <c r="AE731" s="18"/>
      <c r="AF731" s="18"/>
    </row>
    <row r="732" ht="15.75" customHeight="1">
      <c r="A732" s="18"/>
      <c r="B732" s="163"/>
      <c r="C732" s="164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8"/>
      <c r="V732" s="18"/>
      <c r="W732" s="18"/>
      <c r="X732" s="18"/>
      <c r="Y732" s="18"/>
      <c r="Z732" s="18"/>
      <c r="AA732" s="85"/>
      <c r="AB732" s="85"/>
      <c r="AC732" s="18"/>
      <c r="AD732" s="18"/>
      <c r="AE732" s="18"/>
      <c r="AF732" s="18"/>
    </row>
    <row r="733" ht="15.75" customHeight="1">
      <c r="A733" s="18"/>
      <c r="B733" s="163"/>
      <c r="C733" s="164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8"/>
      <c r="V733" s="18"/>
      <c r="W733" s="18"/>
      <c r="X733" s="18"/>
      <c r="Y733" s="18"/>
      <c r="Z733" s="18"/>
      <c r="AA733" s="85"/>
      <c r="AB733" s="85"/>
      <c r="AC733" s="18"/>
      <c r="AD733" s="18"/>
      <c r="AE733" s="18"/>
      <c r="AF733" s="18"/>
    </row>
    <row r="734" ht="15.75" customHeight="1">
      <c r="A734" s="18"/>
      <c r="B734" s="163"/>
      <c r="C734" s="164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8"/>
      <c r="V734" s="18"/>
      <c r="W734" s="18"/>
      <c r="X734" s="18"/>
      <c r="Y734" s="18"/>
      <c r="Z734" s="18"/>
      <c r="AA734" s="85"/>
      <c r="AB734" s="85"/>
      <c r="AC734" s="18"/>
      <c r="AD734" s="18"/>
      <c r="AE734" s="18"/>
      <c r="AF734" s="18"/>
    </row>
    <row r="735" ht="15.75" customHeight="1">
      <c r="A735" s="18"/>
      <c r="B735" s="163"/>
      <c r="C735" s="164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8"/>
      <c r="V735" s="18"/>
      <c r="W735" s="18"/>
      <c r="X735" s="18"/>
      <c r="Y735" s="18"/>
      <c r="Z735" s="18"/>
      <c r="AA735" s="85"/>
      <c r="AB735" s="85"/>
      <c r="AC735" s="18"/>
      <c r="AD735" s="18"/>
      <c r="AE735" s="18"/>
      <c r="AF735" s="18"/>
    </row>
    <row r="736" ht="15.75" customHeight="1">
      <c r="A736" s="18"/>
      <c r="B736" s="163"/>
      <c r="C736" s="164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8"/>
      <c r="V736" s="18"/>
      <c r="W736" s="18"/>
      <c r="X736" s="18"/>
      <c r="Y736" s="18"/>
      <c r="Z736" s="18"/>
      <c r="AA736" s="85"/>
      <c r="AB736" s="85"/>
      <c r="AC736" s="18"/>
      <c r="AD736" s="18"/>
      <c r="AE736" s="18"/>
      <c r="AF736" s="18"/>
    </row>
    <row r="737" ht="15.75" customHeight="1">
      <c r="A737" s="18"/>
      <c r="B737" s="163"/>
      <c r="C737" s="164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8"/>
      <c r="V737" s="18"/>
      <c r="W737" s="18"/>
      <c r="X737" s="18"/>
      <c r="Y737" s="18"/>
      <c r="Z737" s="18"/>
      <c r="AA737" s="85"/>
      <c r="AB737" s="85"/>
      <c r="AC737" s="18"/>
      <c r="AD737" s="18"/>
      <c r="AE737" s="18"/>
      <c r="AF737" s="18"/>
    </row>
    <row r="738" ht="15.75" customHeight="1">
      <c r="A738" s="18"/>
      <c r="B738" s="163"/>
      <c r="C738" s="164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8"/>
      <c r="V738" s="18"/>
      <c r="W738" s="18"/>
      <c r="X738" s="18"/>
      <c r="Y738" s="18"/>
      <c r="Z738" s="18"/>
      <c r="AA738" s="85"/>
      <c r="AB738" s="85"/>
      <c r="AC738" s="18"/>
      <c r="AD738" s="18"/>
      <c r="AE738" s="18"/>
      <c r="AF738" s="18"/>
    </row>
    <row r="739" ht="15.75" customHeight="1">
      <c r="A739" s="18"/>
      <c r="B739" s="163"/>
      <c r="C739" s="164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8"/>
      <c r="V739" s="18"/>
      <c r="W739" s="18"/>
      <c r="X739" s="18"/>
      <c r="Y739" s="18"/>
      <c r="Z739" s="18"/>
      <c r="AA739" s="85"/>
      <c r="AB739" s="85"/>
      <c r="AC739" s="18"/>
      <c r="AD739" s="18"/>
      <c r="AE739" s="18"/>
      <c r="AF739" s="18"/>
    </row>
    <row r="740" ht="15.75" customHeight="1">
      <c r="A740" s="18"/>
      <c r="B740" s="163"/>
      <c r="C740" s="164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8"/>
      <c r="V740" s="18"/>
      <c r="W740" s="18"/>
      <c r="X740" s="18"/>
      <c r="Y740" s="18"/>
      <c r="Z740" s="18"/>
      <c r="AA740" s="85"/>
      <c r="AB740" s="85"/>
      <c r="AC740" s="18"/>
      <c r="AD740" s="18"/>
      <c r="AE740" s="18"/>
      <c r="AF740" s="18"/>
    </row>
    <row r="741" ht="15.75" customHeight="1">
      <c r="A741" s="18"/>
      <c r="B741" s="163"/>
      <c r="C741" s="164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8"/>
      <c r="V741" s="18"/>
      <c r="W741" s="18"/>
      <c r="X741" s="18"/>
      <c r="Y741" s="18"/>
      <c r="Z741" s="18"/>
      <c r="AA741" s="85"/>
      <c r="AB741" s="85"/>
      <c r="AC741" s="18"/>
      <c r="AD741" s="18"/>
      <c r="AE741" s="18"/>
      <c r="AF741" s="18"/>
    </row>
    <row r="742" ht="15.75" customHeight="1">
      <c r="A742" s="18"/>
      <c r="B742" s="163"/>
      <c r="C742" s="164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8"/>
      <c r="V742" s="18"/>
      <c r="W742" s="18"/>
      <c r="X742" s="18"/>
      <c r="Y742" s="18"/>
      <c r="Z742" s="18"/>
      <c r="AA742" s="85"/>
      <c r="AB742" s="85"/>
      <c r="AC742" s="18"/>
      <c r="AD742" s="18"/>
      <c r="AE742" s="18"/>
      <c r="AF742" s="18"/>
    </row>
    <row r="743" ht="15.75" customHeight="1">
      <c r="A743" s="18"/>
      <c r="B743" s="163"/>
      <c r="C743" s="164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8"/>
      <c r="V743" s="18"/>
      <c r="W743" s="18"/>
      <c r="X743" s="18"/>
      <c r="Y743" s="18"/>
      <c r="Z743" s="18"/>
      <c r="AA743" s="85"/>
      <c r="AB743" s="85"/>
      <c r="AC743" s="18"/>
      <c r="AD743" s="18"/>
      <c r="AE743" s="18"/>
      <c r="AF743" s="18"/>
    </row>
    <row r="744" ht="15.75" customHeight="1">
      <c r="A744" s="18"/>
      <c r="B744" s="163"/>
      <c r="C744" s="164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8"/>
      <c r="V744" s="18"/>
      <c r="W744" s="18"/>
      <c r="X744" s="18"/>
      <c r="Y744" s="18"/>
      <c r="Z744" s="18"/>
      <c r="AA744" s="85"/>
      <c r="AB744" s="85"/>
      <c r="AC744" s="18"/>
      <c r="AD744" s="18"/>
      <c r="AE744" s="18"/>
      <c r="AF744" s="18"/>
    </row>
    <row r="745" ht="15.75" customHeight="1">
      <c r="A745" s="18"/>
      <c r="B745" s="163"/>
      <c r="C745" s="164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8"/>
      <c r="V745" s="18"/>
      <c r="W745" s="18"/>
      <c r="X745" s="18"/>
      <c r="Y745" s="18"/>
      <c r="Z745" s="18"/>
      <c r="AA745" s="85"/>
      <c r="AB745" s="85"/>
      <c r="AC745" s="18"/>
      <c r="AD745" s="18"/>
      <c r="AE745" s="18"/>
      <c r="AF745" s="18"/>
    </row>
    <row r="746" ht="15.75" customHeight="1">
      <c r="A746" s="18"/>
      <c r="B746" s="163"/>
      <c r="C746" s="164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8"/>
      <c r="V746" s="18"/>
      <c r="W746" s="18"/>
      <c r="X746" s="18"/>
      <c r="Y746" s="18"/>
      <c r="Z746" s="18"/>
      <c r="AA746" s="85"/>
      <c r="AB746" s="85"/>
      <c r="AC746" s="18"/>
      <c r="AD746" s="18"/>
      <c r="AE746" s="18"/>
      <c r="AF746" s="18"/>
    </row>
    <row r="747" ht="15.75" customHeight="1">
      <c r="A747" s="18"/>
      <c r="B747" s="163"/>
      <c r="C747" s="164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8"/>
      <c r="V747" s="18"/>
      <c r="W747" s="18"/>
      <c r="X747" s="18"/>
      <c r="Y747" s="18"/>
      <c r="Z747" s="18"/>
      <c r="AA747" s="85"/>
      <c r="AB747" s="85"/>
      <c r="AC747" s="18"/>
      <c r="AD747" s="18"/>
      <c r="AE747" s="18"/>
      <c r="AF747" s="18"/>
    </row>
    <row r="748" ht="15.75" customHeight="1">
      <c r="A748" s="18"/>
      <c r="B748" s="163"/>
      <c r="C748" s="164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8"/>
      <c r="V748" s="18"/>
      <c r="W748" s="18"/>
      <c r="X748" s="18"/>
      <c r="Y748" s="18"/>
      <c r="Z748" s="18"/>
      <c r="AA748" s="85"/>
      <c r="AB748" s="85"/>
      <c r="AC748" s="18"/>
      <c r="AD748" s="18"/>
      <c r="AE748" s="18"/>
      <c r="AF748" s="18"/>
    </row>
    <row r="749" ht="15.75" customHeight="1">
      <c r="A749" s="18"/>
      <c r="B749" s="163"/>
      <c r="C749" s="164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8"/>
      <c r="V749" s="18"/>
      <c r="W749" s="18"/>
      <c r="X749" s="18"/>
      <c r="Y749" s="18"/>
      <c r="Z749" s="18"/>
      <c r="AA749" s="85"/>
      <c r="AB749" s="85"/>
      <c r="AC749" s="18"/>
      <c r="AD749" s="18"/>
      <c r="AE749" s="18"/>
      <c r="AF749" s="18"/>
    </row>
    <row r="750" ht="15.75" customHeight="1">
      <c r="A750" s="18"/>
      <c r="B750" s="163"/>
      <c r="C750" s="164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8"/>
      <c r="V750" s="18"/>
      <c r="W750" s="18"/>
      <c r="X750" s="18"/>
      <c r="Y750" s="18"/>
      <c r="Z750" s="18"/>
      <c r="AA750" s="85"/>
      <c r="AB750" s="85"/>
      <c r="AC750" s="18"/>
      <c r="AD750" s="18"/>
      <c r="AE750" s="18"/>
      <c r="AF750" s="18"/>
    </row>
    <row r="751" ht="15.75" customHeight="1">
      <c r="A751" s="18"/>
      <c r="B751" s="163"/>
      <c r="C751" s="164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8"/>
      <c r="V751" s="18"/>
      <c r="W751" s="18"/>
      <c r="X751" s="18"/>
      <c r="Y751" s="18"/>
      <c r="Z751" s="18"/>
      <c r="AA751" s="85"/>
      <c r="AB751" s="85"/>
      <c r="AC751" s="18"/>
      <c r="AD751" s="18"/>
      <c r="AE751" s="18"/>
      <c r="AF751" s="18"/>
    </row>
    <row r="752" ht="15.75" customHeight="1">
      <c r="A752" s="18"/>
      <c r="B752" s="163"/>
      <c r="C752" s="164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8"/>
      <c r="V752" s="18"/>
      <c r="W752" s="18"/>
      <c r="X752" s="18"/>
      <c r="Y752" s="18"/>
      <c r="Z752" s="18"/>
      <c r="AA752" s="85"/>
      <c r="AB752" s="85"/>
      <c r="AC752" s="18"/>
      <c r="AD752" s="18"/>
      <c r="AE752" s="18"/>
      <c r="AF752" s="18"/>
    </row>
    <row r="753" ht="15.75" customHeight="1">
      <c r="A753" s="18"/>
      <c r="B753" s="163"/>
      <c r="C753" s="164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8"/>
      <c r="V753" s="18"/>
      <c r="W753" s="18"/>
      <c r="X753" s="18"/>
      <c r="Y753" s="18"/>
      <c r="Z753" s="18"/>
      <c r="AA753" s="85"/>
      <c r="AB753" s="85"/>
      <c r="AC753" s="18"/>
      <c r="AD753" s="18"/>
      <c r="AE753" s="18"/>
      <c r="AF753" s="18"/>
    </row>
    <row r="754" ht="15.75" customHeight="1">
      <c r="A754" s="18"/>
      <c r="B754" s="163"/>
      <c r="C754" s="164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8"/>
      <c r="V754" s="18"/>
      <c r="W754" s="18"/>
      <c r="X754" s="18"/>
      <c r="Y754" s="18"/>
      <c r="Z754" s="18"/>
      <c r="AA754" s="85"/>
      <c r="AB754" s="85"/>
      <c r="AC754" s="18"/>
      <c r="AD754" s="18"/>
      <c r="AE754" s="18"/>
      <c r="AF754" s="18"/>
    </row>
    <row r="755" ht="15.75" customHeight="1">
      <c r="A755" s="18"/>
      <c r="B755" s="163"/>
      <c r="C755" s="164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8"/>
      <c r="V755" s="18"/>
      <c r="W755" s="18"/>
      <c r="X755" s="18"/>
      <c r="Y755" s="18"/>
      <c r="Z755" s="18"/>
      <c r="AA755" s="85"/>
      <c r="AB755" s="85"/>
      <c r="AC755" s="18"/>
      <c r="AD755" s="18"/>
      <c r="AE755" s="18"/>
      <c r="AF755" s="18"/>
    </row>
    <row r="756" ht="15.75" customHeight="1">
      <c r="A756" s="18"/>
      <c r="B756" s="163"/>
      <c r="C756" s="164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8"/>
      <c r="V756" s="18"/>
      <c r="W756" s="18"/>
      <c r="X756" s="18"/>
      <c r="Y756" s="18"/>
      <c r="Z756" s="18"/>
      <c r="AA756" s="85"/>
      <c r="AB756" s="85"/>
      <c r="AC756" s="18"/>
      <c r="AD756" s="18"/>
      <c r="AE756" s="18"/>
      <c r="AF756" s="18"/>
    </row>
    <row r="757" ht="15.75" customHeight="1">
      <c r="A757" s="18"/>
      <c r="B757" s="163"/>
      <c r="C757" s="164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8"/>
      <c r="V757" s="18"/>
      <c r="W757" s="18"/>
      <c r="X757" s="18"/>
      <c r="Y757" s="18"/>
      <c r="Z757" s="18"/>
      <c r="AA757" s="85"/>
      <c r="AB757" s="85"/>
      <c r="AC757" s="18"/>
      <c r="AD757" s="18"/>
      <c r="AE757" s="18"/>
      <c r="AF757" s="18"/>
    </row>
    <row r="758" ht="15.75" customHeight="1">
      <c r="A758" s="18"/>
      <c r="B758" s="163"/>
      <c r="C758" s="164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8"/>
      <c r="V758" s="18"/>
      <c r="W758" s="18"/>
      <c r="X758" s="18"/>
      <c r="Y758" s="18"/>
      <c r="Z758" s="18"/>
      <c r="AA758" s="85"/>
      <c r="AB758" s="85"/>
      <c r="AC758" s="18"/>
      <c r="AD758" s="18"/>
      <c r="AE758" s="18"/>
      <c r="AF758" s="18"/>
    </row>
    <row r="759" ht="15.75" customHeight="1">
      <c r="A759" s="18"/>
      <c r="B759" s="163"/>
      <c r="C759" s="164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8"/>
      <c r="V759" s="18"/>
      <c r="W759" s="18"/>
      <c r="X759" s="18"/>
      <c r="Y759" s="18"/>
      <c r="Z759" s="18"/>
      <c r="AA759" s="85"/>
      <c r="AB759" s="85"/>
      <c r="AC759" s="18"/>
      <c r="AD759" s="18"/>
      <c r="AE759" s="18"/>
      <c r="AF759" s="18"/>
    </row>
    <row r="760" ht="15.75" customHeight="1">
      <c r="A760" s="18"/>
      <c r="B760" s="163"/>
      <c r="C760" s="164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8"/>
      <c r="V760" s="18"/>
      <c r="W760" s="18"/>
      <c r="X760" s="18"/>
      <c r="Y760" s="18"/>
      <c r="Z760" s="18"/>
      <c r="AA760" s="85"/>
      <c r="AB760" s="85"/>
      <c r="AC760" s="18"/>
      <c r="AD760" s="18"/>
      <c r="AE760" s="18"/>
      <c r="AF760" s="18"/>
    </row>
    <row r="761" ht="15.75" customHeight="1">
      <c r="A761" s="18"/>
      <c r="B761" s="163"/>
      <c r="C761" s="164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8"/>
      <c r="V761" s="18"/>
      <c r="W761" s="18"/>
      <c r="X761" s="18"/>
      <c r="Y761" s="18"/>
      <c r="Z761" s="18"/>
      <c r="AA761" s="85"/>
      <c r="AB761" s="85"/>
      <c r="AC761" s="18"/>
      <c r="AD761" s="18"/>
      <c r="AE761" s="18"/>
      <c r="AF761" s="18"/>
    </row>
    <row r="762" ht="15.75" customHeight="1">
      <c r="A762" s="18"/>
      <c r="B762" s="163"/>
      <c r="C762" s="164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8"/>
      <c r="V762" s="18"/>
      <c r="W762" s="18"/>
      <c r="X762" s="18"/>
      <c r="Y762" s="18"/>
      <c r="Z762" s="18"/>
      <c r="AA762" s="85"/>
      <c r="AB762" s="85"/>
      <c r="AC762" s="18"/>
      <c r="AD762" s="18"/>
      <c r="AE762" s="18"/>
      <c r="AF762" s="18"/>
    </row>
    <row r="763" ht="15.75" customHeight="1">
      <c r="A763" s="18"/>
      <c r="B763" s="163"/>
      <c r="C763" s="164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8"/>
      <c r="V763" s="18"/>
      <c r="W763" s="18"/>
      <c r="X763" s="18"/>
      <c r="Y763" s="18"/>
      <c r="Z763" s="18"/>
      <c r="AA763" s="85"/>
      <c r="AB763" s="85"/>
      <c r="AC763" s="18"/>
      <c r="AD763" s="18"/>
      <c r="AE763" s="18"/>
      <c r="AF763" s="18"/>
    </row>
    <row r="764" ht="15.75" customHeight="1">
      <c r="A764" s="18"/>
      <c r="B764" s="163"/>
      <c r="C764" s="164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8"/>
      <c r="V764" s="18"/>
      <c r="W764" s="18"/>
      <c r="X764" s="18"/>
      <c r="Y764" s="18"/>
      <c r="Z764" s="18"/>
      <c r="AA764" s="85"/>
      <c r="AB764" s="85"/>
      <c r="AC764" s="18"/>
      <c r="AD764" s="18"/>
      <c r="AE764" s="18"/>
      <c r="AF764" s="18"/>
    </row>
    <row r="765" ht="15.75" customHeight="1">
      <c r="A765" s="18"/>
      <c r="B765" s="163"/>
      <c r="C765" s="164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8"/>
      <c r="V765" s="18"/>
      <c r="W765" s="18"/>
      <c r="X765" s="18"/>
      <c r="Y765" s="18"/>
      <c r="Z765" s="18"/>
      <c r="AA765" s="85"/>
      <c r="AB765" s="85"/>
      <c r="AC765" s="18"/>
      <c r="AD765" s="18"/>
      <c r="AE765" s="18"/>
      <c r="AF765" s="18"/>
    </row>
    <row r="766" ht="15.75" customHeight="1">
      <c r="A766" s="18"/>
      <c r="B766" s="163"/>
      <c r="C766" s="164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8"/>
      <c r="V766" s="18"/>
      <c r="W766" s="18"/>
      <c r="X766" s="18"/>
      <c r="Y766" s="18"/>
      <c r="Z766" s="18"/>
      <c r="AA766" s="85"/>
      <c r="AB766" s="85"/>
      <c r="AC766" s="18"/>
      <c r="AD766" s="18"/>
      <c r="AE766" s="18"/>
      <c r="AF766" s="18"/>
    </row>
    <row r="767" ht="15.75" customHeight="1">
      <c r="A767" s="18"/>
      <c r="B767" s="163"/>
      <c r="C767" s="164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8"/>
      <c r="V767" s="18"/>
      <c r="W767" s="18"/>
      <c r="X767" s="18"/>
      <c r="Y767" s="18"/>
      <c r="Z767" s="18"/>
      <c r="AA767" s="85"/>
      <c r="AB767" s="85"/>
      <c r="AC767" s="18"/>
      <c r="AD767" s="18"/>
      <c r="AE767" s="18"/>
      <c r="AF767" s="18"/>
    </row>
    <row r="768" ht="15.75" customHeight="1">
      <c r="A768" s="18"/>
      <c r="B768" s="163"/>
      <c r="C768" s="164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8"/>
      <c r="V768" s="18"/>
      <c r="W768" s="18"/>
      <c r="X768" s="18"/>
      <c r="Y768" s="18"/>
      <c r="Z768" s="18"/>
      <c r="AA768" s="85"/>
      <c r="AB768" s="85"/>
      <c r="AC768" s="18"/>
      <c r="AD768" s="18"/>
      <c r="AE768" s="18"/>
      <c r="AF768" s="18"/>
    </row>
    <row r="769" ht="15.75" customHeight="1">
      <c r="A769" s="18"/>
      <c r="B769" s="163"/>
      <c r="C769" s="164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8"/>
      <c r="V769" s="18"/>
      <c r="W769" s="18"/>
      <c r="X769" s="18"/>
      <c r="Y769" s="18"/>
      <c r="Z769" s="18"/>
      <c r="AA769" s="85"/>
      <c r="AB769" s="85"/>
      <c r="AC769" s="18"/>
      <c r="AD769" s="18"/>
      <c r="AE769" s="18"/>
      <c r="AF769" s="18"/>
    </row>
    <row r="770" ht="15.75" customHeight="1">
      <c r="A770" s="18"/>
      <c r="B770" s="163"/>
      <c r="C770" s="164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8"/>
      <c r="V770" s="18"/>
      <c r="W770" s="18"/>
      <c r="X770" s="18"/>
      <c r="Y770" s="18"/>
      <c r="Z770" s="18"/>
      <c r="AA770" s="85"/>
      <c r="AB770" s="85"/>
      <c r="AC770" s="18"/>
      <c r="AD770" s="18"/>
      <c r="AE770" s="18"/>
      <c r="AF770" s="18"/>
    </row>
    <row r="771" ht="15.75" customHeight="1">
      <c r="A771" s="18"/>
      <c r="B771" s="163"/>
      <c r="C771" s="164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8"/>
      <c r="V771" s="18"/>
      <c r="W771" s="18"/>
      <c r="X771" s="18"/>
      <c r="Y771" s="18"/>
      <c r="Z771" s="18"/>
      <c r="AA771" s="85"/>
      <c r="AB771" s="85"/>
      <c r="AC771" s="18"/>
      <c r="AD771" s="18"/>
      <c r="AE771" s="18"/>
      <c r="AF771" s="18"/>
    </row>
    <row r="772" ht="15.75" customHeight="1">
      <c r="A772" s="18"/>
      <c r="B772" s="163"/>
      <c r="C772" s="164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8"/>
      <c r="V772" s="18"/>
      <c r="W772" s="18"/>
      <c r="X772" s="18"/>
      <c r="Y772" s="18"/>
      <c r="Z772" s="18"/>
      <c r="AA772" s="85"/>
      <c r="AB772" s="85"/>
      <c r="AC772" s="18"/>
      <c r="AD772" s="18"/>
      <c r="AE772" s="18"/>
      <c r="AF772" s="18"/>
    </row>
    <row r="773" ht="15.75" customHeight="1">
      <c r="A773" s="18"/>
      <c r="B773" s="163"/>
      <c r="C773" s="164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8"/>
      <c r="V773" s="18"/>
      <c r="W773" s="18"/>
      <c r="X773" s="18"/>
      <c r="Y773" s="18"/>
      <c r="Z773" s="18"/>
      <c r="AA773" s="85"/>
      <c r="AB773" s="85"/>
      <c r="AC773" s="18"/>
      <c r="AD773" s="18"/>
      <c r="AE773" s="18"/>
      <c r="AF773" s="18"/>
    </row>
    <row r="774" ht="15.75" customHeight="1">
      <c r="A774" s="18"/>
      <c r="B774" s="163"/>
      <c r="C774" s="164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8"/>
      <c r="V774" s="18"/>
      <c r="W774" s="18"/>
      <c r="X774" s="18"/>
      <c r="Y774" s="18"/>
      <c r="Z774" s="18"/>
      <c r="AA774" s="85"/>
      <c r="AB774" s="85"/>
      <c r="AC774" s="18"/>
      <c r="AD774" s="18"/>
      <c r="AE774" s="18"/>
      <c r="AF774" s="18"/>
    </row>
    <row r="775" ht="15.75" customHeight="1">
      <c r="A775" s="18"/>
      <c r="B775" s="163"/>
      <c r="C775" s="164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8"/>
      <c r="V775" s="18"/>
      <c r="W775" s="18"/>
      <c r="X775" s="18"/>
      <c r="Y775" s="18"/>
      <c r="Z775" s="18"/>
      <c r="AA775" s="85"/>
      <c r="AB775" s="85"/>
      <c r="AC775" s="18"/>
      <c r="AD775" s="18"/>
      <c r="AE775" s="18"/>
      <c r="AF775" s="18"/>
    </row>
    <row r="776" ht="15.75" customHeight="1">
      <c r="A776" s="18"/>
      <c r="B776" s="163"/>
      <c r="C776" s="164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8"/>
      <c r="V776" s="18"/>
      <c r="W776" s="18"/>
      <c r="X776" s="18"/>
      <c r="Y776" s="18"/>
      <c r="Z776" s="18"/>
      <c r="AA776" s="85"/>
      <c r="AB776" s="85"/>
      <c r="AC776" s="18"/>
      <c r="AD776" s="18"/>
      <c r="AE776" s="18"/>
      <c r="AF776" s="18"/>
    </row>
    <row r="777" ht="15.75" customHeight="1">
      <c r="A777" s="18"/>
      <c r="B777" s="163"/>
      <c r="C777" s="164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8"/>
      <c r="V777" s="18"/>
      <c r="W777" s="18"/>
      <c r="X777" s="18"/>
      <c r="Y777" s="18"/>
      <c r="Z777" s="18"/>
      <c r="AA777" s="85"/>
      <c r="AB777" s="85"/>
      <c r="AC777" s="18"/>
      <c r="AD777" s="18"/>
      <c r="AE777" s="18"/>
      <c r="AF777" s="18"/>
    </row>
    <row r="778" ht="15.75" customHeight="1">
      <c r="A778" s="18"/>
      <c r="B778" s="163"/>
      <c r="C778" s="164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8"/>
      <c r="V778" s="18"/>
      <c r="W778" s="18"/>
      <c r="X778" s="18"/>
      <c r="Y778" s="18"/>
      <c r="Z778" s="18"/>
      <c r="AA778" s="85"/>
      <c r="AB778" s="85"/>
      <c r="AC778" s="18"/>
      <c r="AD778" s="18"/>
      <c r="AE778" s="18"/>
      <c r="AF778" s="18"/>
    </row>
    <row r="779" ht="15.75" customHeight="1">
      <c r="A779" s="18"/>
      <c r="B779" s="163"/>
      <c r="C779" s="164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8"/>
      <c r="V779" s="18"/>
      <c r="W779" s="18"/>
      <c r="X779" s="18"/>
      <c r="Y779" s="18"/>
      <c r="Z779" s="18"/>
      <c r="AA779" s="85"/>
      <c r="AB779" s="85"/>
      <c r="AC779" s="18"/>
      <c r="AD779" s="18"/>
      <c r="AE779" s="18"/>
      <c r="AF779" s="18"/>
    </row>
    <row r="780" ht="15.75" customHeight="1">
      <c r="A780" s="18"/>
      <c r="B780" s="163"/>
      <c r="C780" s="164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8"/>
      <c r="V780" s="18"/>
      <c r="W780" s="18"/>
      <c r="X780" s="18"/>
      <c r="Y780" s="18"/>
      <c r="Z780" s="18"/>
      <c r="AA780" s="85"/>
      <c r="AB780" s="85"/>
      <c r="AC780" s="18"/>
      <c r="AD780" s="18"/>
      <c r="AE780" s="18"/>
      <c r="AF780" s="18"/>
    </row>
    <row r="781" ht="15.75" customHeight="1">
      <c r="A781" s="18"/>
      <c r="B781" s="163"/>
      <c r="C781" s="164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8"/>
      <c r="V781" s="18"/>
      <c r="W781" s="18"/>
      <c r="X781" s="18"/>
      <c r="Y781" s="18"/>
      <c r="Z781" s="18"/>
      <c r="AA781" s="85"/>
      <c r="AB781" s="85"/>
      <c r="AC781" s="18"/>
      <c r="AD781" s="18"/>
      <c r="AE781" s="18"/>
      <c r="AF781" s="18"/>
    </row>
    <row r="782" ht="15.75" customHeight="1">
      <c r="A782" s="18"/>
      <c r="B782" s="163"/>
      <c r="C782" s="164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8"/>
      <c r="V782" s="18"/>
      <c r="W782" s="18"/>
      <c r="X782" s="18"/>
      <c r="Y782" s="18"/>
      <c r="Z782" s="18"/>
      <c r="AA782" s="85"/>
      <c r="AB782" s="85"/>
      <c r="AC782" s="18"/>
      <c r="AD782" s="18"/>
      <c r="AE782" s="18"/>
      <c r="AF782" s="18"/>
    </row>
    <row r="783" ht="15.75" customHeight="1">
      <c r="A783" s="18"/>
      <c r="B783" s="163"/>
      <c r="C783" s="164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8"/>
      <c r="V783" s="18"/>
      <c r="W783" s="18"/>
      <c r="X783" s="18"/>
      <c r="Y783" s="18"/>
      <c r="Z783" s="18"/>
      <c r="AA783" s="85"/>
      <c r="AB783" s="85"/>
      <c r="AC783" s="18"/>
      <c r="AD783" s="18"/>
      <c r="AE783" s="18"/>
      <c r="AF783" s="18"/>
    </row>
    <row r="784" ht="15.75" customHeight="1">
      <c r="A784" s="18"/>
      <c r="B784" s="163"/>
      <c r="C784" s="164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8"/>
      <c r="V784" s="18"/>
      <c r="W784" s="18"/>
      <c r="X784" s="18"/>
      <c r="Y784" s="18"/>
      <c r="Z784" s="18"/>
      <c r="AA784" s="85"/>
      <c r="AB784" s="85"/>
      <c r="AC784" s="18"/>
      <c r="AD784" s="18"/>
      <c r="AE784" s="18"/>
      <c r="AF784" s="18"/>
    </row>
    <row r="785" ht="15.75" customHeight="1">
      <c r="A785" s="18"/>
      <c r="B785" s="163"/>
      <c r="C785" s="164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8"/>
      <c r="V785" s="18"/>
      <c r="W785" s="18"/>
      <c r="X785" s="18"/>
      <c r="Y785" s="18"/>
      <c r="Z785" s="18"/>
      <c r="AA785" s="85"/>
      <c r="AB785" s="85"/>
      <c r="AC785" s="18"/>
      <c r="AD785" s="18"/>
      <c r="AE785" s="18"/>
      <c r="AF785" s="18"/>
    </row>
    <row r="786" ht="15.75" customHeight="1">
      <c r="A786" s="18"/>
      <c r="B786" s="163"/>
      <c r="C786" s="164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8"/>
      <c r="V786" s="18"/>
      <c r="W786" s="18"/>
      <c r="X786" s="18"/>
      <c r="Y786" s="18"/>
      <c r="Z786" s="18"/>
      <c r="AA786" s="85"/>
      <c r="AB786" s="85"/>
      <c r="AC786" s="18"/>
      <c r="AD786" s="18"/>
      <c r="AE786" s="18"/>
      <c r="AF786" s="18"/>
    </row>
    <row r="787" ht="15.75" customHeight="1">
      <c r="A787" s="18"/>
      <c r="B787" s="163"/>
      <c r="C787" s="164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8"/>
      <c r="V787" s="18"/>
      <c r="W787" s="18"/>
      <c r="X787" s="18"/>
      <c r="Y787" s="18"/>
      <c r="Z787" s="18"/>
      <c r="AA787" s="85"/>
      <c r="AB787" s="85"/>
      <c r="AC787" s="18"/>
      <c r="AD787" s="18"/>
      <c r="AE787" s="18"/>
      <c r="AF787" s="18"/>
    </row>
    <row r="788" ht="15.75" customHeight="1">
      <c r="A788" s="18"/>
      <c r="B788" s="163"/>
      <c r="C788" s="164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8"/>
      <c r="V788" s="18"/>
      <c r="W788" s="18"/>
      <c r="X788" s="18"/>
      <c r="Y788" s="18"/>
      <c r="Z788" s="18"/>
      <c r="AA788" s="85"/>
      <c r="AB788" s="85"/>
      <c r="AC788" s="18"/>
      <c r="AD788" s="18"/>
      <c r="AE788" s="18"/>
      <c r="AF788" s="18"/>
    </row>
    <row r="789" ht="15.75" customHeight="1">
      <c r="A789" s="18"/>
      <c r="B789" s="163"/>
      <c r="C789" s="164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8"/>
      <c r="V789" s="18"/>
      <c r="W789" s="18"/>
      <c r="X789" s="18"/>
      <c r="Y789" s="18"/>
      <c r="Z789" s="18"/>
      <c r="AA789" s="85"/>
      <c r="AB789" s="85"/>
      <c r="AC789" s="18"/>
      <c r="AD789" s="18"/>
      <c r="AE789" s="18"/>
      <c r="AF789" s="18"/>
    </row>
    <row r="790" ht="15.75" customHeight="1">
      <c r="A790" s="18"/>
      <c r="B790" s="163"/>
      <c r="C790" s="164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8"/>
      <c r="V790" s="18"/>
      <c r="W790" s="18"/>
      <c r="X790" s="18"/>
      <c r="Y790" s="18"/>
      <c r="Z790" s="18"/>
      <c r="AA790" s="85"/>
      <c r="AB790" s="85"/>
      <c r="AC790" s="18"/>
      <c r="AD790" s="18"/>
      <c r="AE790" s="18"/>
      <c r="AF790" s="18"/>
    </row>
    <row r="791" ht="15.75" customHeight="1">
      <c r="A791" s="18"/>
      <c r="B791" s="163"/>
      <c r="C791" s="164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8"/>
      <c r="V791" s="18"/>
      <c r="W791" s="18"/>
      <c r="X791" s="18"/>
      <c r="Y791" s="18"/>
      <c r="Z791" s="18"/>
      <c r="AA791" s="85"/>
      <c r="AB791" s="85"/>
      <c r="AC791" s="18"/>
      <c r="AD791" s="18"/>
      <c r="AE791" s="18"/>
      <c r="AF791" s="18"/>
    </row>
    <row r="792" ht="15.75" customHeight="1">
      <c r="A792" s="18"/>
      <c r="B792" s="163"/>
      <c r="C792" s="164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8"/>
      <c r="V792" s="18"/>
      <c r="W792" s="18"/>
      <c r="X792" s="18"/>
      <c r="Y792" s="18"/>
      <c r="Z792" s="18"/>
      <c r="AA792" s="85"/>
      <c r="AB792" s="85"/>
      <c r="AC792" s="18"/>
      <c r="AD792" s="18"/>
      <c r="AE792" s="18"/>
      <c r="AF792" s="18"/>
    </row>
    <row r="793" ht="15.75" customHeight="1">
      <c r="A793" s="18"/>
      <c r="B793" s="163"/>
      <c r="C793" s="164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8"/>
      <c r="V793" s="18"/>
      <c r="W793" s="18"/>
      <c r="X793" s="18"/>
      <c r="Y793" s="18"/>
      <c r="Z793" s="18"/>
      <c r="AA793" s="85"/>
      <c r="AB793" s="85"/>
      <c r="AC793" s="18"/>
      <c r="AD793" s="18"/>
      <c r="AE793" s="18"/>
      <c r="AF793" s="18"/>
    </row>
    <row r="794" ht="15.75" customHeight="1">
      <c r="A794" s="18"/>
      <c r="B794" s="163"/>
      <c r="C794" s="164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8"/>
      <c r="V794" s="18"/>
      <c r="W794" s="18"/>
      <c r="X794" s="18"/>
      <c r="Y794" s="18"/>
      <c r="Z794" s="18"/>
      <c r="AA794" s="85"/>
      <c r="AB794" s="85"/>
      <c r="AC794" s="18"/>
      <c r="AD794" s="18"/>
      <c r="AE794" s="18"/>
      <c r="AF794" s="18"/>
    </row>
    <row r="795" ht="15.75" customHeight="1">
      <c r="A795" s="18"/>
      <c r="B795" s="163"/>
      <c r="C795" s="164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8"/>
      <c r="V795" s="18"/>
      <c r="W795" s="18"/>
      <c r="X795" s="18"/>
      <c r="Y795" s="18"/>
      <c r="Z795" s="18"/>
      <c r="AA795" s="85"/>
      <c r="AB795" s="85"/>
      <c r="AC795" s="18"/>
      <c r="AD795" s="18"/>
      <c r="AE795" s="18"/>
      <c r="AF795" s="18"/>
    </row>
    <row r="796" ht="15.75" customHeight="1">
      <c r="A796" s="18"/>
      <c r="B796" s="163"/>
      <c r="C796" s="164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8"/>
      <c r="V796" s="18"/>
      <c r="W796" s="18"/>
      <c r="X796" s="18"/>
      <c r="Y796" s="18"/>
      <c r="Z796" s="18"/>
      <c r="AA796" s="85"/>
      <c r="AB796" s="85"/>
      <c r="AC796" s="18"/>
      <c r="AD796" s="18"/>
      <c r="AE796" s="18"/>
      <c r="AF796" s="18"/>
    </row>
    <row r="797" ht="15.75" customHeight="1">
      <c r="A797" s="18"/>
      <c r="B797" s="163"/>
      <c r="C797" s="164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8"/>
      <c r="V797" s="18"/>
      <c r="W797" s="18"/>
      <c r="X797" s="18"/>
      <c r="Y797" s="18"/>
      <c r="Z797" s="18"/>
      <c r="AA797" s="85"/>
      <c r="AB797" s="85"/>
      <c r="AC797" s="18"/>
      <c r="AD797" s="18"/>
      <c r="AE797" s="18"/>
      <c r="AF797" s="18"/>
    </row>
    <row r="798" ht="15.75" customHeight="1">
      <c r="A798" s="18"/>
      <c r="B798" s="163"/>
      <c r="C798" s="164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8"/>
      <c r="V798" s="18"/>
      <c r="W798" s="18"/>
      <c r="X798" s="18"/>
      <c r="Y798" s="18"/>
      <c r="Z798" s="18"/>
      <c r="AA798" s="85"/>
      <c r="AB798" s="85"/>
      <c r="AC798" s="18"/>
      <c r="AD798" s="18"/>
      <c r="AE798" s="18"/>
      <c r="AF798" s="18"/>
    </row>
    <row r="799" ht="15.75" customHeight="1">
      <c r="A799" s="18"/>
      <c r="B799" s="163"/>
      <c r="C799" s="164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8"/>
      <c r="V799" s="18"/>
      <c r="W799" s="18"/>
      <c r="X799" s="18"/>
      <c r="Y799" s="18"/>
      <c r="Z799" s="18"/>
      <c r="AA799" s="85"/>
      <c r="AB799" s="85"/>
      <c r="AC799" s="18"/>
      <c r="AD799" s="18"/>
      <c r="AE799" s="18"/>
      <c r="AF799" s="18"/>
    </row>
    <row r="800" ht="15.75" customHeight="1">
      <c r="A800" s="18"/>
      <c r="B800" s="163"/>
      <c r="C800" s="164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8"/>
      <c r="V800" s="18"/>
      <c r="W800" s="18"/>
      <c r="X800" s="18"/>
      <c r="Y800" s="18"/>
      <c r="Z800" s="18"/>
      <c r="AA800" s="85"/>
      <c r="AB800" s="85"/>
      <c r="AC800" s="18"/>
      <c r="AD800" s="18"/>
      <c r="AE800" s="18"/>
      <c r="AF800" s="18"/>
    </row>
    <row r="801" ht="15.75" customHeight="1">
      <c r="A801" s="18"/>
      <c r="B801" s="163"/>
      <c r="C801" s="164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8"/>
      <c r="V801" s="18"/>
      <c r="W801" s="18"/>
      <c r="X801" s="18"/>
      <c r="Y801" s="18"/>
      <c r="Z801" s="18"/>
      <c r="AA801" s="85"/>
      <c r="AB801" s="85"/>
      <c r="AC801" s="18"/>
      <c r="AD801" s="18"/>
      <c r="AE801" s="18"/>
      <c r="AF801" s="18"/>
    </row>
    <row r="802" ht="15.75" customHeight="1">
      <c r="A802" s="18"/>
      <c r="B802" s="163"/>
      <c r="C802" s="164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8"/>
      <c r="V802" s="18"/>
      <c r="W802" s="18"/>
      <c r="X802" s="18"/>
      <c r="Y802" s="18"/>
      <c r="Z802" s="18"/>
      <c r="AA802" s="85"/>
      <c r="AB802" s="85"/>
      <c r="AC802" s="18"/>
      <c r="AD802" s="18"/>
      <c r="AE802" s="18"/>
      <c r="AF802" s="18"/>
    </row>
    <row r="803" ht="15.75" customHeight="1">
      <c r="A803" s="18"/>
      <c r="B803" s="163"/>
      <c r="C803" s="164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8"/>
      <c r="V803" s="18"/>
      <c r="W803" s="18"/>
      <c r="X803" s="18"/>
      <c r="Y803" s="18"/>
      <c r="Z803" s="18"/>
      <c r="AA803" s="85"/>
      <c r="AB803" s="85"/>
      <c r="AC803" s="18"/>
      <c r="AD803" s="18"/>
      <c r="AE803" s="18"/>
      <c r="AF803" s="18"/>
    </row>
    <row r="804" ht="15.75" customHeight="1">
      <c r="A804" s="18"/>
      <c r="B804" s="163"/>
      <c r="C804" s="164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8"/>
      <c r="V804" s="18"/>
      <c r="W804" s="18"/>
      <c r="X804" s="18"/>
      <c r="Y804" s="18"/>
      <c r="Z804" s="18"/>
      <c r="AA804" s="85"/>
      <c r="AB804" s="85"/>
      <c r="AC804" s="18"/>
      <c r="AD804" s="18"/>
      <c r="AE804" s="18"/>
      <c r="AF804" s="18"/>
    </row>
    <row r="805" ht="15.75" customHeight="1">
      <c r="A805" s="18"/>
      <c r="B805" s="163"/>
      <c r="C805" s="164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8"/>
      <c r="V805" s="18"/>
      <c r="W805" s="18"/>
      <c r="X805" s="18"/>
      <c r="Y805" s="18"/>
      <c r="Z805" s="18"/>
      <c r="AA805" s="85"/>
      <c r="AB805" s="85"/>
      <c r="AC805" s="18"/>
      <c r="AD805" s="18"/>
      <c r="AE805" s="18"/>
      <c r="AF805" s="18"/>
    </row>
    <row r="806" ht="15.75" customHeight="1">
      <c r="A806" s="18"/>
      <c r="B806" s="163"/>
      <c r="C806" s="164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8"/>
      <c r="V806" s="18"/>
      <c r="W806" s="18"/>
      <c r="X806" s="18"/>
      <c r="Y806" s="18"/>
      <c r="Z806" s="18"/>
      <c r="AA806" s="85"/>
      <c r="AB806" s="85"/>
      <c r="AC806" s="18"/>
      <c r="AD806" s="18"/>
      <c r="AE806" s="18"/>
      <c r="AF806" s="18"/>
    </row>
    <row r="807" ht="15.75" customHeight="1">
      <c r="A807" s="18"/>
      <c r="B807" s="163"/>
      <c r="C807" s="164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8"/>
      <c r="V807" s="18"/>
      <c r="W807" s="18"/>
      <c r="X807" s="18"/>
      <c r="Y807" s="18"/>
      <c r="Z807" s="18"/>
      <c r="AA807" s="85"/>
      <c r="AB807" s="85"/>
      <c r="AC807" s="18"/>
      <c r="AD807" s="18"/>
      <c r="AE807" s="18"/>
      <c r="AF807" s="18"/>
    </row>
    <row r="808" ht="15.75" customHeight="1">
      <c r="A808" s="18"/>
      <c r="B808" s="163"/>
      <c r="C808" s="164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8"/>
      <c r="V808" s="18"/>
      <c r="W808" s="18"/>
      <c r="X808" s="18"/>
      <c r="Y808" s="18"/>
      <c r="Z808" s="18"/>
      <c r="AA808" s="85"/>
      <c r="AB808" s="85"/>
      <c r="AC808" s="18"/>
      <c r="AD808" s="18"/>
      <c r="AE808" s="18"/>
      <c r="AF808" s="18"/>
    </row>
    <row r="809" ht="15.75" customHeight="1">
      <c r="A809" s="18"/>
      <c r="B809" s="163"/>
      <c r="C809" s="164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8"/>
      <c r="V809" s="18"/>
      <c r="W809" s="18"/>
      <c r="X809" s="18"/>
      <c r="Y809" s="18"/>
      <c r="Z809" s="18"/>
      <c r="AA809" s="85"/>
      <c r="AB809" s="85"/>
      <c r="AC809" s="18"/>
      <c r="AD809" s="18"/>
      <c r="AE809" s="18"/>
      <c r="AF809" s="18"/>
    </row>
    <row r="810" ht="15.75" customHeight="1">
      <c r="A810" s="18"/>
      <c r="B810" s="163"/>
      <c r="C810" s="164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8"/>
      <c r="V810" s="18"/>
      <c r="W810" s="18"/>
      <c r="X810" s="18"/>
      <c r="Y810" s="18"/>
      <c r="Z810" s="18"/>
      <c r="AA810" s="85"/>
      <c r="AB810" s="85"/>
      <c r="AC810" s="18"/>
      <c r="AD810" s="18"/>
      <c r="AE810" s="18"/>
      <c r="AF810" s="18"/>
    </row>
    <row r="811" ht="15.75" customHeight="1">
      <c r="A811" s="18"/>
      <c r="B811" s="163"/>
      <c r="C811" s="164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8"/>
      <c r="V811" s="18"/>
      <c r="W811" s="18"/>
      <c r="X811" s="18"/>
      <c r="Y811" s="18"/>
      <c r="Z811" s="18"/>
      <c r="AA811" s="85"/>
      <c r="AB811" s="85"/>
      <c r="AC811" s="18"/>
      <c r="AD811" s="18"/>
      <c r="AE811" s="18"/>
      <c r="AF811" s="18"/>
    </row>
    <row r="812" ht="15.75" customHeight="1">
      <c r="A812" s="18"/>
      <c r="B812" s="163"/>
      <c r="C812" s="164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8"/>
      <c r="V812" s="18"/>
      <c r="W812" s="18"/>
      <c r="X812" s="18"/>
      <c r="Y812" s="18"/>
      <c r="Z812" s="18"/>
      <c r="AA812" s="85"/>
      <c r="AB812" s="85"/>
      <c r="AC812" s="18"/>
      <c r="AD812" s="18"/>
      <c r="AE812" s="18"/>
      <c r="AF812" s="18"/>
    </row>
    <row r="813" ht="15.75" customHeight="1">
      <c r="A813" s="18"/>
      <c r="B813" s="163"/>
      <c r="C813" s="164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8"/>
      <c r="V813" s="18"/>
      <c r="W813" s="18"/>
      <c r="X813" s="18"/>
      <c r="Y813" s="18"/>
      <c r="Z813" s="18"/>
      <c r="AA813" s="85"/>
      <c r="AB813" s="85"/>
      <c r="AC813" s="18"/>
      <c r="AD813" s="18"/>
      <c r="AE813" s="18"/>
      <c r="AF813" s="18"/>
    </row>
    <row r="814" ht="15.75" customHeight="1">
      <c r="A814" s="18"/>
      <c r="B814" s="163"/>
      <c r="C814" s="164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8"/>
      <c r="V814" s="18"/>
      <c r="W814" s="18"/>
      <c r="X814" s="18"/>
      <c r="Y814" s="18"/>
      <c r="Z814" s="18"/>
      <c r="AA814" s="85"/>
      <c r="AB814" s="85"/>
      <c r="AC814" s="18"/>
      <c r="AD814" s="18"/>
      <c r="AE814" s="18"/>
      <c r="AF814" s="18"/>
    </row>
    <row r="815" ht="15.75" customHeight="1">
      <c r="A815" s="18"/>
      <c r="B815" s="163"/>
      <c r="C815" s="164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8"/>
      <c r="V815" s="18"/>
      <c r="W815" s="18"/>
      <c r="X815" s="18"/>
      <c r="Y815" s="18"/>
      <c r="Z815" s="18"/>
      <c r="AA815" s="85"/>
      <c r="AB815" s="85"/>
      <c r="AC815" s="18"/>
      <c r="AD815" s="18"/>
      <c r="AE815" s="18"/>
      <c r="AF815" s="18"/>
    </row>
    <row r="816" ht="15.75" customHeight="1">
      <c r="A816" s="18"/>
      <c r="B816" s="163"/>
      <c r="C816" s="164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8"/>
      <c r="V816" s="18"/>
      <c r="W816" s="18"/>
      <c r="X816" s="18"/>
      <c r="Y816" s="18"/>
      <c r="Z816" s="18"/>
      <c r="AA816" s="85"/>
      <c r="AB816" s="85"/>
      <c r="AC816" s="18"/>
      <c r="AD816" s="18"/>
      <c r="AE816" s="18"/>
      <c r="AF816" s="18"/>
    </row>
    <row r="817" ht="15.75" customHeight="1">
      <c r="A817" s="18"/>
      <c r="B817" s="163"/>
      <c r="C817" s="164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8"/>
      <c r="V817" s="18"/>
      <c r="W817" s="18"/>
      <c r="X817" s="18"/>
      <c r="Y817" s="18"/>
      <c r="Z817" s="18"/>
      <c r="AA817" s="85"/>
      <c r="AB817" s="85"/>
      <c r="AC817" s="18"/>
      <c r="AD817" s="18"/>
      <c r="AE817" s="18"/>
      <c r="AF817" s="18"/>
    </row>
    <row r="818" ht="15.75" customHeight="1">
      <c r="A818" s="18"/>
      <c r="B818" s="163"/>
      <c r="C818" s="164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8"/>
      <c r="V818" s="18"/>
      <c r="W818" s="18"/>
      <c r="X818" s="18"/>
      <c r="Y818" s="18"/>
      <c r="Z818" s="18"/>
      <c r="AA818" s="85"/>
      <c r="AB818" s="85"/>
      <c r="AC818" s="18"/>
      <c r="AD818" s="18"/>
      <c r="AE818" s="18"/>
      <c r="AF818" s="18"/>
    </row>
    <row r="819" ht="15.75" customHeight="1">
      <c r="A819" s="18"/>
      <c r="B819" s="163"/>
      <c r="C819" s="164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8"/>
      <c r="V819" s="18"/>
      <c r="W819" s="18"/>
      <c r="X819" s="18"/>
      <c r="Y819" s="18"/>
      <c r="Z819" s="18"/>
      <c r="AA819" s="85"/>
      <c r="AB819" s="85"/>
      <c r="AC819" s="18"/>
      <c r="AD819" s="18"/>
      <c r="AE819" s="18"/>
      <c r="AF819" s="18"/>
    </row>
    <row r="820" ht="15.75" customHeight="1">
      <c r="A820" s="18"/>
      <c r="B820" s="163"/>
      <c r="C820" s="164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8"/>
      <c r="V820" s="18"/>
      <c r="W820" s="18"/>
      <c r="X820" s="18"/>
      <c r="Y820" s="18"/>
      <c r="Z820" s="18"/>
      <c r="AA820" s="85"/>
      <c r="AB820" s="85"/>
      <c r="AC820" s="18"/>
      <c r="AD820" s="18"/>
      <c r="AE820" s="18"/>
      <c r="AF820" s="18"/>
    </row>
    <row r="821" ht="15.75" customHeight="1">
      <c r="A821" s="18"/>
      <c r="B821" s="163"/>
      <c r="C821" s="164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8"/>
      <c r="V821" s="18"/>
      <c r="W821" s="18"/>
      <c r="X821" s="18"/>
      <c r="Y821" s="18"/>
      <c r="Z821" s="18"/>
      <c r="AA821" s="85"/>
      <c r="AB821" s="85"/>
      <c r="AC821" s="18"/>
      <c r="AD821" s="18"/>
      <c r="AE821" s="18"/>
      <c r="AF821" s="18"/>
    </row>
    <row r="822" ht="15.75" customHeight="1">
      <c r="A822" s="18"/>
      <c r="B822" s="163"/>
      <c r="C822" s="164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8"/>
      <c r="V822" s="18"/>
      <c r="W822" s="18"/>
      <c r="X822" s="18"/>
      <c r="Y822" s="18"/>
      <c r="Z822" s="18"/>
      <c r="AA822" s="85"/>
      <c r="AB822" s="85"/>
      <c r="AC822" s="18"/>
      <c r="AD822" s="18"/>
      <c r="AE822" s="18"/>
      <c r="AF822" s="18"/>
    </row>
    <row r="823" ht="15.75" customHeight="1">
      <c r="A823" s="18"/>
      <c r="B823" s="163"/>
      <c r="C823" s="164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8"/>
      <c r="V823" s="18"/>
      <c r="W823" s="18"/>
      <c r="X823" s="18"/>
      <c r="Y823" s="18"/>
      <c r="Z823" s="18"/>
      <c r="AA823" s="85"/>
      <c r="AB823" s="85"/>
      <c r="AC823" s="18"/>
      <c r="AD823" s="18"/>
      <c r="AE823" s="18"/>
      <c r="AF823" s="18"/>
    </row>
    <row r="824" ht="15.75" customHeight="1">
      <c r="A824" s="18"/>
      <c r="B824" s="163"/>
      <c r="C824" s="164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8"/>
      <c r="V824" s="18"/>
      <c r="W824" s="18"/>
      <c r="X824" s="18"/>
      <c r="Y824" s="18"/>
      <c r="Z824" s="18"/>
      <c r="AA824" s="85"/>
      <c r="AB824" s="85"/>
      <c r="AC824" s="18"/>
      <c r="AD824" s="18"/>
      <c r="AE824" s="18"/>
      <c r="AF824" s="18"/>
    </row>
    <row r="825" ht="15.75" customHeight="1">
      <c r="A825" s="18"/>
      <c r="B825" s="163"/>
      <c r="C825" s="164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8"/>
      <c r="V825" s="18"/>
      <c r="W825" s="18"/>
      <c r="X825" s="18"/>
      <c r="Y825" s="18"/>
      <c r="Z825" s="18"/>
      <c r="AA825" s="85"/>
      <c r="AB825" s="85"/>
      <c r="AC825" s="18"/>
      <c r="AD825" s="18"/>
      <c r="AE825" s="18"/>
      <c r="AF825" s="18"/>
    </row>
    <row r="826" ht="15.75" customHeight="1">
      <c r="A826" s="18"/>
      <c r="B826" s="163"/>
      <c r="C826" s="164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8"/>
      <c r="V826" s="18"/>
      <c r="W826" s="18"/>
      <c r="X826" s="18"/>
      <c r="Y826" s="18"/>
      <c r="Z826" s="18"/>
      <c r="AA826" s="85"/>
      <c r="AB826" s="85"/>
      <c r="AC826" s="18"/>
      <c r="AD826" s="18"/>
      <c r="AE826" s="18"/>
      <c r="AF826" s="18"/>
    </row>
    <row r="827" ht="15.75" customHeight="1">
      <c r="A827" s="18"/>
      <c r="B827" s="163"/>
      <c r="C827" s="164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8"/>
      <c r="V827" s="18"/>
      <c r="W827" s="18"/>
      <c r="X827" s="18"/>
      <c r="Y827" s="18"/>
      <c r="Z827" s="18"/>
      <c r="AA827" s="85"/>
      <c r="AB827" s="85"/>
      <c r="AC827" s="18"/>
      <c r="AD827" s="18"/>
      <c r="AE827" s="18"/>
      <c r="AF827" s="18"/>
    </row>
    <row r="828" ht="15.75" customHeight="1">
      <c r="A828" s="18"/>
      <c r="B828" s="163"/>
      <c r="C828" s="164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8"/>
      <c r="V828" s="18"/>
      <c r="W828" s="18"/>
      <c r="X828" s="18"/>
      <c r="Y828" s="18"/>
      <c r="Z828" s="18"/>
      <c r="AA828" s="85"/>
      <c r="AB828" s="85"/>
      <c r="AC828" s="18"/>
      <c r="AD828" s="18"/>
      <c r="AE828" s="18"/>
      <c r="AF828" s="18"/>
    </row>
    <row r="829" ht="15.75" customHeight="1">
      <c r="A829" s="18"/>
      <c r="B829" s="163"/>
      <c r="C829" s="164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8"/>
      <c r="V829" s="18"/>
      <c r="W829" s="18"/>
      <c r="X829" s="18"/>
      <c r="Y829" s="18"/>
      <c r="Z829" s="18"/>
      <c r="AA829" s="85"/>
      <c r="AB829" s="85"/>
      <c r="AC829" s="18"/>
      <c r="AD829" s="18"/>
      <c r="AE829" s="18"/>
      <c r="AF829" s="18"/>
    </row>
    <row r="830" ht="15.75" customHeight="1">
      <c r="A830" s="18"/>
      <c r="B830" s="163"/>
      <c r="C830" s="164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8"/>
      <c r="V830" s="18"/>
      <c r="W830" s="18"/>
      <c r="X830" s="18"/>
      <c r="Y830" s="18"/>
      <c r="Z830" s="18"/>
      <c r="AA830" s="85"/>
      <c r="AB830" s="85"/>
      <c r="AC830" s="18"/>
      <c r="AD830" s="18"/>
      <c r="AE830" s="18"/>
      <c r="AF830" s="18"/>
    </row>
    <row r="831" ht="15.75" customHeight="1">
      <c r="A831" s="18"/>
      <c r="B831" s="163"/>
      <c r="C831" s="164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8"/>
      <c r="V831" s="18"/>
      <c r="W831" s="18"/>
      <c r="X831" s="18"/>
      <c r="Y831" s="18"/>
      <c r="Z831" s="18"/>
      <c r="AA831" s="85"/>
      <c r="AB831" s="85"/>
      <c r="AC831" s="18"/>
      <c r="AD831" s="18"/>
      <c r="AE831" s="18"/>
      <c r="AF831" s="18"/>
    </row>
    <row r="832" ht="15.75" customHeight="1">
      <c r="A832" s="18"/>
      <c r="B832" s="163"/>
      <c r="C832" s="164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8"/>
      <c r="V832" s="18"/>
      <c r="W832" s="18"/>
      <c r="X832" s="18"/>
      <c r="Y832" s="18"/>
      <c r="Z832" s="18"/>
      <c r="AA832" s="85"/>
      <c r="AB832" s="85"/>
      <c r="AC832" s="18"/>
      <c r="AD832" s="18"/>
      <c r="AE832" s="18"/>
      <c r="AF832" s="18"/>
    </row>
    <row r="833" ht="15.75" customHeight="1">
      <c r="A833" s="18"/>
      <c r="B833" s="163"/>
      <c r="C833" s="164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8"/>
      <c r="V833" s="18"/>
      <c r="W833" s="18"/>
      <c r="X833" s="18"/>
      <c r="Y833" s="18"/>
      <c r="Z833" s="18"/>
      <c r="AA833" s="85"/>
      <c r="AB833" s="85"/>
      <c r="AC833" s="18"/>
      <c r="AD833" s="18"/>
      <c r="AE833" s="18"/>
      <c r="AF833" s="18"/>
    </row>
    <row r="834" ht="15.75" customHeight="1">
      <c r="A834" s="18"/>
      <c r="B834" s="163"/>
      <c r="C834" s="164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8"/>
      <c r="V834" s="18"/>
      <c r="W834" s="18"/>
      <c r="X834" s="18"/>
      <c r="Y834" s="18"/>
      <c r="Z834" s="18"/>
      <c r="AA834" s="85"/>
      <c r="AB834" s="85"/>
      <c r="AC834" s="18"/>
      <c r="AD834" s="18"/>
      <c r="AE834" s="18"/>
      <c r="AF834" s="18"/>
    </row>
    <row r="835" ht="15.75" customHeight="1">
      <c r="A835" s="18"/>
      <c r="B835" s="163"/>
      <c r="C835" s="164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8"/>
      <c r="V835" s="18"/>
      <c r="W835" s="18"/>
      <c r="X835" s="18"/>
      <c r="Y835" s="18"/>
      <c r="Z835" s="18"/>
      <c r="AA835" s="85"/>
      <c r="AB835" s="85"/>
      <c r="AC835" s="18"/>
      <c r="AD835" s="18"/>
      <c r="AE835" s="18"/>
      <c r="AF835" s="18"/>
    </row>
    <row r="836" ht="15.75" customHeight="1">
      <c r="A836" s="18"/>
      <c r="B836" s="163"/>
      <c r="C836" s="164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8"/>
      <c r="V836" s="18"/>
      <c r="W836" s="18"/>
      <c r="X836" s="18"/>
      <c r="Y836" s="18"/>
      <c r="Z836" s="18"/>
      <c r="AA836" s="85"/>
      <c r="AB836" s="85"/>
      <c r="AC836" s="18"/>
      <c r="AD836" s="18"/>
      <c r="AE836" s="18"/>
      <c r="AF836" s="18"/>
    </row>
    <row r="837" ht="15.75" customHeight="1">
      <c r="A837" s="18"/>
      <c r="B837" s="163"/>
      <c r="C837" s="164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8"/>
      <c r="V837" s="18"/>
      <c r="W837" s="18"/>
      <c r="X837" s="18"/>
      <c r="Y837" s="18"/>
      <c r="Z837" s="18"/>
      <c r="AA837" s="85"/>
      <c r="AB837" s="85"/>
      <c r="AC837" s="18"/>
      <c r="AD837" s="18"/>
      <c r="AE837" s="18"/>
      <c r="AF837" s="18"/>
    </row>
    <row r="838" ht="15.75" customHeight="1">
      <c r="A838" s="18"/>
      <c r="B838" s="163"/>
      <c r="C838" s="164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8"/>
      <c r="V838" s="18"/>
      <c r="W838" s="18"/>
      <c r="X838" s="18"/>
      <c r="Y838" s="18"/>
      <c r="Z838" s="18"/>
      <c r="AA838" s="85"/>
      <c r="AB838" s="85"/>
      <c r="AC838" s="18"/>
      <c r="AD838" s="18"/>
      <c r="AE838" s="18"/>
      <c r="AF838" s="18"/>
    </row>
    <row r="839" ht="15.75" customHeight="1">
      <c r="A839" s="18"/>
      <c r="B839" s="163"/>
      <c r="C839" s="164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8"/>
      <c r="V839" s="18"/>
      <c r="W839" s="18"/>
      <c r="X839" s="18"/>
      <c r="Y839" s="18"/>
      <c r="Z839" s="18"/>
      <c r="AA839" s="85"/>
      <c r="AB839" s="85"/>
      <c r="AC839" s="18"/>
      <c r="AD839" s="18"/>
      <c r="AE839" s="18"/>
      <c r="AF839" s="18"/>
    </row>
    <row r="840" ht="15.75" customHeight="1">
      <c r="A840" s="18"/>
      <c r="B840" s="163"/>
      <c r="C840" s="164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8"/>
      <c r="V840" s="18"/>
      <c r="W840" s="18"/>
      <c r="X840" s="18"/>
      <c r="Y840" s="18"/>
      <c r="Z840" s="18"/>
      <c r="AA840" s="85"/>
      <c r="AB840" s="85"/>
      <c r="AC840" s="18"/>
      <c r="AD840" s="18"/>
      <c r="AE840" s="18"/>
      <c r="AF840" s="18"/>
    </row>
    <row r="841" ht="15.75" customHeight="1">
      <c r="A841" s="18"/>
      <c r="B841" s="163"/>
      <c r="C841" s="164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8"/>
      <c r="V841" s="18"/>
      <c r="W841" s="18"/>
      <c r="X841" s="18"/>
      <c r="Y841" s="18"/>
      <c r="Z841" s="18"/>
      <c r="AA841" s="85"/>
      <c r="AB841" s="85"/>
      <c r="AC841" s="18"/>
      <c r="AD841" s="18"/>
      <c r="AE841" s="18"/>
      <c r="AF841" s="18"/>
    </row>
    <row r="842" ht="15.75" customHeight="1">
      <c r="A842" s="18"/>
      <c r="B842" s="163"/>
      <c r="C842" s="164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8"/>
      <c r="V842" s="18"/>
      <c r="W842" s="18"/>
      <c r="X842" s="18"/>
      <c r="Y842" s="18"/>
      <c r="Z842" s="18"/>
      <c r="AA842" s="85"/>
      <c r="AB842" s="85"/>
      <c r="AC842" s="18"/>
      <c r="AD842" s="18"/>
      <c r="AE842" s="18"/>
      <c r="AF842" s="18"/>
    </row>
    <row r="843" ht="15.75" customHeight="1">
      <c r="A843" s="18"/>
      <c r="B843" s="163"/>
      <c r="C843" s="164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8"/>
      <c r="V843" s="18"/>
      <c r="W843" s="18"/>
      <c r="X843" s="18"/>
      <c r="Y843" s="18"/>
      <c r="Z843" s="18"/>
      <c r="AA843" s="85"/>
      <c r="AB843" s="85"/>
      <c r="AC843" s="18"/>
      <c r="AD843" s="18"/>
      <c r="AE843" s="18"/>
      <c r="AF843" s="18"/>
    </row>
    <row r="844" ht="15.75" customHeight="1">
      <c r="A844" s="18"/>
      <c r="B844" s="163"/>
      <c r="C844" s="164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8"/>
      <c r="V844" s="18"/>
      <c r="W844" s="18"/>
      <c r="X844" s="18"/>
      <c r="Y844" s="18"/>
      <c r="Z844" s="18"/>
      <c r="AA844" s="85"/>
      <c r="AB844" s="85"/>
      <c r="AC844" s="18"/>
      <c r="AD844" s="18"/>
      <c r="AE844" s="18"/>
      <c r="AF844" s="18"/>
    </row>
    <row r="845" ht="15.75" customHeight="1">
      <c r="A845" s="18"/>
      <c r="B845" s="163"/>
      <c r="C845" s="164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8"/>
      <c r="V845" s="18"/>
      <c r="W845" s="18"/>
      <c r="X845" s="18"/>
      <c r="Y845" s="18"/>
      <c r="Z845" s="18"/>
      <c r="AA845" s="85"/>
      <c r="AB845" s="85"/>
      <c r="AC845" s="18"/>
      <c r="AD845" s="18"/>
      <c r="AE845" s="18"/>
      <c r="AF845" s="18"/>
    </row>
    <row r="846" ht="15.75" customHeight="1">
      <c r="A846" s="18"/>
      <c r="B846" s="163"/>
      <c r="C846" s="164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8"/>
      <c r="V846" s="18"/>
      <c r="W846" s="18"/>
      <c r="X846" s="18"/>
      <c r="Y846" s="18"/>
      <c r="Z846" s="18"/>
      <c r="AA846" s="85"/>
      <c r="AB846" s="85"/>
      <c r="AC846" s="18"/>
      <c r="AD846" s="18"/>
      <c r="AE846" s="18"/>
      <c r="AF846" s="18"/>
    </row>
    <row r="847" ht="15.75" customHeight="1">
      <c r="A847" s="18"/>
      <c r="B847" s="163"/>
      <c r="C847" s="164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8"/>
      <c r="V847" s="18"/>
      <c r="W847" s="18"/>
      <c r="X847" s="18"/>
      <c r="Y847" s="18"/>
      <c r="Z847" s="18"/>
      <c r="AA847" s="85"/>
      <c r="AB847" s="85"/>
      <c r="AC847" s="18"/>
      <c r="AD847" s="18"/>
      <c r="AE847" s="18"/>
      <c r="AF847" s="18"/>
    </row>
    <row r="848" ht="15.75" customHeight="1">
      <c r="A848" s="18"/>
      <c r="B848" s="163"/>
      <c r="C848" s="164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8"/>
      <c r="V848" s="18"/>
      <c r="W848" s="18"/>
      <c r="X848" s="18"/>
      <c r="Y848" s="18"/>
      <c r="Z848" s="18"/>
      <c r="AA848" s="85"/>
      <c r="AB848" s="85"/>
      <c r="AC848" s="18"/>
      <c r="AD848" s="18"/>
      <c r="AE848" s="18"/>
      <c r="AF848" s="18"/>
    </row>
    <row r="849" ht="15.75" customHeight="1">
      <c r="A849" s="18"/>
      <c r="B849" s="163"/>
      <c r="C849" s="164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8"/>
      <c r="V849" s="18"/>
      <c r="W849" s="18"/>
      <c r="X849" s="18"/>
      <c r="Y849" s="18"/>
      <c r="Z849" s="18"/>
      <c r="AA849" s="85"/>
      <c r="AB849" s="85"/>
      <c r="AC849" s="18"/>
      <c r="AD849" s="18"/>
      <c r="AE849" s="18"/>
      <c r="AF849" s="18"/>
    </row>
    <row r="850" ht="15.75" customHeight="1">
      <c r="A850" s="18"/>
      <c r="B850" s="163"/>
      <c r="C850" s="164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8"/>
      <c r="V850" s="18"/>
      <c r="W850" s="18"/>
      <c r="X850" s="18"/>
      <c r="Y850" s="18"/>
      <c r="Z850" s="18"/>
      <c r="AA850" s="85"/>
      <c r="AB850" s="85"/>
      <c r="AC850" s="18"/>
      <c r="AD850" s="18"/>
      <c r="AE850" s="18"/>
      <c r="AF850" s="18"/>
    </row>
    <row r="851" ht="15.75" customHeight="1">
      <c r="A851" s="18"/>
      <c r="B851" s="163"/>
      <c r="C851" s="164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8"/>
      <c r="V851" s="18"/>
      <c r="W851" s="18"/>
      <c r="X851" s="18"/>
      <c r="Y851" s="18"/>
      <c r="Z851" s="18"/>
      <c r="AA851" s="85"/>
      <c r="AB851" s="85"/>
      <c r="AC851" s="18"/>
      <c r="AD851" s="18"/>
      <c r="AE851" s="18"/>
      <c r="AF851" s="18"/>
    </row>
    <row r="852" ht="15.75" customHeight="1">
      <c r="A852" s="18"/>
      <c r="B852" s="163"/>
      <c r="C852" s="164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8"/>
      <c r="V852" s="18"/>
      <c r="W852" s="18"/>
      <c r="X852" s="18"/>
      <c r="Y852" s="18"/>
      <c r="Z852" s="18"/>
      <c r="AA852" s="85"/>
      <c r="AB852" s="85"/>
      <c r="AC852" s="18"/>
      <c r="AD852" s="18"/>
      <c r="AE852" s="18"/>
      <c r="AF852" s="18"/>
    </row>
    <row r="853" ht="15.75" customHeight="1">
      <c r="A853" s="18"/>
      <c r="B853" s="163"/>
      <c r="C853" s="164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8"/>
      <c r="V853" s="18"/>
      <c r="W853" s="18"/>
      <c r="X853" s="18"/>
      <c r="Y853" s="18"/>
      <c r="Z853" s="18"/>
      <c r="AA853" s="85"/>
      <c r="AB853" s="85"/>
      <c r="AC853" s="18"/>
      <c r="AD853" s="18"/>
      <c r="AE853" s="18"/>
      <c r="AF853" s="18"/>
    </row>
    <row r="854" ht="15.75" customHeight="1">
      <c r="A854" s="18"/>
      <c r="B854" s="163"/>
      <c r="C854" s="164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8"/>
      <c r="V854" s="18"/>
      <c r="W854" s="18"/>
      <c r="X854" s="18"/>
      <c r="Y854" s="18"/>
      <c r="Z854" s="18"/>
      <c r="AA854" s="85"/>
      <c r="AB854" s="85"/>
      <c r="AC854" s="18"/>
      <c r="AD854" s="18"/>
      <c r="AE854" s="18"/>
      <c r="AF854" s="18"/>
    </row>
    <row r="855" ht="15.75" customHeight="1">
      <c r="A855" s="18"/>
      <c r="B855" s="163"/>
      <c r="C855" s="164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8"/>
      <c r="V855" s="18"/>
      <c r="W855" s="18"/>
      <c r="X855" s="18"/>
      <c r="Y855" s="18"/>
      <c r="Z855" s="18"/>
      <c r="AA855" s="85"/>
      <c r="AB855" s="85"/>
      <c r="AC855" s="18"/>
      <c r="AD855" s="18"/>
      <c r="AE855" s="18"/>
      <c r="AF855" s="18"/>
    </row>
    <row r="856" ht="15.75" customHeight="1">
      <c r="A856" s="18"/>
      <c r="B856" s="163"/>
      <c r="C856" s="164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8"/>
      <c r="V856" s="18"/>
      <c r="W856" s="18"/>
      <c r="X856" s="18"/>
      <c r="Y856" s="18"/>
      <c r="Z856" s="18"/>
      <c r="AA856" s="85"/>
      <c r="AB856" s="85"/>
      <c r="AC856" s="18"/>
      <c r="AD856" s="18"/>
      <c r="AE856" s="18"/>
      <c r="AF856" s="18"/>
    </row>
    <row r="857" ht="15.75" customHeight="1">
      <c r="A857" s="18"/>
      <c r="B857" s="163"/>
      <c r="C857" s="164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8"/>
      <c r="V857" s="18"/>
      <c r="W857" s="18"/>
      <c r="X857" s="18"/>
      <c r="Y857" s="18"/>
      <c r="Z857" s="18"/>
      <c r="AA857" s="85"/>
      <c r="AB857" s="85"/>
      <c r="AC857" s="18"/>
      <c r="AD857" s="18"/>
      <c r="AE857" s="18"/>
      <c r="AF857" s="18"/>
    </row>
    <row r="858" ht="15.75" customHeight="1">
      <c r="A858" s="18"/>
      <c r="B858" s="163"/>
      <c r="C858" s="164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8"/>
      <c r="V858" s="18"/>
      <c r="W858" s="18"/>
      <c r="X858" s="18"/>
      <c r="Y858" s="18"/>
      <c r="Z858" s="18"/>
      <c r="AA858" s="85"/>
      <c r="AB858" s="85"/>
      <c r="AC858" s="18"/>
      <c r="AD858" s="18"/>
      <c r="AE858" s="18"/>
      <c r="AF858" s="18"/>
    </row>
    <row r="859" ht="15.75" customHeight="1">
      <c r="A859" s="18"/>
      <c r="B859" s="163"/>
      <c r="C859" s="164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8"/>
      <c r="V859" s="18"/>
      <c r="W859" s="18"/>
      <c r="X859" s="18"/>
      <c r="Y859" s="18"/>
      <c r="Z859" s="18"/>
      <c r="AA859" s="85"/>
      <c r="AB859" s="85"/>
      <c r="AC859" s="18"/>
      <c r="AD859" s="18"/>
      <c r="AE859" s="18"/>
      <c r="AF859" s="18"/>
    </row>
    <row r="860" ht="15.75" customHeight="1">
      <c r="A860" s="18"/>
      <c r="B860" s="163"/>
      <c r="C860" s="164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8"/>
      <c r="V860" s="18"/>
      <c r="W860" s="18"/>
      <c r="X860" s="18"/>
      <c r="Y860" s="18"/>
      <c r="Z860" s="18"/>
      <c r="AA860" s="85"/>
      <c r="AB860" s="85"/>
      <c r="AC860" s="18"/>
      <c r="AD860" s="18"/>
      <c r="AE860" s="18"/>
      <c r="AF860" s="18"/>
    </row>
    <row r="861" ht="15.75" customHeight="1">
      <c r="A861" s="18"/>
      <c r="B861" s="163"/>
      <c r="C861" s="164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8"/>
      <c r="V861" s="18"/>
      <c r="W861" s="18"/>
      <c r="X861" s="18"/>
      <c r="Y861" s="18"/>
      <c r="Z861" s="18"/>
      <c r="AA861" s="85"/>
      <c r="AB861" s="85"/>
      <c r="AC861" s="18"/>
      <c r="AD861" s="18"/>
      <c r="AE861" s="18"/>
      <c r="AF861" s="18"/>
    </row>
    <row r="862" ht="15.75" customHeight="1">
      <c r="A862" s="18"/>
      <c r="B862" s="163"/>
      <c r="C862" s="164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8"/>
      <c r="V862" s="18"/>
      <c r="W862" s="18"/>
      <c r="X862" s="18"/>
      <c r="Y862" s="18"/>
      <c r="Z862" s="18"/>
      <c r="AA862" s="85"/>
      <c r="AB862" s="85"/>
      <c r="AC862" s="18"/>
      <c r="AD862" s="18"/>
      <c r="AE862" s="18"/>
      <c r="AF862" s="18"/>
    </row>
    <row r="863" ht="15.75" customHeight="1">
      <c r="A863" s="18"/>
      <c r="B863" s="163"/>
      <c r="C863" s="164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8"/>
      <c r="V863" s="18"/>
      <c r="W863" s="18"/>
      <c r="X863" s="18"/>
      <c r="Y863" s="18"/>
      <c r="Z863" s="18"/>
      <c r="AA863" s="85"/>
      <c r="AB863" s="85"/>
      <c r="AC863" s="18"/>
      <c r="AD863" s="18"/>
      <c r="AE863" s="18"/>
      <c r="AF863" s="18"/>
    </row>
    <row r="864" ht="15.75" customHeight="1">
      <c r="A864" s="18"/>
      <c r="B864" s="163"/>
      <c r="C864" s="164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8"/>
      <c r="V864" s="18"/>
      <c r="W864" s="18"/>
      <c r="X864" s="18"/>
      <c r="Y864" s="18"/>
      <c r="Z864" s="18"/>
      <c r="AA864" s="85"/>
      <c r="AB864" s="85"/>
      <c r="AC864" s="18"/>
      <c r="AD864" s="18"/>
      <c r="AE864" s="18"/>
      <c r="AF864" s="18"/>
    </row>
    <row r="865" ht="15.75" customHeight="1">
      <c r="A865" s="18"/>
      <c r="B865" s="163"/>
      <c r="C865" s="164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8"/>
      <c r="V865" s="18"/>
      <c r="W865" s="18"/>
      <c r="X865" s="18"/>
      <c r="Y865" s="18"/>
      <c r="Z865" s="18"/>
      <c r="AA865" s="85"/>
      <c r="AB865" s="85"/>
      <c r="AC865" s="18"/>
      <c r="AD865" s="18"/>
      <c r="AE865" s="18"/>
      <c r="AF865" s="18"/>
    </row>
    <row r="866" ht="15.75" customHeight="1">
      <c r="A866" s="18"/>
      <c r="B866" s="163"/>
      <c r="C866" s="164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8"/>
      <c r="V866" s="18"/>
      <c r="W866" s="18"/>
      <c r="X866" s="18"/>
      <c r="Y866" s="18"/>
      <c r="Z866" s="18"/>
      <c r="AA866" s="85"/>
      <c r="AB866" s="85"/>
      <c r="AC866" s="18"/>
      <c r="AD866" s="18"/>
      <c r="AE866" s="18"/>
      <c r="AF866" s="18"/>
    </row>
    <row r="867" ht="15.75" customHeight="1">
      <c r="A867" s="18"/>
      <c r="B867" s="163"/>
      <c r="C867" s="164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8"/>
      <c r="V867" s="18"/>
      <c r="W867" s="18"/>
      <c r="X867" s="18"/>
      <c r="Y867" s="18"/>
      <c r="Z867" s="18"/>
      <c r="AA867" s="85"/>
      <c r="AB867" s="85"/>
      <c r="AC867" s="18"/>
      <c r="AD867" s="18"/>
      <c r="AE867" s="18"/>
      <c r="AF867" s="18"/>
    </row>
    <row r="868" ht="15.75" customHeight="1">
      <c r="A868" s="18"/>
      <c r="B868" s="163"/>
      <c r="C868" s="164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8"/>
      <c r="V868" s="18"/>
      <c r="W868" s="18"/>
      <c r="X868" s="18"/>
      <c r="Y868" s="18"/>
      <c r="Z868" s="18"/>
      <c r="AA868" s="85"/>
      <c r="AB868" s="85"/>
      <c r="AC868" s="18"/>
      <c r="AD868" s="18"/>
      <c r="AE868" s="18"/>
      <c r="AF868" s="18"/>
    </row>
    <row r="869" ht="15.75" customHeight="1">
      <c r="A869" s="18"/>
      <c r="B869" s="163"/>
      <c r="C869" s="164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8"/>
      <c r="V869" s="18"/>
      <c r="W869" s="18"/>
      <c r="X869" s="18"/>
      <c r="Y869" s="18"/>
      <c r="Z869" s="18"/>
      <c r="AA869" s="85"/>
      <c r="AB869" s="85"/>
      <c r="AC869" s="18"/>
      <c r="AD869" s="18"/>
      <c r="AE869" s="18"/>
      <c r="AF869" s="18"/>
    </row>
    <row r="870" ht="15.75" customHeight="1">
      <c r="A870" s="18"/>
      <c r="B870" s="163"/>
      <c r="C870" s="164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8"/>
      <c r="V870" s="18"/>
      <c r="W870" s="18"/>
      <c r="X870" s="18"/>
      <c r="Y870" s="18"/>
      <c r="Z870" s="18"/>
      <c r="AA870" s="85"/>
      <c r="AB870" s="85"/>
      <c r="AC870" s="18"/>
      <c r="AD870" s="18"/>
      <c r="AE870" s="18"/>
      <c r="AF870" s="18"/>
    </row>
    <row r="871" ht="15.75" customHeight="1">
      <c r="A871" s="18"/>
      <c r="B871" s="163"/>
      <c r="C871" s="164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8"/>
      <c r="V871" s="18"/>
      <c r="W871" s="18"/>
      <c r="X871" s="18"/>
      <c r="Y871" s="18"/>
      <c r="Z871" s="18"/>
      <c r="AA871" s="85"/>
      <c r="AB871" s="85"/>
      <c r="AC871" s="18"/>
      <c r="AD871" s="18"/>
      <c r="AE871" s="18"/>
      <c r="AF871" s="18"/>
    </row>
    <row r="872" ht="15.75" customHeight="1">
      <c r="A872" s="18"/>
      <c r="B872" s="163"/>
      <c r="C872" s="164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8"/>
      <c r="V872" s="18"/>
      <c r="W872" s="18"/>
      <c r="X872" s="18"/>
      <c r="Y872" s="18"/>
      <c r="Z872" s="18"/>
      <c r="AA872" s="85"/>
      <c r="AB872" s="85"/>
      <c r="AC872" s="18"/>
      <c r="AD872" s="18"/>
      <c r="AE872" s="18"/>
      <c r="AF872" s="18"/>
    </row>
    <row r="873" ht="15.75" customHeight="1">
      <c r="A873" s="18"/>
      <c r="B873" s="163"/>
      <c r="C873" s="164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8"/>
      <c r="V873" s="18"/>
      <c r="W873" s="18"/>
      <c r="X873" s="18"/>
      <c r="Y873" s="18"/>
      <c r="Z873" s="18"/>
      <c r="AA873" s="85"/>
      <c r="AB873" s="85"/>
      <c r="AC873" s="18"/>
      <c r="AD873" s="18"/>
      <c r="AE873" s="18"/>
      <c r="AF873" s="18"/>
    </row>
    <row r="874" ht="15.75" customHeight="1">
      <c r="A874" s="18"/>
      <c r="B874" s="163"/>
      <c r="C874" s="164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8"/>
      <c r="V874" s="18"/>
      <c r="W874" s="18"/>
      <c r="X874" s="18"/>
      <c r="Y874" s="18"/>
      <c r="Z874" s="18"/>
      <c r="AA874" s="85"/>
      <c r="AB874" s="85"/>
      <c r="AC874" s="18"/>
      <c r="AD874" s="18"/>
      <c r="AE874" s="18"/>
      <c r="AF874" s="18"/>
    </row>
    <row r="875" ht="15.75" customHeight="1">
      <c r="A875" s="18"/>
      <c r="B875" s="163"/>
      <c r="C875" s="164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8"/>
      <c r="V875" s="18"/>
      <c r="W875" s="18"/>
      <c r="X875" s="18"/>
      <c r="Y875" s="18"/>
      <c r="Z875" s="18"/>
      <c r="AA875" s="85"/>
      <c r="AB875" s="85"/>
      <c r="AC875" s="18"/>
      <c r="AD875" s="18"/>
      <c r="AE875" s="18"/>
      <c r="AF875" s="18"/>
    </row>
    <row r="876" ht="15.75" customHeight="1">
      <c r="A876" s="18"/>
      <c r="B876" s="163"/>
      <c r="C876" s="164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8"/>
      <c r="V876" s="18"/>
      <c r="W876" s="18"/>
      <c r="X876" s="18"/>
      <c r="Y876" s="18"/>
      <c r="Z876" s="18"/>
      <c r="AA876" s="85"/>
      <c r="AB876" s="85"/>
      <c r="AC876" s="18"/>
      <c r="AD876" s="18"/>
      <c r="AE876" s="18"/>
      <c r="AF876" s="18"/>
    </row>
    <row r="877" ht="15.75" customHeight="1">
      <c r="A877" s="18"/>
      <c r="B877" s="163"/>
      <c r="C877" s="164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8"/>
      <c r="V877" s="18"/>
      <c r="W877" s="18"/>
      <c r="X877" s="18"/>
      <c r="Y877" s="18"/>
      <c r="Z877" s="18"/>
      <c r="AA877" s="85"/>
      <c r="AB877" s="85"/>
      <c r="AC877" s="18"/>
      <c r="AD877" s="18"/>
      <c r="AE877" s="18"/>
      <c r="AF877" s="18"/>
    </row>
    <row r="878" ht="15.75" customHeight="1">
      <c r="A878" s="18"/>
      <c r="B878" s="163"/>
      <c r="C878" s="164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8"/>
      <c r="V878" s="18"/>
      <c r="W878" s="18"/>
      <c r="X878" s="18"/>
      <c r="Y878" s="18"/>
      <c r="Z878" s="18"/>
      <c r="AA878" s="85"/>
      <c r="AB878" s="85"/>
      <c r="AC878" s="18"/>
      <c r="AD878" s="18"/>
      <c r="AE878" s="18"/>
      <c r="AF878" s="18"/>
    </row>
    <row r="879" ht="15.75" customHeight="1">
      <c r="A879" s="18"/>
      <c r="B879" s="163"/>
      <c r="C879" s="164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8"/>
      <c r="V879" s="18"/>
      <c r="W879" s="18"/>
      <c r="X879" s="18"/>
      <c r="Y879" s="18"/>
      <c r="Z879" s="18"/>
      <c r="AA879" s="85"/>
      <c r="AB879" s="85"/>
      <c r="AC879" s="18"/>
      <c r="AD879" s="18"/>
      <c r="AE879" s="18"/>
      <c r="AF879" s="18"/>
    </row>
    <row r="880" ht="15.75" customHeight="1">
      <c r="A880" s="18"/>
      <c r="B880" s="163"/>
      <c r="C880" s="164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8"/>
      <c r="V880" s="18"/>
      <c r="W880" s="18"/>
      <c r="X880" s="18"/>
      <c r="Y880" s="18"/>
      <c r="Z880" s="18"/>
      <c r="AA880" s="85"/>
      <c r="AB880" s="85"/>
      <c r="AC880" s="18"/>
      <c r="AD880" s="18"/>
      <c r="AE880" s="18"/>
      <c r="AF880" s="18"/>
    </row>
    <row r="881" ht="15.75" customHeight="1">
      <c r="A881" s="18"/>
      <c r="B881" s="163"/>
      <c r="C881" s="164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8"/>
      <c r="V881" s="18"/>
      <c r="W881" s="18"/>
      <c r="X881" s="18"/>
      <c r="Y881" s="18"/>
      <c r="Z881" s="18"/>
      <c r="AA881" s="85"/>
      <c r="AB881" s="85"/>
      <c r="AC881" s="18"/>
      <c r="AD881" s="18"/>
      <c r="AE881" s="18"/>
      <c r="AF881" s="18"/>
    </row>
    <row r="882" ht="15.75" customHeight="1">
      <c r="A882" s="18"/>
      <c r="B882" s="163"/>
      <c r="C882" s="164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8"/>
      <c r="V882" s="18"/>
      <c r="W882" s="18"/>
      <c r="X882" s="18"/>
      <c r="Y882" s="18"/>
      <c r="Z882" s="18"/>
      <c r="AA882" s="85"/>
      <c r="AB882" s="85"/>
      <c r="AC882" s="18"/>
      <c r="AD882" s="18"/>
      <c r="AE882" s="18"/>
      <c r="AF882" s="18"/>
    </row>
    <row r="883" ht="15.75" customHeight="1">
      <c r="A883" s="18"/>
      <c r="B883" s="163"/>
      <c r="C883" s="164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8"/>
      <c r="V883" s="18"/>
      <c r="W883" s="18"/>
      <c r="X883" s="18"/>
      <c r="Y883" s="18"/>
      <c r="Z883" s="18"/>
      <c r="AA883" s="85"/>
      <c r="AB883" s="85"/>
      <c r="AC883" s="18"/>
      <c r="AD883" s="18"/>
      <c r="AE883" s="18"/>
      <c r="AF883" s="18"/>
    </row>
    <row r="884" ht="15.75" customHeight="1">
      <c r="A884" s="18"/>
      <c r="B884" s="163"/>
      <c r="C884" s="164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8"/>
      <c r="V884" s="18"/>
      <c r="W884" s="18"/>
      <c r="X884" s="18"/>
      <c r="Y884" s="18"/>
      <c r="Z884" s="18"/>
      <c r="AA884" s="85"/>
      <c r="AB884" s="85"/>
      <c r="AC884" s="18"/>
      <c r="AD884" s="18"/>
      <c r="AE884" s="18"/>
      <c r="AF884" s="18"/>
    </row>
    <row r="885" ht="15.75" customHeight="1">
      <c r="A885" s="18"/>
      <c r="B885" s="163"/>
      <c r="C885" s="164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8"/>
      <c r="V885" s="18"/>
      <c r="W885" s="18"/>
      <c r="X885" s="18"/>
      <c r="Y885" s="18"/>
      <c r="Z885" s="18"/>
      <c r="AA885" s="85"/>
      <c r="AB885" s="85"/>
      <c r="AC885" s="18"/>
      <c r="AD885" s="18"/>
      <c r="AE885" s="18"/>
      <c r="AF885" s="18"/>
    </row>
    <row r="886" ht="15.75" customHeight="1">
      <c r="A886" s="18"/>
      <c r="B886" s="163"/>
      <c r="C886" s="164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8"/>
      <c r="V886" s="18"/>
      <c r="W886" s="18"/>
      <c r="X886" s="18"/>
      <c r="Y886" s="18"/>
      <c r="Z886" s="18"/>
      <c r="AA886" s="85"/>
      <c r="AB886" s="85"/>
      <c r="AC886" s="18"/>
      <c r="AD886" s="18"/>
      <c r="AE886" s="18"/>
      <c r="AF886" s="18"/>
    </row>
    <row r="887" ht="15.75" customHeight="1">
      <c r="A887" s="18"/>
      <c r="B887" s="163"/>
      <c r="C887" s="164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8"/>
      <c r="V887" s="18"/>
      <c r="W887" s="18"/>
      <c r="X887" s="18"/>
      <c r="Y887" s="18"/>
      <c r="Z887" s="18"/>
      <c r="AA887" s="85"/>
      <c r="AB887" s="85"/>
      <c r="AC887" s="18"/>
      <c r="AD887" s="18"/>
      <c r="AE887" s="18"/>
      <c r="AF887" s="18"/>
    </row>
    <row r="888" ht="15.75" customHeight="1">
      <c r="A888" s="18"/>
      <c r="B888" s="163"/>
      <c r="C888" s="164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8"/>
      <c r="V888" s="18"/>
      <c r="W888" s="18"/>
      <c r="X888" s="18"/>
      <c r="Y888" s="18"/>
      <c r="Z888" s="18"/>
      <c r="AA888" s="85"/>
      <c r="AB888" s="85"/>
      <c r="AC888" s="18"/>
      <c r="AD888" s="18"/>
      <c r="AE888" s="18"/>
      <c r="AF888" s="18"/>
    </row>
    <row r="889" ht="15.75" customHeight="1">
      <c r="A889" s="18"/>
      <c r="B889" s="163"/>
      <c r="C889" s="164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8"/>
      <c r="V889" s="18"/>
      <c r="W889" s="18"/>
      <c r="X889" s="18"/>
      <c r="Y889" s="18"/>
      <c r="Z889" s="18"/>
      <c r="AA889" s="85"/>
      <c r="AB889" s="85"/>
      <c r="AC889" s="18"/>
      <c r="AD889" s="18"/>
      <c r="AE889" s="18"/>
      <c r="AF889" s="18"/>
    </row>
    <row r="890" ht="15.75" customHeight="1">
      <c r="A890" s="18"/>
      <c r="B890" s="163"/>
      <c r="C890" s="164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8"/>
      <c r="V890" s="18"/>
      <c r="W890" s="18"/>
      <c r="X890" s="18"/>
      <c r="Y890" s="18"/>
      <c r="Z890" s="18"/>
      <c r="AA890" s="85"/>
      <c r="AB890" s="85"/>
      <c r="AC890" s="18"/>
      <c r="AD890" s="18"/>
      <c r="AE890" s="18"/>
      <c r="AF890" s="18"/>
    </row>
    <row r="891" ht="15.75" customHeight="1">
      <c r="A891" s="18"/>
      <c r="B891" s="163"/>
      <c r="C891" s="164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8"/>
      <c r="V891" s="18"/>
      <c r="W891" s="18"/>
      <c r="X891" s="18"/>
      <c r="Y891" s="18"/>
      <c r="Z891" s="18"/>
      <c r="AA891" s="85"/>
      <c r="AB891" s="85"/>
      <c r="AC891" s="18"/>
      <c r="AD891" s="18"/>
      <c r="AE891" s="18"/>
      <c r="AF891" s="18"/>
    </row>
    <row r="892" ht="15.75" customHeight="1">
      <c r="A892" s="18"/>
      <c r="B892" s="163"/>
      <c r="C892" s="164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8"/>
      <c r="V892" s="18"/>
      <c r="W892" s="18"/>
      <c r="X892" s="18"/>
      <c r="Y892" s="18"/>
      <c r="Z892" s="18"/>
      <c r="AA892" s="85"/>
      <c r="AB892" s="85"/>
      <c r="AC892" s="18"/>
      <c r="AD892" s="18"/>
      <c r="AE892" s="18"/>
      <c r="AF892" s="18"/>
    </row>
    <row r="893" ht="15.75" customHeight="1">
      <c r="A893" s="18"/>
      <c r="B893" s="163"/>
      <c r="C893" s="164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8"/>
      <c r="V893" s="18"/>
      <c r="W893" s="18"/>
      <c r="X893" s="18"/>
      <c r="Y893" s="18"/>
      <c r="Z893" s="18"/>
      <c r="AA893" s="85"/>
      <c r="AB893" s="85"/>
      <c r="AC893" s="18"/>
      <c r="AD893" s="18"/>
      <c r="AE893" s="18"/>
      <c r="AF893" s="18"/>
    </row>
    <row r="894" ht="15.75" customHeight="1">
      <c r="A894" s="18"/>
      <c r="B894" s="163"/>
      <c r="C894" s="164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8"/>
      <c r="V894" s="18"/>
      <c r="W894" s="18"/>
      <c r="X894" s="18"/>
      <c r="Y894" s="18"/>
      <c r="Z894" s="18"/>
      <c r="AA894" s="85"/>
      <c r="AB894" s="85"/>
      <c r="AC894" s="18"/>
      <c r="AD894" s="18"/>
      <c r="AE894" s="18"/>
      <c r="AF894" s="18"/>
    </row>
    <row r="895" ht="15.75" customHeight="1">
      <c r="A895" s="18"/>
      <c r="B895" s="163"/>
      <c r="C895" s="164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8"/>
      <c r="V895" s="18"/>
      <c r="W895" s="18"/>
      <c r="X895" s="18"/>
      <c r="Y895" s="18"/>
      <c r="Z895" s="18"/>
      <c r="AA895" s="85"/>
      <c r="AB895" s="85"/>
      <c r="AC895" s="18"/>
      <c r="AD895" s="18"/>
      <c r="AE895" s="18"/>
      <c r="AF895" s="18"/>
    </row>
    <row r="896" ht="15.75" customHeight="1">
      <c r="A896" s="18"/>
      <c r="B896" s="163"/>
      <c r="C896" s="164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8"/>
      <c r="V896" s="18"/>
      <c r="W896" s="18"/>
      <c r="X896" s="18"/>
      <c r="Y896" s="18"/>
      <c r="Z896" s="18"/>
      <c r="AA896" s="85"/>
      <c r="AB896" s="85"/>
      <c r="AC896" s="18"/>
      <c r="AD896" s="18"/>
      <c r="AE896" s="18"/>
      <c r="AF896" s="18"/>
    </row>
    <row r="897" ht="15.75" customHeight="1">
      <c r="A897" s="18"/>
      <c r="B897" s="163"/>
      <c r="C897" s="164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8"/>
      <c r="V897" s="18"/>
      <c r="W897" s="18"/>
      <c r="X897" s="18"/>
      <c r="Y897" s="18"/>
      <c r="Z897" s="18"/>
      <c r="AA897" s="85"/>
      <c r="AB897" s="85"/>
      <c r="AC897" s="18"/>
      <c r="AD897" s="18"/>
      <c r="AE897" s="18"/>
      <c r="AF897" s="18"/>
    </row>
    <row r="898" ht="15.75" customHeight="1">
      <c r="A898" s="18"/>
      <c r="B898" s="163"/>
      <c r="C898" s="164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8"/>
      <c r="V898" s="18"/>
      <c r="W898" s="18"/>
      <c r="X898" s="18"/>
      <c r="Y898" s="18"/>
      <c r="Z898" s="18"/>
      <c r="AA898" s="85"/>
      <c r="AB898" s="85"/>
      <c r="AC898" s="18"/>
      <c r="AD898" s="18"/>
      <c r="AE898" s="18"/>
      <c r="AF898" s="18"/>
    </row>
    <row r="899" ht="15.75" customHeight="1">
      <c r="A899" s="18"/>
      <c r="B899" s="163"/>
      <c r="C899" s="164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8"/>
      <c r="V899" s="18"/>
      <c r="W899" s="18"/>
      <c r="X899" s="18"/>
      <c r="Y899" s="18"/>
      <c r="Z899" s="18"/>
      <c r="AA899" s="85"/>
      <c r="AB899" s="85"/>
      <c r="AC899" s="18"/>
      <c r="AD899" s="18"/>
      <c r="AE899" s="18"/>
      <c r="AF899" s="18"/>
    </row>
    <row r="900" ht="15.75" customHeight="1">
      <c r="A900" s="18"/>
      <c r="B900" s="163"/>
      <c r="C900" s="164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8"/>
      <c r="V900" s="18"/>
      <c r="W900" s="18"/>
      <c r="X900" s="18"/>
      <c r="Y900" s="18"/>
      <c r="Z900" s="18"/>
      <c r="AA900" s="85"/>
      <c r="AB900" s="85"/>
      <c r="AC900" s="18"/>
      <c r="AD900" s="18"/>
      <c r="AE900" s="18"/>
      <c r="AF900" s="18"/>
    </row>
    <row r="901" ht="15.75" customHeight="1">
      <c r="A901" s="18"/>
      <c r="B901" s="163"/>
      <c r="C901" s="164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8"/>
      <c r="V901" s="18"/>
      <c r="W901" s="18"/>
      <c r="X901" s="18"/>
      <c r="Y901" s="18"/>
      <c r="Z901" s="18"/>
      <c r="AA901" s="85"/>
      <c r="AB901" s="85"/>
      <c r="AC901" s="18"/>
      <c r="AD901" s="18"/>
      <c r="AE901" s="18"/>
      <c r="AF901" s="18"/>
    </row>
    <row r="902" ht="15.75" customHeight="1">
      <c r="A902" s="18"/>
      <c r="B902" s="163"/>
      <c r="C902" s="164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8"/>
      <c r="V902" s="18"/>
      <c r="W902" s="18"/>
      <c r="X902" s="18"/>
      <c r="Y902" s="18"/>
      <c r="Z902" s="18"/>
      <c r="AA902" s="85"/>
      <c r="AB902" s="85"/>
      <c r="AC902" s="18"/>
      <c r="AD902" s="18"/>
      <c r="AE902" s="18"/>
      <c r="AF902" s="18"/>
    </row>
    <row r="903" ht="15.75" customHeight="1">
      <c r="A903" s="18"/>
      <c r="B903" s="163"/>
      <c r="C903" s="164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8"/>
      <c r="V903" s="18"/>
      <c r="W903" s="18"/>
      <c r="X903" s="18"/>
      <c r="Y903" s="18"/>
      <c r="Z903" s="18"/>
      <c r="AA903" s="85"/>
      <c r="AB903" s="85"/>
      <c r="AC903" s="18"/>
      <c r="AD903" s="18"/>
      <c r="AE903" s="18"/>
      <c r="AF903" s="18"/>
    </row>
    <row r="904" ht="15.75" customHeight="1">
      <c r="A904" s="18"/>
      <c r="B904" s="163"/>
      <c r="C904" s="164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8"/>
      <c r="V904" s="18"/>
      <c r="W904" s="18"/>
      <c r="X904" s="18"/>
      <c r="Y904" s="18"/>
      <c r="Z904" s="18"/>
      <c r="AA904" s="85"/>
      <c r="AB904" s="85"/>
      <c r="AC904" s="18"/>
      <c r="AD904" s="18"/>
      <c r="AE904" s="18"/>
      <c r="AF904" s="18"/>
    </row>
    <row r="905" ht="15.75" customHeight="1">
      <c r="A905" s="18"/>
      <c r="B905" s="163"/>
      <c r="C905" s="164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8"/>
      <c r="V905" s="18"/>
      <c r="W905" s="18"/>
      <c r="X905" s="18"/>
      <c r="Y905" s="18"/>
      <c r="Z905" s="18"/>
      <c r="AA905" s="85"/>
      <c r="AB905" s="85"/>
      <c r="AC905" s="18"/>
      <c r="AD905" s="18"/>
      <c r="AE905" s="18"/>
      <c r="AF905" s="18"/>
    </row>
    <row r="906" ht="15.75" customHeight="1">
      <c r="A906" s="18"/>
      <c r="B906" s="163"/>
      <c r="C906" s="164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8"/>
      <c r="V906" s="18"/>
      <c r="W906" s="18"/>
      <c r="X906" s="18"/>
      <c r="Y906" s="18"/>
      <c r="Z906" s="18"/>
      <c r="AA906" s="85"/>
      <c r="AB906" s="85"/>
      <c r="AC906" s="18"/>
      <c r="AD906" s="18"/>
      <c r="AE906" s="18"/>
      <c r="AF906" s="18"/>
    </row>
    <row r="907" ht="15.75" customHeight="1">
      <c r="A907" s="18"/>
      <c r="B907" s="163"/>
      <c r="C907" s="164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8"/>
      <c r="V907" s="18"/>
      <c r="W907" s="18"/>
      <c r="X907" s="18"/>
      <c r="Y907" s="18"/>
      <c r="Z907" s="18"/>
      <c r="AA907" s="85"/>
      <c r="AB907" s="85"/>
      <c r="AC907" s="18"/>
      <c r="AD907" s="18"/>
      <c r="AE907" s="18"/>
      <c r="AF907" s="18"/>
    </row>
    <row r="908" ht="15.75" customHeight="1">
      <c r="A908" s="18"/>
      <c r="B908" s="163"/>
      <c r="C908" s="164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8"/>
      <c r="V908" s="18"/>
      <c r="W908" s="18"/>
      <c r="X908" s="18"/>
      <c r="Y908" s="18"/>
      <c r="Z908" s="18"/>
      <c r="AA908" s="85"/>
      <c r="AB908" s="85"/>
      <c r="AC908" s="18"/>
      <c r="AD908" s="18"/>
      <c r="AE908" s="18"/>
      <c r="AF908" s="18"/>
    </row>
    <row r="909" ht="15.75" customHeight="1">
      <c r="A909" s="18"/>
      <c r="B909" s="163"/>
      <c r="C909" s="164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8"/>
      <c r="V909" s="18"/>
      <c r="W909" s="18"/>
      <c r="X909" s="18"/>
      <c r="Y909" s="18"/>
      <c r="Z909" s="18"/>
      <c r="AA909" s="85"/>
      <c r="AB909" s="85"/>
      <c r="AC909" s="18"/>
      <c r="AD909" s="18"/>
      <c r="AE909" s="18"/>
      <c r="AF909" s="18"/>
    </row>
    <row r="910" ht="15.75" customHeight="1">
      <c r="A910" s="18"/>
      <c r="B910" s="163"/>
      <c r="C910" s="164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8"/>
      <c r="V910" s="18"/>
      <c r="W910" s="18"/>
      <c r="X910" s="18"/>
      <c r="Y910" s="18"/>
      <c r="Z910" s="18"/>
      <c r="AA910" s="85"/>
      <c r="AB910" s="85"/>
      <c r="AC910" s="18"/>
      <c r="AD910" s="18"/>
      <c r="AE910" s="18"/>
      <c r="AF910" s="18"/>
    </row>
    <row r="911" ht="15.75" customHeight="1">
      <c r="A911" s="18"/>
      <c r="B911" s="163"/>
      <c r="C911" s="164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8"/>
      <c r="V911" s="18"/>
      <c r="W911" s="18"/>
      <c r="X911" s="18"/>
      <c r="Y911" s="18"/>
      <c r="Z911" s="18"/>
      <c r="AA911" s="85"/>
      <c r="AB911" s="85"/>
      <c r="AC911" s="18"/>
      <c r="AD911" s="18"/>
      <c r="AE911" s="18"/>
      <c r="AF911" s="18"/>
    </row>
    <row r="912" ht="15.75" customHeight="1">
      <c r="A912" s="18"/>
      <c r="B912" s="163"/>
      <c r="C912" s="164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8"/>
      <c r="V912" s="18"/>
      <c r="W912" s="18"/>
      <c r="X912" s="18"/>
      <c r="Y912" s="18"/>
      <c r="Z912" s="18"/>
      <c r="AA912" s="85"/>
      <c r="AB912" s="85"/>
      <c r="AC912" s="18"/>
      <c r="AD912" s="18"/>
      <c r="AE912" s="18"/>
      <c r="AF912" s="18"/>
    </row>
    <row r="913" ht="15.75" customHeight="1">
      <c r="A913" s="18"/>
      <c r="B913" s="163"/>
      <c r="C913" s="164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8"/>
      <c r="V913" s="18"/>
      <c r="W913" s="18"/>
      <c r="X913" s="18"/>
      <c r="Y913" s="18"/>
      <c r="Z913" s="18"/>
      <c r="AA913" s="85"/>
      <c r="AB913" s="85"/>
      <c r="AC913" s="18"/>
      <c r="AD913" s="18"/>
      <c r="AE913" s="18"/>
      <c r="AF913" s="18"/>
    </row>
    <row r="914" ht="15.75" customHeight="1">
      <c r="A914" s="18"/>
      <c r="B914" s="163"/>
      <c r="C914" s="164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8"/>
      <c r="V914" s="18"/>
      <c r="W914" s="18"/>
      <c r="X914" s="18"/>
      <c r="Y914" s="18"/>
      <c r="Z914" s="18"/>
      <c r="AA914" s="85"/>
      <c r="AB914" s="85"/>
      <c r="AC914" s="18"/>
      <c r="AD914" s="18"/>
      <c r="AE914" s="18"/>
      <c r="AF914" s="18"/>
    </row>
    <row r="915" ht="15.75" customHeight="1">
      <c r="A915" s="18"/>
      <c r="B915" s="163"/>
      <c r="C915" s="164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8"/>
      <c r="V915" s="18"/>
      <c r="W915" s="18"/>
      <c r="X915" s="18"/>
      <c r="Y915" s="18"/>
      <c r="Z915" s="18"/>
      <c r="AA915" s="85"/>
      <c r="AB915" s="85"/>
      <c r="AC915" s="18"/>
      <c r="AD915" s="18"/>
      <c r="AE915" s="18"/>
      <c r="AF915" s="18"/>
    </row>
    <row r="916" ht="15.75" customHeight="1">
      <c r="A916" s="18"/>
      <c r="B916" s="163"/>
      <c r="C916" s="164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8"/>
      <c r="V916" s="18"/>
      <c r="W916" s="18"/>
      <c r="X916" s="18"/>
      <c r="Y916" s="18"/>
      <c r="Z916" s="18"/>
      <c r="AA916" s="85"/>
      <c r="AB916" s="85"/>
      <c r="AC916" s="18"/>
      <c r="AD916" s="18"/>
      <c r="AE916" s="18"/>
      <c r="AF916" s="18"/>
    </row>
    <row r="917" ht="15.75" customHeight="1">
      <c r="A917" s="18"/>
      <c r="B917" s="163"/>
      <c r="C917" s="164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8"/>
      <c r="V917" s="18"/>
      <c r="W917" s="18"/>
      <c r="X917" s="18"/>
      <c r="Y917" s="18"/>
      <c r="Z917" s="18"/>
      <c r="AA917" s="85"/>
      <c r="AB917" s="85"/>
      <c r="AC917" s="18"/>
      <c r="AD917" s="18"/>
      <c r="AE917" s="18"/>
      <c r="AF917" s="18"/>
    </row>
    <row r="918" ht="15.75" customHeight="1">
      <c r="A918" s="18"/>
      <c r="B918" s="163"/>
      <c r="C918" s="164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8"/>
      <c r="V918" s="18"/>
      <c r="W918" s="18"/>
      <c r="X918" s="18"/>
      <c r="Y918" s="18"/>
      <c r="Z918" s="18"/>
      <c r="AA918" s="85"/>
      <c r="AB918" s="85"/>
      <c r="AC918" s="18"/>
      <c r="AD918" s="18"/>
      <c r="AE918" s="18"/>
      <c r="AF918" s="18"/>
    </row>
    <row r="919" ht="15.75" customHeight="1">
      <c r="A919" s="18"/>
      <c r="B919" s="163"/>
      <c r="C919" s="164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8"/>
      <c r="V919" s="18"/>
      <c r="W919" s="18"/>
      <c r="X919" s="18"/>
      <c r="Y919" s="18"/>
      <c r="Z919" s="18"/>
      <c r="AA919" s="85"/>
      <c r="AB919" s="85"/>
      <c r="AC919" s="18"/>
      <c r="AD919" s="18"/>
      <c r="AE919" s="18"/>
      <c r="AF919" s="18"/>
    </row>
    <row r="920" ht="15.75" customHeight="1">
      <c r="A920" s="18"/>
      <c r="B920" s="163"/>
      <c r="C920" s="164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8"/>
      <c r="V920" s="18"/>
      <c r="W920" s="18"/>
      <c r="X920" s="18"/>
      <c r="Y920" s="18"/>
      <c r="Z920" s="18"/>
      <c r="AA920" s="85"/>
      <c r="AB920" s="85"/>
      <c r="AC920" s="18"/>
      <c r="AD920" s="18"/>
      <c r="AE920" s="18"/>
      <c r="AF920" s="18"/>
    </row>
    <row r="921" ht="15.75" customHeight="1">
      <c r="A921" s="18"/>
      <c r="B921" s="163"/>
      <c r="C921" s="164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8"/>
      <c r="V921" s="18"/>
      <c r="W921" s="18"/>
      <c r="X921" s="18"/>
      <c r="Y921" s="18"/>
      <c r="Z921" s="18"/>
      <c r="AA921" s="85"/>
      <c r="AB921" s="85"/>
      <c r="AC921" s="18"/>
      <c r="AD921" s="18"/>
      <c r="AE921" s="18"/>
      <c r="AF921" s="18"/>
    </row>
    <row r="922" ht="15.75" customHeight="1">
      <c r="A922" s="18"/>
      <c r="B922" s="163"/>
      <c r="C922" s="164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8"/>
      <c r="V922" s="18"/>
      <c r="W922" s="18"/>
      <c r="X922" s="18"/>
      <c r="Y922" s="18"/>
      <c r="Z922" s="18"/>
      <c r="AA922" s="85"/>
      <c r="AB922" s="85"/>
      <c r="AC922" s="18"/>
      <c r="AD922" s="18"/>
      <c r="AE922" s="18"/>
      <c r="AF922" s="18"/>
    </row>
    <row r="923" ht="15.75" customHeight="1">
      <c r="A923" s="18"/>
      <c r="B923" s="163"/>
      <c r="C923" s="164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8"/>
      <c r="V923" s="18"/>
      <c r="W923" s="18"/>
      <c r="X923" s="18"/>
      <c r="Y923" s="18"/>
      <c r="Z923" s="18"/>
      <c r="AA923" s="85"/>
      <c r="AB923" s="85"/>
      <c r="AC923" s="18"/>
      <c r="AD923" s="18"/>
      <c r="AE923" s="18"/>
      <c r="AF923" s="18"/>
    </row>
    <row r="924" ht="15.75" customHeight="1">
      <c r="A924" s="18"/>
      <c r="B924" s="163"/>
      <c r="C924" s="164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8"/>
      <c r="V924" s="18"/>
      <c r="W924" s="18"/>
      <c r="X924" s="18"/>
      <c r="Y924" s="18"/>
      <c r="Z924" s="18"/>
      <c r="AA924" s="85"/>
      <c r="AB924" s="85"/>
      <c r="AC924" s="18"/>
      <c r="AD924" s="18"/>
      <c r="AE924" s="18"/>
      <c r="AF924" s="18"/>
    </row>
    <row r="925" ht="15.75" customHeight="1">
      <c r="A925" s="18"/>
      <c r="B925" s="163"/>
      <c r="C925" s="164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8"/>
      <c r="V925" s="18"/>
      <c r="W925" s="18"/>
      <c r="X925" s="18"/>
      <c r="Y925" s="18"/>
      <c r="Z925" s="18"/>
      <c r="AA925" s="85"/>
      <c r="AB925" s="85"/>
      <c r="AC925" s="18"/>
      <c r="AD925" s="18"/>
      <c r="AE925" s="18"/>
      <c r="AF925" s="18"/>
    </row>
    <row r="926" ht="15.75" customHeight="1">
      <c r="A926" s="18"/>
      <c r="B926" s="163"/>
      <c r="C926" s="164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8"/>
      <c r="V926" s="18"/>
      <c r="W926" s="18"/>
      <c r="X926" s="18"/>
      <c r="Y926" s="18"/>
      <c r="Z926" s="18"/>
      <c r="AA926" s="85"/>
      <c r="AB926" s="85"/>
      <c r="AC926" s="18"/>
      <c r="AD926" s="18"/>
      <c r="AE926" s="18"/>
      <c r="AF926" s="18"/>
    </row>
    <row r="927" ht="15.75" customHeight="1">
      <c r="A927" s="18"/>
      <c r="B927" s="163"/>
      <c r="C927" s="164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8"/>
      <c r="V927" s="18"/>
      <c r="W927" s="18"/>
      <c r="X927" s="18"/>
      <c r="Y927" s="18"/>
      <c r="Z927" s="18"/>
      <c r="AA927" s="85"/>
      <c r="AB927" s="85"/>
      <c r="AC927" s="18"/>
      <c r="AD927" s="18"/>
      <c r="AE927" s="18"/>
      <c r="AF927" s="18"/>
    </row>
    <row r="928" ht="15.75" customHeight="1">
      <c r="A928" s="18"/>
      <c r="B928" s="163"/>
      <c r="C928" s="164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8"/>
      <c r="V928" s="18"/>
      <c r="W928" s="18"/>
      <c r="X928" s="18"/>
      <c r="Y928" s="18"/>
      <c r="Z928" s="18"/>
      <c r="AA928" s="85"/>
      <c r="AB928" s="85"/>
      <c r="AC928" s="18"/>
      <c r="AD928" s="18"/>
      <c r="AE928" s="18"/>
      <c r="AF928" s="18"/>
    </row>
    <row r="929" ht="15.75" customHeight="1">
      <c r="A929" s="18"/>
      <c r="B929" s="163"/>
      <c r="C929" s="164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8"/>
      <c r="V929" s="18"/>
      <c r="W929" s="18"/>
      <c r="X929" s="18"/>
      <c r="Y929" s="18"/>
      <c r="Z929" s="18"/>
      <c r="AA929" s="85"/>
      <c r="AB929" s="85"/>
      <c r="AC929" s="18"/>
      <c r="AD929" s="18"/>
      <c r="AE929" s="18"/>
      <c r="AF929" s="18"/>
    </row>
    <row r="930" ht="15.75" customHeight="1">
      <c r="A930" s="18"/>
      <c r="B930" s="163"/>
      <c r="C930" s="164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8"/>
      <c r="V930" s="18"/>
      <c r="W930" s="18"/>
      <c r="X930" s="18"/>
      <c r="Y930" s="18"/>
      <c r="Z930" s="18"/>
      <c r="AA930" s="85"/>
      <c r="AB930" s="85"/>
      <c r="AC930" s="18"/>
      <c r="AD930" s="18"/>
      <c r="AE930" s="18"/>
      <c r="AF930" s="18"/>
    </row>
    <row r="931" ht="15.75" customHeight="1">
      <c r="A931" s="18"/>
      <c r="B931" s="163"/>
      <c r="C931" s="164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8"/>
      <c r="V931" s="18"/>
      <c r="W931" s="18"/>
      <c r="X931" s="18"/>
      <c r="Y931" s="18"/>
      <c r="Z931" s="18"/>
      <c r="AA931" s="85"/>
      <c r="AB931" s="85"/>
      <c r="AC931" s="18"/>
      <c r="AD931" s="18"/>
      <c r="AE931" s="18"/>
      <c r="AF931" s="18"/>
    </row>
    <row r="932" ht="15.75" customHeight="1">
      <c r="A932" s="18"/>
      <c r="B932" s="163"/>
      <c r="C932" s="164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8"/>
      <c r="V932" s="18"/>
      <c r="W932" s="18"/>
      <c r="X932" s="18"/>
      <c r="Y932" s="18"/>
      <c r="Z932" s="18"/>
      <c r="AA932" s="85"/>
      <c r="AB932" s="85"/>
      <c r="AC932" s="18"/>
      <c r="AD932" s="18"/>
      <c r="AE932" s="18"/>
      <c r="AF932" s="18"/>
    </row>
    <row r="933" ht="15.75" customHeight="1">
      <c r="A933" s="18"/>
      <c r="B933" s="163"/>
      <c r="C933" s="164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8"/>
      <c r="V933" s="18"/>
      <c r="W933" s="18"/>
      <c r="X933" s="18"/>
      <c r="Y933" s="18"/>
      <c r="Z933" s="18"/>
      <c r="AA933" s="85"/>
      <c r="AB933" s="85"/>
      <c r="AC933" s="18"/>
      <c r="AD933" s="18"/>
      <c r="AE933" s="18"/>
      <c r="AF933" s="18"/>
    </row>
    <row r="934" ht="15.75" customHeight="1">
      <c r="A934" s="18"/>
      <c r="B934" s="163"/>
      <c r="C934" s="164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8"/>
      <c r="V934" s="18"/>
      <c r="W934" s="18"/>
      <c r="X934" s="18"/>
      <c r="Y934" s="18"/>
      <c r="Z934" s="18"/>
      <c r="AA934" s="85"/>
      <c r="AB934" s="85"/>
      <c r="AC934" s="18"/>
      <c r="AD934" s="18"/>
      <c r="AE934" s="18"/>
      <c r="AF934" s="18"/>
    </row>
    <row r="935" ht="15.75" customHeight="1">
      <c r="A935" s="18"/>
      <c r="B935" s="163"/>
      <c r="C935" s="164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8"/>
      <c r="V935" s="18"/>
      <c r="W935" s="18"/>
      <c r="X935" s="18"/>
      <c r="Y935" s="18"/>
      <c r="Z935" s="18"/>
      <c r="AA935" s="85"/>
      <c r="AB935" s="85"/>
      <c r="AC935" s="18"/>
      <c r="AD935" s="18"/>
      <c r="AE935" s="18"/>
      <c r="AF935" s="18"/>
    </row>
    <row r="936" ht="15.75" customHeight="1">
      <c r="A936" s="18"/>
      <c r="B936" s="163"/>
      <c r="C936" s="164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8"/>
      <c r="V936" s="18"/>
      <c r="W936" s="18"/>
      <c r="X936" s="18"/>
      <c r="Y936" s="18"/>
      <c r="Z936" s="18"/>
      <c r="AA936" s="85"/>
      <c r="AB936" s="85"/>
      <c r="AC936" s="18"/>
      <c r="AD936" s="18"/>
      <c r="AE936" s="18"/>
      <c r="AF936" s="18"/>
    </row>
    <row r="937" ht="15.75" customHeight="1">
      <c r="A937" s="18"/>
      <c r="B937" s="163"/>
      <c r="C937" s="164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8"/>
      <c r="V937" s="18"/>
      <c r="W937" s="18"/>
      <c r="X937" s="18"/>
      <c r="Y937" s="18"/>
      <c r="Z937" s="18"/>
      <c r="AA937" s="85"/>
      <c r="AB937" s="85"/>
      <c r="AC937" s="18"/>
      <c r="AD937" s="18"/>
      <c r="AE937" s="18"/>
      <c r="AF937" s="18"/>
    </row>
    <row r="938" ht="15.75" customHeight="1">
      <c r="A938" s="18"/>
      <c r="B938" s="163"/>
      <c r="C938" s="164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8"/>
      <c r="V938" s="18"/>
      <c r="W938" s="18"/>
      <c r="X938" s="18"/>
      <c r="Y938" s="18"/>
      <c r="Z938" s="18"/>
      <c r="AA938" s="85"/>
      <c r="AB938" s="85"/>
      <c r="AC938" s="18"/>
      <c r="AD938" s="18"/>
      <c r="AE938" s="18"/>
      <c r="AF938" s="18"/>
    </row>
    <row r="939" ht="15.75" customHeight="1">
      <c r="A939" s="18"/>
      <c r="B939" s="163"/>
      <c r="C939" s="164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8"/>
      <c r="V939" s="18"/>
      <c r="W939" s="18"/>
      <c r="X939" s="18"/>
      <c r="Y939" s="18"/>
      <c r="Z939" s="18"/>
      <c r="AA939" s="85"/>
      <c r="AB939" s="85"/>
      <c r="AC939" s="18"/>
      <c r="AD939" s="18"/>
      <c r="AE939" s="18"/>
      <c r="AF939" s="18"/>
    </row>
    <row r="940" ht="15.75" customHeight="1">
      <c r="A940" s="18"/>
      <c r="B940" s="163"/>
      <c r="C940" s="164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8"/>
      <c r="V940" s="18"/>
      <c r="W940" s="18"/>
      <c r="X940" s="18"/>
      <c r="Y940" s="18"/>
      <c r="Z940" s="18"/>
      <c r="AA940" s="85"/>
      <c r="AB940" s="85"/>
      <c r="AC940" s="18"/>
      <c r="AD940" s="18"/>
      <c r="AE940" s="18"/>
      <c r="AF940" s="18"/>
    </row>
    <row r="941" ht="15.75" customHeight="1">
      <c r="A941" s="18"/>
      <c r="B941" s="163"/>
      <c r="C941" s="164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8"/>
      <c r="V941" s="18"/>
      <c r="W941" s="18"/>
      <c r="X941" s="18"/>
      <c r="Y941" s="18"/>
      <c r="Z941" s="18"/>
      <c r="AA941" s="85"/>
      <c r="AB941" s="85"/>
      <c r="AC941" s="18"/>
      <c r="AD941" s="18"/>
      <c r="AE941" s="18"/>
      <c r="AF941" s="18"/>
    </row>
    <row r="942" ht="15.75" customHeight="1">
      <c r="A942" s="18"/>
      <c r="B942" s="163"/>
      <c r="C942" s="164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8"/>
      <c r="V942" s="18"/>
      <c r="W942" s="18"/>
      <c r="X942" s="18"/>
      <c r="Y942" s="18"/>
      <c r="Z942" s="18"/>
      <c r="AA942" s="85"/>
      <c r="AB942" s="85"/>
      <c r="AC942" s="18"/>
      <c r="AD942" s="18"/>
      <c r="AE942" s="18"/>
      <c r="AF942" s="18"/>
    </row>
    <row r="943" ht="15.75" customHeight="1">
      <c r="A943" s="18"/>
      <c r="B943" s="163"/>
      <c r="C943" s="164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8"/>
      <c r="V943" s="18"/>
      <c r="W943" s="18"/>
      <c r="X943" s="18"/>
      <c r="Y943" s="18"/>
      <c r="Z943" s="18"/>
      <c r="AA943" s="85"/>
      <c r="AB943" s="85"/>
      <c r="AC943" s="18"/>
      <c r="AD943" s="18"/>
      <c r="AE943" s="18"/>
      <c r="AF943" s="18"/>
    </row>
    <row r="944" ht="15.75" customHeight="1">
      <c r="A944" s="18"/>
      <c r="B944" s="163"/>
      <c r="C944" s="164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8"/>
      <c r="V944" s="18"/>
      <c r="W944" s="18"/>
      <c r="X944" s="18"/>
      <c r="Y944" s="18"/>
      <c r="Z944" s="18"/>
      <c r="AA944" s="85"/>
      <c r="AB944" s="85"/>
      <c r="AC944" s="18"/>
      <c r="AD944" s="18"/>
      <c r="AE944" s="18"/>
      <c r="AF944" s="18"/>
    </row>
    <row r="945" ht="15.75" customHeight="1">
      <c r="A945" s="18"/>
      <c r="B945" s="163"/>
      <c r="C945" s="164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8"/>
      <c r="V945" s="18"/>
      <c r="W945" s="18"/>
      <c r="X945" s="18"/>
      <c r="Y945" s="18"/>
      <c r="Z945" s="18"/>
      <c r="AA945" s="85"/>
      <c r="AB945" s="85"/>
      <c r="AC945" s="18"/>
      <c r="AD945" s="18"/>
      <c r="AE945" s="18"/>
      <c r="AF945" s="18"/>
    </row>
    <row r="946" ht="15.75" customHeight="1">
      <c r="A946" s="18"/>
      <c r="B946" s="163"/>
      <c r="C946" s="164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8"/>
      <c r="V946" s="18"/>
      <c r="W946" s="18"/>
      <c r="X946" s="18"/>
      <c r="Y946" s="18"/>
      <c r="Z946" s="18"/>
      <c r="AA946" s="85"/>
      <c r="AB946" s="85"/>
      <c r="AC946" s="18"/>
      <c r="AD946" s="18"/>
      <c r="AE946" s="18"/>
      <c r="AF946" s="18"/>
    </row>
    <row r="947" ht="15.75" customHeight="1">
      <c r="A947" s="18"/>
      <c r="B947" s="163"/>
      <c r="C947" s="164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8"/>
      <c r="V947" s="18"/>
      <c r="W947" s="18"/>
      <c r="X947" s="18"/>
      <c r="Y947" s="18"/>
      <c r="Z947" s="18"/>
      <c r="AA947" s="85"/>
      <c r="AB947" s="85"/>
      <c r="AC947" s="18"/>
      <c r="AD947" s="18"/>
      <c r="AE947" s="18"/>
      <c r="AF947" s="18"/>
    </row>
    <row r="948" ht="15.75" customHeight="1">
      <c r="A948" s="18"/>
      <c r="B948" s="163"/>
      <c r="C948" s="164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8"/>
      <c r="V948" s="18"/>
      <c r="W948" s="18"/>
      <c r="X948" s="18"/>
      <c r="Y948" s="18"/>
      <c r="Z948" s="18"/>
      <c r="AA948" s="85"/>
      <c r="AB948" s="85"/>
      <c r="AC948" s="18"/>
      <c r="AD948" s="18"/>
      <c r="AE948" s="18"/>
      <c r="AF948" s="18"/>
    </row>
    <row r="949" ht="15.75" customHeight="1">
      <c r="A949" s="18"/>
      <c r="B949" s="163"/>
      <c r="C949" s="164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8"/>
      <c r="V949" s="18"/>
      <c r="W949" s="18"/>
      <c r="X949" s="18"/>
      <c r="Y949" s="18"/>
      <c r="Z949" s="18"/>
      <c r="AA949" s="85"/>
      <c r="AB949" s="85"/>
      <c r="AC949" s="18"/>
      <c r="AD949" s="18"/>
      <c r="AE949" s="18"/>
      <c r="AF949" s="18"/>
    </row>
    <row r="950" ht="15.75" customHeight="1">
      <c r="A950" s="18"/>
      <c r="B950" s="163"/>
      <c r="C950" s="164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8"/>
      <c r="V950" s="18"/>
      <c r="W950" s="18"/>
      <c r="X950" s="18"/>
      <c r="Y950" s="18"/>
      <c r="Z950" s="18"/>
      <c r="AA950" s="85"/>
      <c r="AB950" s="85"/>
      <c r="AC950" s="18"/>
      <c r="AD950" s="18"/>
      <c r="AE950" s="18"/>
      <c r="AF950" s="18"/>
    </row>
    <row r="951" ht="15.75" customHeight="1">
      <c r="A951" s="18"/>
      <c r="B951" s="163"/>
      <c r="C951" s="164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8"/>
      <c r="V951" s="18"/>
      <c r="W951" s="18"/>
      <c r="X951" s="18"/>
      <c r="Y951" s="18"/>
      <c r="Z951" s="18"/>
      <c r="AA951" s="85"/>
      <c r="AB951" s="85"/>
      <c r="AC951" s="18"/>
      <c r="AD951" s="18"/>
      <c r="AE951" s="18"/>
      <c r="AF951" s="18"/>
    </row>
    <row r="952" ht="15.75" customHeight="1">
      <c r="A952" s="18"/>
      <c r="B952" s="163"/>
      <c r="C952" s="164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8"/>
      <c r="V952" s="18"/>
      <c r="W952" s="18"/>
      <c r="X952" s="18"/>
      <c r="Y952" s="18"/>
      <c r="Z952" s="18"/>
      <c r="AA952" s="85"/>
      <c r="AB952" s="85"/>
      <c r="AC952" s="18"/>
      <c r="AD952" s="18"/>
      <c r="AE952" s="18"/>
      <c r="AF952" s="18"/>
    </row>
    <row r="953" ht="15.75" customHeight="1">
      <c r="A953" s="18"/>
      <c r="B953" s="163"/>
      <c r="C953" s="164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8"/>
      <c r="V953" s="18"/>
      <c r="W953" s="18"/>
      <c r="X953" s="18"/>
      <c r="Y953" s="18"/>
      <c r="Z953" s="18"/>
      <c r="AA953" s="85"/>
      <c r="AB953" s="85"/>
      <c r="AC953" s="18"/>
      <c r="AD953" s="18"/>
      <c r="AE953" s="18"/>
      <c r="AF953" s="18"/>
    </row>
    <row r="954" ht="15.75" customHeight="1">
      <c r="A954" s="18"/>
      <c r="B954" s="163"/>
      <c r="C954" s="164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8"/>
      <c r="V954" s="18"/>
      <c r="W954" s="18"/>
      <c r="X954" s="18"/>
      <c r="Y954" s="18"/>
      <c r="Z954" s="18"/>
      <c r="AA954" s="85"/>
      <c r="AB954" s="85"/>
      <c r="AC954" s="18"/>
      <c r="AD954" s="18"/>
      <c r="AE954" s="18"/>
      <c r="AF954" s="18"/>
    </row>
    <row r="955" ht="15.75" customHeight="1">
      <c r="A955" s="18"/>
      <c r="B955" s="163"/>
      <c r="C955" s="164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8"/>
      <c r="V955" s="18"/>
      <c r="W955" s="18"/>
      <c r="X955" s="18"/>
      <c r="Y955" s="18"/>
      <c r="Z955" s="18"/>
      <c r="AA955" s="85"/>
      <c r="AB955" s="85"/>
      <c r="AC955" s="18"/>
      <c r="AD955" s="18"/>
      <c r="AE955" s="18"/>
      <c r="AF955" s="18"/>
    </row>
    <row r="956" ht="15.75" customHeight="1">
      <c r="A956" s="18"/>
      <c r="B956" s="163"/>
      <c r="C956" s="164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8"/>
      <c r="V956" s="18"/>
      <c r="W956" s="18"/>
      <c r="X956" s="18"/>
      <c r="Y956" s="18"/>
      <c r="Z956" s="18"/>
      <c r="AA956" s="85"/>
      <c r="AB956" s="85"/>
      <c r="AC956" s="18"/>
      <c r="AD956" s="18"/>
      <c r="AE956" s="18"/>
      <c r="AF956" s="18"/>
    </row>
    <row r="957" ht="15.75" customHeight="1">
      <c r="A957" s="18"/>
      <c r="B957" s="163"/>
      <c r="C957" s="164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8"/>
      <c r="V957" s="18"/>
      <c r="W957" s="18"/>
      <c r="X957" s="18"/>
      <c r="Y957" s="18"/>
      <c r="Z957" s="18"/>
      <c r="AA957" s="85"/>
      <c r="AB957" s="85"/>
      <c r="AC957" s="18"/>
      <c r="AD957" s="18"/>
      <c r="AE957" s="18"/>
      <c r="AF957" s="18"/>
    </row>
    <row r="958" ht="15.75" customHeight="1">
      <c r="A958" s="18"/>
      <c r="B958" s="163"/>
      <c r="C958" s="164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8"/>
      <c r="V958" s="18"/>
      <c r="W958" s="18"/>
      <c r="X958" s="18"/>
      <c r="Y958" s="18"/>
      <c r="Z958" s="18"/>
      <c r="AA958" s="85"/>
      <c r="AB958" s="85"/>
      <c r="AC958" s="18"/>
      <c r="AD958" s="18"/>
      <c r="AE958" s="18"/>
      <c r="AF958" s="18"/>
    </row>
    <row r="959" ht="15.75" customHeight="1">
      <c r="A959" s="18"/>
      <c r="B959" s="163"/>
      <c r="C959" s="164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8"/>
      <c r="V959" s="18"/>
      <c r="W959" s="18"/>
      <c r="X959" s="18"/>
      <c r="Y959" s="18"/>
      <c r="Z959" s="18"/>
      <c r="AA959" s="85"/>
      <c r="AB959" s="85"/>
      <c r="AC959" s="18"/>
      <c r="AD959" s="18"/>
      <c r="AE959" s="18"/>
      <c r="AF959" s="18"/>
    </row>
    <row r="960" ht="15.75" customHeight="1">
      <c r="A960" s="18"/>
      <c r="B960" s="163"/>
      <c r="C960" s="164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8"/>
      <c r="V960" s="18"/>
      <c r="W960" s="18"/>
      <c r="X960" s="18"/>
      <c r="Y960" s="18"/>
      <c r="Z960" s="18"/>
      <c r="AA960" s="85"/>
      <c r="AB960" s="85"/>
      <c r="AC960" s="18"/>
      <c r="AD960" s="18"/>
      <c r="AE960" s="18"/>
      <c r="AF960" s="18"/>
    </row>
    <row r="961" ht="15.75" customHeight="1">
      <c r="A961" s="18"/>
      <c r="B961" s="163"/>
      <c r="C961" s="164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8"/>
      <c r="V961" s="18"/>
      <c r="W961" s="18"/>
      <c r="X961" s="18"/>
      <c r="Y961" s="18"/>
      <c r="Z961" s="18"/>
      <c r="AA961" s="85"/>
      <c r="AB961" s="85"/>
      <c r="AC961" s="18"/>
      <c r="AD961" s="18"/>
      <c r="AE961" s="18"/>
      <c r="AF961" s="18"/>
    </row>
    <row r="962" ht="15.75" customHeight="1">
      <c r="A962" s="18"/>
      <c r="B962" s="163"/>
      <c r="C962" s="164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8"/>
      <c r="V962" s="18"/>
      <c r="W962" s="18"/>
      <c r="X962" s="18"/>
      <c r="Y962" s="18"/>
      <c r="Z962" s="18"/>
      <c r="AA962" s="85"/>
      <c r="AB962" s="85"/>
      <c r="AC962" s="18"/>
      <c r="AD962" s="18"/>
      <c r="AE962" s="18"/>
      <c r="AF962" s="18"/>
    </row>
    <row r="963" ht="15.75" customHeight="1">
      <c r="A963" s="18"/>
      <c r="B963" s="163"/>
      <c r="C963" s="164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8"/>
      <c r="V963" s="18"/>
      <c r="W963" s="18"/>
      <c r="X963" s="18"/>
      <c r="Y963" s="18"/>
      <c r="Z963" s="18"/>
      <c r="AA963" s="85"/>
      <c r="AB963" s="85"/>
      <c r="AC963" s="18"/>
      <c r="AD963" s="18"/>
      <c r="AE963" s="18"/>
      <c r="AF963" s="18"/>
    </row>
    <row r="964" ht="15.75" customHeight="1">
      <c r="A964" s="18"/>
      <c r="B964" s="163"/>
      <c r="C964" s="164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8"/>
      <c r="V964" s="18"/>
      <c r="W964" s="18"/>
      <c r="X964" s="18"/>
      <c r="Y964" s="18"/>
      <c r="Z964" s="18"/>
      <c r="AA964" s="85"/>
      <c r="AB964" s="85"/>
      <c r="AC964" s="18"/>
      <c r="AD964" s="18"/>
      <c r="AE964" s="18"/>
      <c r="AF964" s="18"/>
    </row>
    <row r="965" ht="15.75" customHeight="1">
      <c r="A965" s="18"/>
      <c r="B965" s="163"/>
      <c r="C965" s="164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8"/>
      <c r="V965" s="18"/>
      <c r="W965" s="18"/>
      <c r="X965" s="18"/>
      <c r="Y965" s="18"/>
      <c r="Z965" s="18"/>
      <c r="AA965" s="85"/>
      <c r="AB965" s="85"/>
      <c r="AC965" s="18"/>
      <c r="AD965" s="18"/>
      <c r="AE965" s="18"/>
      <c r="AF965" s="18"/>
    </row>
    <row r="966" ht="15.75" customHeight="1">
      <c r="A966" s="18"/>
      <c r="B966" s="163"/>
      <c r="C966" s="164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8"/>
      <c r="V966" s="18"/>
      <c r="W966" s="18"/>
      <c r="X966" s="18"/>
      <c r="Y966" s="18"/>
      <c r="Z966" s="18"/>
      <c r="AA966" s="85"/>
      <c r="AB966" s="85"/>
      <c r="AC966" s="18"/>
      <c r="AD966" s="18"/>
      <c r="AE966" s="18"/>
      <c r="AF966" s="18"/>
    </row>
    <row r="967" ht="15.75" customHeight="1">
      <c r="A967" s="18"/>
      <c r="B967" s="163"/>
      <c r="C967" s="164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8"/>
      <c r="V967" s="18"/>
      <c r="W967" s="18"/>
      <c r="X967" s="18"/>
      <c r="Y967" s="18"/>
      <c r="Z967" s="18"/>
      <c r="AA967" s="85"/>
      <c r="AB967" s="85"/>
      <c r="AC967" s="18"/>
      <c r="AD967" s="18"/>
      <c r="AE967" s="18"/>
      <c r="AF967" s="18"/>
    </row>
    <row r="968" ht="15.75" customHeight="1">
      <c r="A968" s="18"/>
      <c r="B968" s="163"/>
      <c r="C968" s="164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8"/>
      <c r="V968" s="18"/>
      <c r="W968" s="18"/>
      <c r="X968" s="18"/>
      <c r="Y968" s="18"/>
      <c r="Z968" s="18"/>
      <c r="AA968" s="85"/>
      <c r="AB968" s="85"/>
      <c r="AC968" s="18"/>
      <c r="AD968" s="18"/>
      <c r="AE968" s="18"/>
      <c r="AF968" s="18"/>
    </row>
    <row r="969" ht="15.75" customHeight="1">
      <c r="A969" s="18"/>
      <c r="B969" s="163"/>
      <c r="C969" s="164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8"/>
      <c r="V969" s="18"/>
      <c r="W969" s="18"/>
      <c r="X969" s="18"/>
      <c r="Y969" s="18"/>
      <c r="Z969" s="18"/>
      <c r="AA969" s="85"/>
      <c r="AB969" s="85"/>
      <c r="AC969" s="18"/>
      <c r="AD969" s="18"/>
      <c r="AE969" s="18"/>
      <c r="AF969" s="18"/>
    </row>
    <row r="970" ht="15.75" customHeight="1">
      <c r="A970" s="18"/>
      <c r="B970" s="163"/>
      <c r="C970" s="164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8"/>
      <c r="V970" s="18"/>
      <c r="W970" s="18"/>
      <c r="X970" s="18"/>
      <c r="Y970" s="18"/>
      <c r="Z970" s="18"/>
      <c r="AA970" s="85"/>
      <c r="AB970" s="85"/>
      <c r="AC970" s="18"/>
      <c r="AD970" s="18"/>
      <c r="AE970" s="18"/>
      <c r="AF970" s="18"/>
    </row>
    <row r="971" ht="15.75" customHeight="1">
      <c r="A971" s="18"/>
      <c r="B971" s="163"/>
      <c r="C971" s="164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8"/>
      <c r="V971" s="18"/>
      <c r="W971" s="18"/>
      <c r="X971" s="18"/>
      <c r="Y971" s="18"/>
      <c r="Z971" s="18"/>
      <c r="AA971" s="85"/>
      <c r="AB971" s="85"/>
      <c r="AC971" s="18"/>
      <c r="AD971" s="18"/>
      <c r="AE971" s="18"/>
      <c r="AF971" s="18"/>
    </row>
    <row r="972" ht="15.75" customHeight="1">
      <c r="A972" s="18"/>
      <c r="B972" s="163"/>
      <c r="C972" s="164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8"/>
      <c r="V972" s="18"/>
      <c r="W972" s="18"/>
      <c r="X972" s="18"/>
      <c r="Y972" s="18"/>
      <c r="Z972" s="18"/>
      <c r="AA972" s="85"/>
      <c r="AB972" s="85"/>
      <c r="AC972" s="18"/>
      <c r="AD972" s="18"/>
      <c r="AE972" s="18"/>
      <c r="AF972" s="18"/>
    </row>
    <row r="973" ht="15.75" customHeight="1">
      <c r="A973" s="18"/>
      <c r="B973" s="163"/>
      <c r="C973" s="164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8"/>
      <c r="V973" s="18"/>
      <c r="W973" s="18"/>
      <c r="X973" s="18"/>
      <c r="Y973" s="18"/>
      <c r="Z973" s="18"/>
      <c r="AA973" s="85"/>
      <c r="AB973" s="85"/>
      <c r="AC973" s="18"/>
      <c r="AD973" s="18"/>
      <c r="AE973" s="18"/>
      <c r="AF973" s="18"/>
    </row>
    <row r="974" ht="15.75" customHeight="1">
      <c r="A974" s="18"/>
      <c r="B974" s="163"/>
      <c r="C974" s="164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8"/>
      <c r="V974" s="18"/>
      <c r="W974" s="18"/>
      <c r="X974" s="18"/>
      <c r="Y974" s="18"/>
      <c r="Z974" s="18"/>
      <c r="AA974" s="85"/>
      <c r="AB974" s="85"/>
      <c r="AC974" s="18"/>
      <c r="AD974" s="18"/>
      <c r="AE974" s="18"/>
      <c r="AF974" s="18"/>
    </row>
    <row r="975" ht="15.75" customHeight="1">
      <c r="A975" s="18"/>
      <c r="B975" s="163"/>
      <c r="C975" s="164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8"/>
      <c r="V975" s="18"/>
      <c r="W975" s="18"/>
      <c r="X975" s="18"/>
      <c r="Y975" s="18"/>
      <c r="Z975" s="18"/>
      <c r="AA975" s="85"/>
      <c r="AB975" s="85"/>
      <c r="AC975" s="18"/>
      <c r="AD975" s="18"/>
      <c r="AE975" s="18"/>
      <c r="AF975" s="18"/>
    </row>
    <row r="976" ht="15.75" customHeight="1">
      <c r="A976" s="18"/>
      <c r="B976" s="163"/>
      <c r="C976" s="164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8"/>
      <c r="V976" s="18"/>
      <c r="W976" s="18"/>
      <c r="X976" s="18"/>
      <c r="Y976" s="18"/>
      <c r="Z976" s="18"/>
      <c r="AA976" s="85"/>
      <c r="AB976" s="85"/>
      <c r="AC976" s="18"/>
      <c r="AD976" s="18"/>
      <c r="AE976" s="18"/>
      <c r="AF976" s="18"/>
    </row>
    <row r="977" ht="15.75" customHeight="1">
      <c r="A977" s="18"/>
      <c r="B977" s="163"/>
      <c r="C977" s="164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8"/>
      <c r="V977" s="18"/>
      <c r="W977" s="18"/>
      <c r="X977" s="18"/>
      <c r="Y977" s="18"/>
      <c r="Z977" s="18"/>
      <c r="AA977" s="85"/>
      <c r="AB977" s="85"/>
      <c r="AC977" s="18"/>
      <c r="AD977" s="18"/>
      <c r="AE977" s="18"/>
      <c r="AF977" s="18"/>
    </row>
    <row r="978" ht="15.75" customHeight="1">
      <c r="A978" s="18"/>
      <c r="B978" s="163"/>
      <c r="C978" s="164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8"/>
      <c r="V978" s="18"/>
      <c r="W978" s="18"/>
      <c r="X978" s="18"/>
      <c r="Y978" s="18"/>
      <c r="Z978" s="18"/>
      <c r="AA978" s="85"/>
      <c r="AB978" s="85"/>
      <c r="AC978" s="18"/>
      <c r="AD978" s="18"/>
      <c r="AE978" s="18"/>
      <c r="AF978" s="18"/>
    </row>
    <row r="979" ht="15.75" customHeight="1">
      <c r="A979" s="18"/>
      <c r="B979" s="163"/>
      <c r="C979" s="164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8"/>
      <c r="V979" s="18"/>
      <c r="W979" s="18"/>
      <c r="X979" s="18"/>
      <c r="Y979" s="18"/>
      <c r="Z979" s="18"/>
      <c r="AA979" s="85"/>
      <c r="AB979" s="85"/>
      <c r="AC979" s="18"/>
      <c r="AD979" s="18"/>
      <c r="AE979" s="18"/>
      <c r="AF979" s="18"/>
    </row>
    <row r="980" ht="15.75" customHeight="1">
      <c r="A980" s="18"/>
      <c r="B980" s="163"/>
      <c r="C980" s="164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8"/>
      <c r="V980" s="18"/>
      <c r="W980" s="18"/>
      <c r="X980" s="18"/>
      <c r="Y980" s="18"/>
      <c r="Z980" s="18"/>
      <c r="AA980" s="85"/>
      <c r="AB980" s="85"/>
      <c r="AC980" s="18"/>
      <c r="AD980" s="18"/>
      <c r="AE980" s="18"/>
      <c r="AF980" s="18"/>
    </row>
    <row r="981" ht="15.75" customHeight="1">
      <c r="A981" s="18"/>
      <c r="B981" s="163"/>
      <c r="C981" s="164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8"/>
      <c r="V981" s="18"/>
      <c r="W981" s="18"/>
      <c r="X981" s="18"/>
      <c r="Y981" s="18"/>
      <c r="Z981" s="18"/>
      <c r="AA981" s="85"/>
      <c r="AB981" s="85"/>
      <c r="AC981" s="18"/>
      <c r="AD981" s="18"/>
      <c r="AE981" s="18"/>
      <c r="AF981" s="18"/>
    </row>
    <row r="982" ht="15.75" customHeight="1">
      <c r="A982" s="18"/>
      <c r="B982" s="163"/>
      <c r="C982" s="164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8"/>
      <c r="V982" s="18"/>
      <c r="W982" s="18"/>
      <c r="X982" s="18"/>
      <c r="Y982" s="18"/>
      <c r="Z982" s="18"/>
      <c r="AA982" s="85"/>
      <c r="AB982" s="85"/>
      <c r="AC982" s="18"/>
      <c r="AD982" s="18"/>
      <c r="AE982" s="18"/>
      <c r="AF982" s="18"/>
    </row>
    <row r="983" ht="15.75" customHeight="1">
      <c r="A983" s="18"/>
      <c r="B983" s="163"/>
      <c r="C983" s="164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8"/>
      <c r="V983" s="18"/>
      <c r="W983" s="18"/>
      <c r="X983" s="18"/>
      <c r="Y983" s="18"/>
      <c r="Z983" s="18"/>
      <c r="AA983" s="85"/>
      <c r="AB983" s="85"/>
      <c r="AC983" s="18"/>
      <c r="AD983" s="18"/>
      <c r="AE983" s="18"/>
      <c r="AF983" s="18"/>
    </row>
    <row r="984" ht="15.75" customHeight="1">
      <c r="A984" s="18"/>
      <c r="B984" s="163"/>
      <c r="C984" s="164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8"/>
      <c r="V984" s="18"/>
      <c r="W984" s="18"/>
      <c r="X984" s="18"/>
      <c r="Y984" s="18"/>
      <c r="Z984" s="18"/>
      <c r="AA984" s="85"/>
      <c r="AB984" s="85"/>
      <c r="AC984" s="18"/>
      <c r="AD984" s="18"/>
      <c r="AE984" s="18"/>
      <c r="AF984" s="18"/>
    </row>
    <row r="985" ht="15.75" customHeight="1">
      <c r="A985" s="18"/>
      <c r="B985" s="163"/>
      <c r="C985" s="164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8"/>
      <c r="V985" s="18"/>
      <c r="W985" s="18"/>
      <c r="X985" s="18"/>
      <c r="Y985" s="18"/>
      <c r="Z985" s="18"/>
      <c r="AA985" s="85"/>
      <c r="AB985" s="85"/>
      <c r="AC985" s="18"/>
      <c r="AD985" s="18"/>
      <c r="AE985" s="18"/>
      <c r="AF985" s="18"/>
    </row>
    <row r="986" ht="15.75" customHeight="1">
      <c r="A986" s="18"/>
      <c r="B986" s="163"/>
      <c r="C986" s="164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8"/>
      <c r="V986" s="18"/>
      <c r="W986" s="18"/>
      <c r="X986" s="18"/>
      <c r="Y986" s="18"/>
      <c r="Z986" s="18"/>
      <c r="AA986" s="85"/>
      <c r="AB986" s="85"/>
      <c r="AC986" s="18"/>
      <c r="AD986" s="18"/>
      <c r="AE986" s="18"/>
      <c r="AF986" s="18"/>
    </row>
    <row r="987" ht="15.75" customHeight="1">
      <c r="A987" s="18"/>
      <c r="B987" s="163"/>
      <c r="C987" s="164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8"/>
      <c r="V987" s="18"/>
      <c r="W987" s="18"/>
      <c r="X987" s="18"/>
      <c r="Y987" s="18"/>
      <c r="Z987" s="18"/>
      <c r="AA987" s="85"/>
      <c r="AB987" s="85"/>
      <c r="AC987" s="18"/>
      <c r="AD987" s="18"/>
      <c r="AE987" s="18"/>
      <c r="AF987" s="18"/>
    </row>
    <row r="988" ht="15.75" customHeight="1">
      <c r="A988" s="18"/>
      <c r="B988" s="163"/>
      <c r="C988" s="164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8"/>
      <c r="V988" s="18"/>
      <c r="W988" s="18"/>
      <c r="X988" s="18"/>
      <c r="Y988" s="18"/>
      <c r="Z988" s="18"/>
      <c r="AA988" s="85"/>
      <c r="AB988" s="85"/>
      <c r="AC988" s="18"/>
      <c r="AD988" s="18"/>
      <c r="AE988" s="18"/>
      <c r="AF988" s="18"/>
    </row>
    <row r="989" ht="15.75" customHeight="1">
      <c r="A989" s="18"/>
      <c r="B989" s="163"/>
      <c r="C989" s="164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8"/>
      <c r="V989" s="18"/>
      <c r="W989" s="18"/>
      <c r="X989" s="18"/>
      <c r="Y989" s="18"/>
      <c r="Z989" s="18"/>
      <c r="AA989" s="85"/>
      <c r="AB989" s="85"/>
      <c r="AC989" s="18"/>
      <c r="AD989" s="18"/>
      <c r="AE989" s="18"/>
      <c r="AF989" s="18"/>
    </row>
    <row r="990" ht="15.75" customHeight="1">
      <c r="A990" s="18"/>
      <c r="B990" s="163"/>
      <c r="C990" s="164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8"/>
      <c r="V990" s="18"/>
      <c r="W990" s="18"/>
      <c r="X990" s="18"/>
      <c r="Y990" s="18"/>
      <c r="Z990" s="18"/>
      <c r="AA990" s="85"/>
      <c r="AB990" s="85"/>
      <c r="AC990" s="18"/>
      <c r="AD990" s="18"/>
      <c r="AE990" s="18"/>
      <c r="AF990" s="18"/>
    </row>
    <row r="991" ht="15.75" customHeight="1">
      <c r="A991" s="18"/>
      <c r="B991" s="163"/>
      <c r="C991" s="164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8"/>
      <c r="V991" s="18"/>
      <c r="W991" s="18"/>
      <c r="X991" s="18"/>
      <c r="Y991" s="18"/>
      <c r="Z991" s="18"/>
      <c r="AA991" s="85"/>
      <c r="AB991" s="85"/>
      <c r="AC991" s="18"/>
      <c r="AD991" s="18"/>
      <c r="AE991" s="18"/>
      <c r="AF991" s="18"/>
    </row>
    <row r="992" ht="15.75" customHeight="1">
      <c r="A992" s="18"/>
      <c r="B992" s="163"/>
      <c r="C992" s="164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8"/>
      <c r="V992" s="18"/>
      <c r="W992" s="18"/>
      <c r="X992" s="18"/>
      <c r="Y992" s="18"/>
      <c r="Z992" s="18"/>
      <c r="AA992" s="85"/>
      <c r="AB992" s="85"/>
      <c r="AC992" s="18"/>
      <c r="AD992" s="18"/>
      <c r="AE992" s="18"/>
      <c r="AF992" s="18"/>
    </row>
    <row r="993" ht="15.75" customHeight="1">
      <c r="A993" s="18"/>
      <c r="B993" s="163"/>
      <c r="C993" s="164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8"/>
      <c r="V993" s="18"/>
      <c r="W993" s="18"/>
      <c r="X993" s="18"/>
      <c r="Y993" s="18"/>
      <c r="Z993" s="18"/>
      <c r="AA993" s="85"/>
      <c r="AB993" s="85"/>
      <c r="AC993" s="18"/>
      <c r="AD993" s="18"/>
      <c r="AE993" s="18"/>
      <c r="AF993" s="18"/>
    </row>
    <row r="994" ht="15.75" customHeight="1">
      <c r="A994" s="18"/>
      <c r="B994" s="163"/>
      <c r="C994" s="164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8"/>
      <c r="V994" s="18"/>
      <c r="W994" s="18"/>
      <c r="X994" s="18"/>
      <c r="Y994" s="18"/>
      <c r="Z994" s="18"/>
      <c r="AA994" s="85"/>
      <c r="AB994" s="85"/>
      <c r="AC994" s="18"/>
      <c r="AD994" s="18"/>
      <c r="AE994" s="18"/>
      <c r="AF994" s="18"/>
    </row>
    <row r="995" ht="15.75" customHeight="1">
      <c r="A995" s="18"/>
      <c r="B995" s="163"/>
      <c r="C995" s="164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8"/>
      <c r="V995" s="18"/>
      <c r="W995" s="18"/>
      <c r="X995" s="18"/>
      <c r="Y995" s="18"/>
      <c r="Z995" s="18"/>
      <c r="AA995" s="85"/>
      <c r="AB995" s="85"/>
      <c r="AC995" s="18"/>
      <c r="AD995" s="18"/>
      <c r="AE995" s="18"/>
      <c r="AF995" s="18"/>
    </row>
    <row r="996" ht="15.75" customHeight="1">
      <c r="A996" s="18"/>
      <c r="B996" s="163"/>
      <c r="C996" s="164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8"/>
      <c r="V996" s="18"/>
      <c r="W996" s="18"/>
      <c r="X996" s="18"/>
      <c r="Y996" s="18"/>
      <c r="Z996" s="18"/>
      <c r="AA996" s="85"/>
      <c r="AB996" s="85"/>
      <c r="AC996" s="18"/>
      <c r="AD996" s="18"/>
      <c r="AE996" s="18"/>
      <c r="AF996" s="18"/>
    </row>
    <row r="997" ht="15.75" customHeight="1">
      <c r="A997" s="18"/>
      <c r="B997" s="163"/>
      <c r="C997" s="164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8"/>
      <c r="V997" s="18"/>
      <c r="W997" s="18"/>
      <c r="X997" s="18"/>
      <c r="Y997" s="18"/>
      <c r="Z997" s="18"/>
      <c r="AA997" s="85"/>
      <c r="AB997" s="85"/>
      <c r="AC997" s="18"/>
      <c r="AD997" s="18"/>
      <c r="AE997" s="18"/>
      <c r="AF997" s="18"/>
    </row>
    <row r="998" ht="15.75" customHeight="1">
      <c r="A998" s="18"/>
      <c r="B998" s="163"/>
      <c r="C998" s="164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8"/>
      <c r="V998" s="18"/>
      <c r="W998" s="18"/>
      <c r="X998" s="18"/>
      <c r="Y998" s="18"/>
      <c r="Z998" s="18"/>
      <c r="AA998" s="85"/>
      <c r="AB998" s="85"/>
      <c r="AC998" s="18"/>
      <c r="AD998" s="18"/>
      <c r="AE998" s="18"/>
      <c r="AF998" s="18"/>
    </row>
    <row r="999" ht="15.75" customHeight="1">
      <c r="A999" s="18"/>
      <c r="B999" s="163"/>
      <c r="C999" s="164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8"/>
      <c r="V999" s="18"/>
      <c r="W999" s="18"/>
      <c r="X999" s="18"/>
      <c r="Y999" s="18"/>
      <c r="Z999" s="18"/>
      <c r="AA999" s="85"/>
      <c r="AB999" s="85"/>
      <c r="AC999" s="18"/>
      <c r="AD999" s="18"/>
      <c r="AE999" s="18"/>
      <c r="AF999" s="18"/>
    </row>
    <row r="1000" ht="15.75" customHeight="1">
      <c r="A1000" s="18"/>
      <c r="B1000" s="163"/>
      <c r="C1000" s="164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8"/>
      <c r="V1000" s="18"/>
      <c r="W1000" s="18"/>
      <c r="X1000" s="18"/>
      <c r="Y1000" s="18"/>
      <c r="Z1000" s="18"/>
      <c r="AA1000" s="85"/>
      <c r="AB1000" s="85"/>
      <c r="AC1000" s="18"/>
      <c r="AD1000" s="18"/>
      <c r="AE1000" s="18"/>
      <c r="AF1000" s="18"/>
    </row>
  </sheetData>
  <mergeCells count="324">
    <mergeCell ref="R124:S124"/>
    <mergeCell ref="T124:U124"/>
    <mergeCell ref="B119:Y120"/>
    <mergeCell ref="B122:Y123"/>
    <mergeCell ref="D124:E124"/>
    <mergeCell ref="F124:G124"/>
    <mergeCell ref="H124:I124"/>
    <mergeCell ref="J124:K124"/>
    <mergeCell ref="L124:M124"/>
    <mergeCell ref="V124:W124"/>
    <mergeCell ref="N124:O124"/>
    <mergeCell ref="P124:Q124"/>
    <mergeCell ref="B125:B126"/>
    <mergeCell ref="C125:C126"/>
    <mergeCell ref="P125:P126"/>
    <mergeCell ref="Q125:Q126"/>
    <mergeCell ref="R125:R126"/>
    <mergeCell ref="S125:S126"/>
    <mergeCell ref="T125:T126"/>
    <mergeCell ref="U125:U126"/>
    <mergeCell ref="V125:V126"/>
    <mergeCell ref="W125:W126"/>
    <mergeCell ref="P127:P128"/>
    <mergeCell ref="Q127:Q128"/>
    <mergeCell ref="B133:B134"/>
    <mergeCell ref="B135:B136"/>
    <mergeCell ref="B127:B128"/>
    <mergeCell ref="C127:C128"/>
    <mergeCell ref="B129:B130"/>
    <mergeCell ref="C129:C130"/>
    <mergeCell ref="B131:B132"/>
    <mergeCell ref="C131:C132"/>
    <mergeCell ref="C133:C134"/>
    <mergeCell ref="C135:C136"/>
    <mergeCell ref="V127:V128"/>
    <mergeCell ref="W127:W128"/>
    <mergeCell ref="V129:V130"/>
    <mergeCell ref="W129:W130"/>
    <mergeCell ref="V131:V132"/>
    <mergeCell ref="W131:W132"/>
    <mergeCell ref="V133:V134"/>
    <mergeCell ref="W133:W134"/>
    <mergeCell ref="W135:W136"/>
    <mergeCell ref="A137:Y137"/>
    <mergeCell ref="B138:Y139"/>
    <mergeCell ref="B150:Y151"/>
    <mergeCell ref="B158:Y159"/>
    <mergeCell ref="Y162:Y163"/>
    <mergeCell ref="B162:W163"/>
    <mergeCell ref="A168:Y168"/>
    <mergeCell ref="A169:Y169"/>
    <mergeCell ref="B170:Y171"/>
    <mergeCell ref="B173:Y174"/>
    <mergeCell ref="B183:Y184"/>
    <mergeCell ref="B187:Y188"/>
    <mergeCell ref="B197:Y198"/>
    <mergeCell ref="B211:Y212"/>
    <mergeCell ref="B225:Y226"/>
    <mergeCell ref="A233:Y233"/>
    <mergeCell ref="B234:Y235"/>
    <mergeCell ref="B242:Y243"/>
    <mergeCell ref="B250:Y251"/>
    <mergeCell ref="B258:Y259"/>
    <mergeCell ref="B266:Y267"/>
    <mergeCell ref="B274:Y275"/>
    <mergeCell ref="B278:Y279"/>
    <mergeCell ref="B283:Y284"/>
    <mergeCell ref="B289:Y290"/>
    <mergeCell ref="B295:Y296"/>
    <mergeCell ref="R305:S305"/>
    <mergeCell ref="T305:U305"/>
    <mergeCell ref="A303:Y303"/>
    <mergeCell ref="A304:Y304"/>
    <mergeCell ref="D305:E305"/>
    <mergeCell ref="F305:G305"/>
    <mergeCell ref="H305:I305"/>
    <mergeCell ref="J305:K305"/>
    <mergeCell ref="L305:M305"/>
    <mergeCell ref="V305:W305"/>
    <mergeCell ref="J307:K307"/>
    <mergeCell ref="L307:M307"/>
    <mergeCell ref="N307:O307"/>
    <mergeCell ref="P307:Q307"/>
    <mergeCell ref="R307:S308"/>
    <mergeCell ref="T307:U308"/>
    <mergeCell ref="V307:W308"/>
    <mergeCell ref="N305:O305"/>
    <mergeCell ref="P305:Q305"/>
    <mergeCell ref="B306:B308"/>
    <mergeCell ref="C306:C308"/>
    <mergeCell ref="D307:E307"/>
    <mergeCell ref="F307:G307"/>
    <mergeCell ref="H307:I307"/>
    <mergeCell ref="R309:S309"/>
    <mergeCell ref="T309:U309"/>
    <mergeCell ref="V309:W309"/>
    <mergeCell ref="D309:E309"/>
    <mergeCell ref="F309:G309"/>
    <mergeCell ref="H309:I309"/>
    <mergeCell ref="J309:K309"/>
    <mergeCell ref="L309:M309"/>
    <mergeCell ref="N309:O309"/>
    <mergeCell ref="P309:Q309"/>
    <mergeCell ref="N311:O311"/>
    <mergeCell ref="P311:Q311"/>
    <mergeCell ref="R311:S312"/>
    <mergeCell ref="T311:U312"/>
    <mergeCell ref="V311:W312"/>
    <mergeCell ref="B310:B312"/>
    <mergeCell ref="C310:C312"/>
    <mergeCell ref="D311:E311"/>
    <mergeCell ref="F311:G311"/>
    <mergeCell ref="H311:I311"/>
    <mergeCell ref="J311:K311"/>
    <mergeCell ref="L311:M311"/>
    <mergeCell ref="R313:S313"/>
    <mergeCell ref="T313:U313"/>
    <mergeCell ref="V313:W313"/>
    <mergeCell ref="D313:E313"/>
    <mergeCell ref="F313:G313"/>
    <mergeCell ref="H313:I313"/>
    <mergeCell ref="J313:K313"/>
    <mergeCell ref="L313:M313"/>
    <mergeCell ref="N313:O313"/>
    <mergeCell ref="P313:Q313"/>
    <mergeCell ref="N315:O315"/>
    <mergeCell ref="P315:Q315"/>
    <mergeCell ref="R315:S316"/>
    <mergeCell ref="T315:U316"/>
    <mergeCell ref="V315:W316"/>
    <mergeCell ref="A317:Y317"/>
    <mergeCell ref="A318:Y318"/>
    <mergeCell ref="R319:S319"/>
    <mergeCell ref="T319:U319"/>
    <mergeCell ref="V319:W319"/>
    <mergeCell ref="D319:E319"/>
    <mergeCell ref="F319:G319"/>
    <mergeCell ref="H319:I319"/>
    <mergeCell ref="J319:K319"/>
    <mergeCell ref="L319:M319"/>
    <mergeCell ref="N319:O319"/>
    <mergeCell ref="P319:Q319"/>
    <mergeCell ref="B314:B316"/>
    <mergeCell ref="C314:C316"/>
    <mergeCell ref="D315:E315"/>
    <mergeCell ref="F315:G315"/>
    <mergeCell ref="H315:I315"/>
    <mergeCell ref="J315:K315"/>
    <mergeCell ref="L315:M315"/>
    <mergeCell ref="N321:O321"/>
    <mergeCell ref="P321:Q321"/>
    <mergeCell ref="R321:S321"/>
    <mergeCell ref="T321:U321"/>
    <mergeCell ref="V321:W321"/>
    <mergeCell ref="A21:A22"/>
    <mergeCell ref="A26:A27"/>
    <mergeCell ref="A31:A32"/>
    <mergeCell ref="A36:A37"/>
    <mergeCell ref="A41:A42"/>
    <mergeCell ref="A46:A47"/>
    <mergeCell ref="A51:A52"/>
    <mergeCell ref="A56:A57"/>
    <mergeCell ref="A62:A63"/>
    <mergeCell ref="A69:A70"/>
    <mergeCell ref="A73:A74"/>
    <mergeCell ref="A78:A79"/>
    <mergeCell ref="A83:A84"/>
    <mergeCell ref="A92:A93"/>
    <mergeCell ref="A98:A99"/>
    <mergeCell ref="A104:A105"/>
    <mergeCell ref="A107:A108"/>
    <mergeCell ref="A113:A114"/>
    <mergeCell ref="A116:A117"/>
    <mergeCell ref="A119:A120"/>
    <mergeCell ref="A122:A123"/>
    <mergeCell ref="A125:A126"/>
    <mergeCell ref="A127:A128"/>
    <mergeCell ref="A129:A130"/>
    <mergeCell ref="A131:A132"/>
    <mergeCell ref="A133:A134"/>
    <mergeCell ref="A135:A136"/>
    <mergeCell ref="A138:A139"/>
    <mergeCell ref="A150:A151"/>
    <mergeCell ref="A158:A159"/>
    <mergeCell ref="A162:A163"/>
    <mergeCell ref="A170:A171"/>
    <mergeCell ref="A173:A174"/>
    <mergeCell ref="A183:A184"/>
    <mergeCell ref="A187:A188"/>
    <mergeCell ref="A266:A267"/>
    <mergeCell ref="A274:A275"/>
    <mergeCell ref="A278:A279"/>
    <mergeCell ref="A283:A284"/>
    <mergeCell ref="A289:A290"/>
    <mergeCell ref="A295:A296"/>
    <mergeCell ref="A306:A308"/>
    <mergeCell ref="A320:A328"/>
    <mergeCell ref="A197:A198"/>
    <mergeCell ref="A211:A212"/>
    <mergeCell ref="A225:A226"/>
    <mergeCell ref="A234:A235"/>
    <mergeCell ref="A242:A243"/>
    <mergeCell ref="A250:A251"/>
    <mergeCell ref="A258:A259"/>
    <mergeCell ref="B31:Y32"/>
    <mergeCell ref="B36:Y37"/>
    <mergeCell ref="B41:Y42"/>
    <mergeCell ref="B46:Y47"/>
    <mergeCell ref="B51:Y52"/>
    <mergeCell ref="B56:Y57"/>
    <mergeCell ref="A61:Y61"/>
    <mergeCell ref="B62:Y63"/>
    <mergeCell ref="B69:Y70"/>
    <mergeCell ref="B73:Y74"/>
    <mergeCell ref="B78:Y79"/>
    <mergeCell ref="B83:Y84"/>
    <mergeCell ref="A91:Y91"/>
    <mergeCell ref="B92:Y93"/>
    <mergeCell ref="J4:K4"/>
    <mergeCell ref="L4:M4"/>
    <mergeCell ref="J5:K5"/>
    <mergeCell ref="L5:M5"/>
    <mergeCell ref="N4:O4"/>
    <mergeCell ref="P4:Q4"/>
    <mergeCell ref="N5:O5"/>
    <mergeCell ref="P5:Q5"/>
    <mergeCell ref="R4:S4"/>
    <mergeCell ref="T4:U4"/>
    <mergeCell ref="R5:S5"/>
    <mergeCell ref="T5:U5"/>
    <mergeCell ref="V5:W5"/>
    <mergeCell ref="N1:O1"/>
    <mergeCell ref="U1:Y1"/>
    <mergeCell ref="A3:A4"/>
    <mergeCell ref="B3:B4"/>
    <mergeCell ref="C3:C4"/>
    <mergeCell ref="D3:W3"/>
    <mergeCell ref="D4:E4"/>
    <mergeCell ref="F4:G4"/>
    <mergeCell ref="H4:I4"/>
    <mergeCell ref="D5:E5"/>
    <mergeCell ref="F5:G5"/>
    <mergeCell ref="H5:I5"/>
    <mergeCell ref="A8:A9"/>
    <mergeCell ref="A16:A17"/>
    <mergeCell ref="V4:W4"/>
    <mergeCell ref="A6:Y6"/>
    <mergeCell ref="A7:Y7"/>
    <mergeCell ref="B8:Y9"/>
    <mergeCell ref="B16:Y17"/>
    <mergeCell ref="B21:Y22"/>
    <mergeCell ref="B26:Y27"/>
    <mergeCell ref="B98:Y99"/>
    <mergeCell ref="A102:Y102"/>
    <mergeCell ref="A103:Y103"/>
    <mergeCell ref="B104:Y105"/>
    <mergeCell ref="B107:Y108"/>
    <mergeCell ref="B113:Y114"/>
    <mergeCell ref="B116:Y117"/>
    <mergeCell ref="Q131:Q132"/>
    <mergeCell ref="R131:R132"/>
    <mergeCell ref="R127:R128"/>
    <mergeCell ref="S127:S128"/>
    <mergeCell ref="P129:P130"/>
    <mergeCell ref="Q129:Q130"/>
    <mergeCell ref="R129:R130"/>
    <mergeCell ref="S129:S130"/>
    <mergeCell ref="P131:P132"/>
    <mergeCell ref="S131:S132"/>
    <mergeCell ref="S133:S134"/>
    <mergeCell ref="T133:T134"/>
    <mergeCell ref="T127:T128"/>
    <mergeCell ref="U127:U128"/>
    <mergeCell ref="T129:T130"/>
    <mergeCell ref="U129:U130"/>
    <mergeCell ref="T131:T132"/>
    <mergeCell ref="U131:U132"/>
    <mergeCell ref="P133:P134"/>
    <mergeCell ref="U133:U134"/>
    <mergeCell ref="U135:U136"/>
    <mergeCell ref="V135:V136"/>
    <mergeCell ref="Q133:Q134"/>
    <mergeCell ref="R133:R134"/>
    <mergeCell ref="P135:P136"/>
    <mergeCell ref="Q135:Q136"/>
    <mergeCell ref="R135:R136"/>
    <mergeCell ref="S135:S136"/>
    <mergeCell ref="T135:T136"/>
    <mergeCell ref="D323:E323"/>
    <mergeCell ref="F323:G323"/>
    <mergeCell ref="H323:I323"/>
    <mergeCell ref="J323:K323"/>
    <mergeCell ref="N323:O323"/>
    <mergeCell ref="P323:Q323"/>
    <mergeCell ref="R323:S323"/>
    <mergeCell ref="T323:U323"/>
    <mergeCell ref="V323:W323"/>
    <mergeCell ref="D321:E321"/>
    <mergeCell ref="D325:E325"/>
    <mergeCell ref="F325:G325"/>
    <mergeCell ref="H325:I325"/>
    <mergeCell ref="J325:K325"/>
    <mergeCell ref="L325:M325"/>
    <mergeCell ref="N325:O325"/>
    <mergeCell ref="P325:Q325"/>
    <mergeCell ref="R325:S325"/>
    <mergeCell ref="T325:U325"/>
    <mergeCell ref="V325:W325"/>
    <mergeCell ref="B320:B328"/>
    <mergeCell ref="C320:C328"/>
    <mergeCell ref="F321:G321"/>
    <mergeCell ref="H321:I321"/>
    <mergeCell ref="J321:K321"/>
    <mergeCell ref="L321:M321"/>
    <mergeCell ref="L323:M323"/>
    <mergeCell ref="P331:Q331"/>
    <mergeCell ref="R331:S331"/>
    <mergeCell ref="D327:E327"/>
    <mergeCell ref="F327:G327"/>
    <mergeCell ref="D329:E329"/>
    <mergeCell ref="B331:C331"/>
    <mergeCell ref="D331:E331"/>
    <mergeCell ref="F331:G331"/>
    <mergeCell ref="H331:O331"/>
  </mergeCells>
  <conditionalFormatting sqref="A10:C10 A11:E12 A13:C61 A62:A63 A64:C64 A65:I68 A69:Y70 A71:C71 A72:I72 A73:Y74 A75:C75 A76:I77 A78:B78 A80:A328 B80:B83 B85:C85 B86:K90 B92 B94:B98 B104 B106:B107 B109:B113 B115:B116 B118:B119 B121:B122 B124:C126 B127:O136 B138 B140:B150 B152:B158 B160:B162 B164:C164 B165:X167 B170 B172:B173 B175:B183 B185:B187 B189:B197 B199:B211 B213:B225 B227:C227 B228:K232 B234 B236:B242 B244:B250 B252:B258 B260:B266 B268:C268 B269:K273 B276:B278 B280:B283 B285:B289 B291:B295 B297:C297 B298:K302 B305:C316 B319:C328 C80 C81:G82 C94 C95:K96 C97:E97 C100 C101:K101 C106 C109 C110:G112 C115 C118 C121 C140:C149 C152 C153:I157 C160 C161:I161 C172 C175 C176:K182 C185 C186:K186 C189 C190:K196 C199 C200:K210 C213 C214:K224 C236 C237:K241 C244 C245:K249 C252 C253:K257 C260 C261:K265 C276 C277:K277 C280 C281:K282 C285 C286:K288 C291 C292:K294 D12:E14 D15:Q15 D16:Y17 D19:I20 D21:Y22 D24:K25 D26:Y27 D29:E30 D31:Y32 D34:E35 D36:Y37 D39:E40 D41:Y42 D44:E45 D46:Y47 D49:E50 D51:Y52 D54:E55 D56:Y57 D59:E60 D61:Y61 E28 E33 E38 E43 E48 E53 E58 F11:Q14 F327:Y328 G28:Y30 G33:Y35 G38:Y40 G43:Y45 G48:Y50 G53:Y55 G58:Y60 G80 G97:K97 G106:Y106 G109 G115:Y115 G118:Y118 G121:Y121 I18 I64 I71 I75 I80:Y82 I109:Y112 I160 K18:Y20 K23 K64:Y68 K71:Y72 K75:Y77 K85 K94 K100 K152:Y157 K160:Y161 K172:Y172 K175 K185 K189 K199 K213 K227 K236 K244 K252 K260 K268 K276 K280 K285 K291 K297 M23:Y25 M85:X85 M86:Y90 M94:Y97 M100:Y101 M175:Y182 M185:Y186 M189:Y196 M199:Y210 M213:Y224 M227:Y232 M236:Y241 M244:Y249 M252:Y257 M260:Y265 M268:Y273 M276:Y277 M280:Y282 M285:Y288 M291:Y294 M297:Y302 N140:Y149 P127:S127 P129:S129 P131:S131 P133:S133 P135:S135 R10:Y10 S11:Y15 X124:Y136 X310 X314:X316 X319:Y326 Y162:Y167 Y305:Y316">
    <cfRule type="expression" dxfId="0" priority="1" stopIfTrue="1">
      <formula>NOT(ISERROR(SEARCH("КР",A10)))</formula>
    </cfRule>
  </conditionalFormatting>
  <conditionalFormatting sqref="A10:C10 A11:E12 A13:C61 A62:A63 A64:C64 A65:I68 A69:Y70 A71:C71 A72:I72 A73:Y74 A75:C75 A76:I77 A78:B78 A80:A328 B80:B83 B85:C85 B86:K90 B92 B94:B98 B104 B106:B107 B109:B113 B115:B116 B118:B119 B121:B122 B124:C126 B127:O136 B138 B140:B150 B152:B158 B160:B162 B164:C164 B165:X167 B170 B172:B173 B175:B183 B185:B187 B189:B197 B199:B211 B213:B225 B227:C227 B228:K232 B234 B236:B242 B244:B250 B252:B258 B260:B266 B268:C268 B269:K273 B276:B278 B280:B283 B285:B289 B291:B295 B297:C297 B298:K302 B305:C316 B319:C328 C80 C81:G82 C94 C95:K96 C97:E97 C100 C101:K101 C106 C109 C110:G112 C115 C118 C121 C140:C149 C152 C153:I157 C160 C161:I161 C172 C175 C176:K182 C185 C186:K186 C189 C190:K196 C199 C200:K210 C213 C214:K224 C236 C237:K241 C244 C245:K249 C252 C253:K257 C260 C261:K265 C276 C277:K277 C280 C281:K282 C285 C286:K288 C291 C292:K294 D12:E14 D15:Q15 D16:Y17 D19:I20 D21:Y22 D24:K25 D26:Y27 D29:E30 D31:Y32 D34:E35 D36:Y37 D39:E40 D41:Y42 D44:E45 D46:Y47 D49:E50 D51:Y52 D54:E55 D56:Y57 D59:E60 D61:Y61 E28 E33 E38 E43 E48 E53 E58 F11:Q14 F327:Y328 G28:Y30 G33:Y35 G38:Y40 G43:Y45 G48:Y50 G53:Y55 G58:Y60 G80 G97:K97 G106:Y106 G109 G115:Y115 G118:Y118 G121:Y121 I18 I64 I71 I75 I80:Y82 I109:Y112 I160 K18:Y20 K23 K64:Y68 K71:Y72 K75:Y77 K85 K94 K100 K152:Y157 K160:Y161 K172:Y172 K175 K185 K189 K199 K213 K227 K236 K244 K252 K260 K268 K276 K280 K285 K291 K297 M23:Y25 M85:X85 M86:Y90 M94:Y97 M100:Y101 M175:Y182 M185:Y186 M189:Y196 M199:Y210 M213:Y224 M227:Y232 M236:Y241 M244:Y249 M252:Y257 M260:Y265 M268:Y273 M276:Y277 M280:Y282 M285:Y288 M291:Y294 M297:Y302 N140:Y149 P127:S127 P129:S129 P131:S131 P133:S133 P135:S135 R10:Y10 S11:Y15 X124:Y136 X310 X314:X316 X319:Y326 Y162:Y167 Y305:Y316">
    <cfRule type="expression" dxfId="1" priority="2" stopIfTrue="1">
      <formula>NOT(ISERROR(SEARCH(TODAY(),A10)))</formula>
    </cfRule>
  </conditionalFormatting>
  <conditionalFormatting sqref="Q10">
    <cfRule type="expression" dxfId="0" priority="3" stopIfTrue="1">
      <formula>NOT(ISERROR(SEARCH("КР",Q10)))</formula>
    </cfRule>
  </conditionalFormatting>
  <conditionalFormatting sqref="Q10">
    <cfRule type="expression" dxfId="1" priority="4" stopIfTrue="1">
      <formula>NOT(ISERROR(SEARCH(TODAY(),Q10)))</formula>
    </cfRule>
  </conditionalFormatting>
  <conditionalFormatting sqref="B62:Y63">
    <cfRule type="expression" dxfId="0" priority="5" stopIfTrue="1">
      <formula>NOT(ISERROR(SEARCH("КР",B62)))</formula>
    </cfRule>
  </conditionalFormatting>
  <conditionalFormatting sqref="B62:Y63">
    <cfRule type="expression" dxfId="1" priority="6" stopIfTrue="1">
      <formula>NOT(ISERROR(SEARCH(TODAY(),B62)))</formula>
    </cfRule>
  </conditionalFormatting>
  <conditionalFormatting sqref="B100:B101">
    <cfRule type="expression" dxfId="0" priority="7" stopIfTrue="1">
      <formula>NOT(ISERROR(SEARCH("КР",B100)))</formula>
    </cfRule>
  </conditionalFormatting>
  <conditionalFormatting sqref="B100:B101">
    <cfRule type="expression" dxfId="1" priority="8" stopIfTrue="1">
      <formula>NOT(ISERROR(SEARCH(TODAY(),B100)))</formula>
    </cfRule>
  </conditionalFormatting>
  <conditionalFormatting sqref="T127:W127 T129:W129 T131:W131 T133:W133 T135:W135">
    <cfRule type="expression" dxfId="0" priority="9" stopIfTrue="1">
      <formula>NOT(ISERROR(SEARCH("КР",T127)))</formula>
    </cfRule>
  </conditionalFormatting>
  <conditionalFormatting sqref="T127:W127 T129:W129 T131:W131 T133:W133 T135:W135">
    <cfRule type="expression" dxfId="1" priority="10" stopIfTrue="1">
      <formula>NOT(ISERROR(SEARCH(TODAY(),T127)))</formula>
    </cfRule>
  </conditionalFormatting>
  <conditionalFormatting sqref="D141:M149 M140">
    <cfRule type="expression" dxfId="0" priority="11" stopIfTrue="1">
      <formula>NOT(ISERROR(SEARCH("КР",D140)))</formula>
    </cfRule>
  </conditionalFormatting>
  <conditionalFormatting sqref="D141:M149 M140">
    <cfRule type="expression" dxfId="1" priority="12" stopIfTrue="1">
      <formula>NOT(ISERROR(SEARCH(TODAY(),D140)))</formula>
    </cfRule>
  </conditionalFormatting>
  <conditionalFormatting sqref="I152">
    <cfRule type="expression" dxfId="0" priority="13" stopIfTrue="1">
      <formula>NOT(ISERROR(SEARCH("КР",I152)))</formula>
    </cfRule>
  </conditionalFormatting>
  <conditionalFormatting sqref="I152">
    <cfRule type="expression" dxfId="1" priority="14" stopIfTrue="1">
      <formula>NOT(ISERROR(SEARCH(TODAY(),I152)))</formula>
    </cfRule>
  </conditionalFormatting>
  <conditionalFormatting sqref="D252:J252">
    <cfRule type="expression" dxfId="0" priority="15" stopIfTrue="1">
      <formula>NOT(ISERROR(SEARCH("КР",D252)))</formula>
    </cfRule>
  </conditionalFormatting>
  <conditionalFormatting sqref="D252:J252">
    <cfRule type="expression" dxfId="1" priority="16" stopIfTrue="1">
      <formula>NOT(ISERROR(SEARCH(TODAY(),D252)))</formula>
    </cfRule>
  </conditionalFormatting>
  <conditionalFormatting sqref="B274">
    <cfRule type="expression" dxfId="0" priority="17" stopIfTrue="1">
      <formula>NOT(ISERROR(SEARCH("КР",B274)))</formula>
    </cfRule>
  </conditionalFormatting>
  <conditionalFormatting sqref="B274">
    <cfRule type="expression" dxfId="1" priority="18" stopIfTrue="1">
      <formula>NOT(ISERROR(SEARCH(TODAY(),B274)))</formula>
    </cfRule>
  </conditionalFormatting>
  <conditionalFormatting sqref="X306">
    <cfRule type="expression" dxfId="0" priority="19" stopIfTrue="1">
      <formula>NOT(ISERROR(SEARCH("КР",X306)))</formula>
    </cfRule>
  </conditionalFormatting>
  <conditionalFormatting sqref="X306">
    <cfRule type="expression" dxfId="1" priority="20" stopIfTrue="1">
      <formula>NOT(ISERROR(SEARCH(TODAY(),X306)))</formula>
    </cfRule>
  </conditionalFormatting>
  <conditionalFormatting sqref="D320:W322 F319:W319">
    <cfRule type="expression" dxfId="0" priority="21" stopIfTrue="1">
      <formula>NOT(ISERROR(SEARCH("КР",D319)))</formula>
    </cfRule>
  </conditionalFormatting>
  <conditionalFormatting sqref="D320:W322 F319:W319">
    <cfRule type="expression" dxfId="1" priority="22" stopIfTrue="1">
      <formula>NOT(ISERROR(SEARCH(TODAY(),D319)))</formula>
    </cfRule>
  </conditionalFormatting>
  <conditionalFormatting sqref="D323:W326">
    <cfRule type="expression" dxfId="0" priority="23" stopIfTrue="1">
      <formula>NOT(ISERROR(SEARCH("КР",D323)))</formula>
    </cfRule>
  </conditionalFormatting>
  <conditionalFormatting sqref="D323:W326">
    <cfRule type="expression" dxfId="1" priority="24" stopIfTrue="1">
      <formula>NOT(ISERROR(SEARCH(TODAY(),D323)))</formula>
    </cfRule>
  </conditionalFormatting>
  <conditionalFormatting sqref="D327:E328">
    <cfRule type="expression" dxfId="0" priority="25" stopIfTrue="1">
      <formula>NOT(ISERROR(SEARCH("КР",D327)))</formula>
    </cfRule>
  </conditionalFormatting>
  <conditionalFormatting sqref="D327:E328">
    <cfRule type="expression" dxfId="1" priority="26" stopIfTrue="1">
      <formula>NOT(ISERROR(SEARCH(TODAY(),D327)))</formula>
    </cfRule>
  </conditionalFormatting>
  <conditionalFormatting sqref="D10:P10">
    <cfRule type="expression" dxfId="0" priority="27" stopIfTrue="1">
      <formula>NOT(ISERROR(SEARCH("КР",D10)))</formula>
    </cfRule>
  </conditionalFormatting>
  <conditionalFormatting sqref="D10:P10">
    <cfRule type="expression" dxfId="1" priority="28" stopIfTrue="1">
      <formula>NOT(ISERROR(SEARCH(TODAY(),D10)))</formula>
    </cfRule>
  </conditionalFormatting>
  <conditionalFormatting sqref="D18:H18">
    <cfRule type="expression" dxfId="0" priority="29" stopIfTrue="1">
      <formula>NOT(ISERROR(SEARCH("КР",D18)))</formula>
    </cfRule>
  </conditionalFormatting>
  <conditionalFormatting sqref="D18:H18">
    <cfRule type="expression" dxfId="1" priority="30" stopIfTrue="1">
      <formula>NOT(ISERROR(SEARCH(TODAY(),D18)))</formula>
    </cfRule>
  </conditionalFormatting>
  <conditionalFormatting sqref="D23:J23">
    <cfRule type="expression" dxfId="0" priority="31" stopIfTrue="1">
      <formula>NOT(ISERROR(SEARCH("КР",D23)))</formula>
    </cfRule>
  </conditionalFormatting>
  <conditionalFormatting sqref="D23:J23">
    <cfRule type="expression" dxfId="1" priority="32" stopIfTrue="1">
      <formula>NOT(ISERROR(SEARCH(TODAY(),D23)))</formula>
    </cfRule>
  </conditionalFormatting>
  <conditionalFormatting sqref="D28">
    <cfRule type="expression" dxfId="0" priority="33" stopIfTrue="1">
      <formula>NOT(ISERROR(SEARCH("КР",D28)))</formula>
    </cfRule>
  </conditionalFormatting>
  <conditionalFormatting sqref="D28">
    <cfRule type="expression" dxfId="1" priority="34" stopIfTrue="1">
      <formula>NOT(ISERROR(SEARCH(TODAY(),D28)))</formula>
    </cfRule>
  </conditionalFormatting>
  <conditionalFormatting sqref="D33">
    <cfRule type="expression" dxfId="0" priority="35" stopIfTrue="1">
      <formula>NOT(ISERROR(SEARCH("КР",D33)))</formula>
    </cfRule>
  </conditionalFormatting>
  <conditionalFormatting sqref="D33">
    <cfRule type="expression" dxfId="1" priority="36" stopIfTrue="1">
      <formula>NOT(ISERROR(SEARCH(TODAY(),D33)))</formula>
    </cfRule>
  </conditionalFormatting>
  <conditionalFormatting sqref="D38">
    <cfRule type="expression" dxfId="0" priority="37" stopIfTrue="1">
      <formula>NOT(ISERROR(SEARCH("КР",D38)))</formula>
    </cfRule>
  </conditionalFormatting>
  <conditionalFormatting sqref="D38">
    <cfRule type="expression" dxfId="1" priority="38" stopIfTrue="1">
      <formula>NOT(ISERROR(SEARCH(TODAY(),D38)))</formula>
    </cfRule>
  </conditionalFormatting>
  <conditionalFormatting sqref="D43">
    <cfRule type="expression" dxfId="0" priority="39" stopIfTrue="1">
      <formula>NOT(ISERROR(SEARCH("КР",D43)))</formula>
    </cfRule>
  </conditionalFormatting>
  <conditionalFormatting sqref="D43">
    <cfRule type="expression" dxfId="1" priority="40" stopIfTrue="1">
      <formula>NOT(ISERROR(SEARCH(TODAY(),D43)))</formula>
    </cfRule>
  </conditionalFormatting>
  <conditionalFormatting sqref="D48">
    <cfRule type="expression" dxfId="0" priority="41" stopIfTrue="1">
      <formula>NOT(ISERROR(SEARCH("КР",D48)))</formula>
    </cfRule>
  </conditionalFormatting>
  <conditionalFormatting sqref="D48">
    <cfRule type="expression" dxfId="1" priority="42" stopIfTrue="1">
      <formula>NOT(ISERROR(SEARCH(TODAY(),D48)))</formula>
    </cfRule>
  </conditionalFormatting>
  <conditionalFormatting sqref="D53">
    <cfRule type="expression" dxfId="0" priority="43" stopIfTrue="1">
      <formula>NOT(ISERROR(SEARCH("КР",D53)))</formula>
    </cfRule>
  </conditionalFormatting>
  <conditionalFormatting sqref="D53">
    <cfRule type="expression" dxfId="1" priority="44" stopIfTrue="1">
      <formula>NOT(ISERROR(SEARCH(TODAY(),D53)))</formula>
    </cfRule>
  </conditionalFormatting>
  <conditionalFormatting sqref="D58">
    <cfRule type="expression" dxfId="0" priority="45" stopIfTrue="1">
      <formula>NOT(ISERROR(SEARCH("КР",D58)))</formula>
    </cfRule>
  </conditionalFormatting>
  <conditionalFormatting sqref="D58">
    <cfRule type="expression" dxfId="1" priority="46" stopIfTrue="1">
      <formula>NOT(ISERROR(SEARCH(TODAY(),D58)))</formula>
    </cfRule>
  </conditionalFormatting>
  <conditionalFormatting sqref="D64:H64">
    <cfRule type="expression" dxfId="0" priority="47" stopIfTrue="1">
      <formula>NOT(ISERROR(SEARCH("КР",D64)))</formula>
    </cfRule>
  </conditionalFormatting>
  <conditionalFormatting sqref="D64:H64">
    <cfRule type="expression" dxfId="1" priority="48" stopIfTrue="1">
      <formula>NOT(ISERROR(SEARCH(TODAY(),D64)))</formula>
    </cfRule>
  </conditionalFormatting>
  <conditionalFormatting sqref="D71:H71">
    <cfRule type="expression" dxfId="0" priority="49" stopIfTrue="1">
      <formula>NOT(ISERROR(SEARCH("КР",D71)))</formula>
    </cfRule>
  </conditionalFormatting>
  <conditionalFormatting sqref="D71:H71">
    <cfRule type="expression" dxfId="1" priority="50" stopIfTrue="1">
      <formula>NOT(ISERROR(SEARCH(TODAY(),D71)))</formula>
    </cfRule>
  </conditionalFormatting>
  <conditionalFormatting sqref="D75:H75">
    <cfRule type="expression" dxfId="0" priority="51" stopIfTrue="1">
      <formula>NOT(ISERROR(SEARCH("КР",D75)))</formula>
    </cfRule>
  </conditionalFormatting>
  <conditionalFormatting sqref="D75:H75">
    <cfRule type="expression" dxfId="1" priority="52" stopIfTrue="1">
      <formula>NOT(ISERROR(SEARCH(TODAY(),D75)))</formula>
    </cfRule>
  </conditionalFormatting>
  <conditionalFormatting sqref="D80:F80">
    <cfRule type="expression" dxfId="0" priority="53" stopIfTrue="1">
      <formula>NOT(ISERROR(SEARCH("КР",D80)))</formula>
    </cfRule>
  </conditionalFormatting>
  <conditionalFormatting sqref="D80:F80">
    <cfRule type="expression" dxfId="1" priority="54" stopIfTrue="1">
      <formula>NOT(ISERROR(SEARCH(TODAY(),D80)))</formula>
    </cfRule>
  </conditionalFormatting>
  <conditionalFormatting sqref="D85:J85">
    <cfRule type="expression" dxfId="0" priority="55" stopIfTrue="1">
      <formula>NOT(ISERROR(SEARCH("КР",D85)))</formula>
    </cfRule>
  </conditionalFormatting>
  <conditionalFormatting sqref="D85:J85">
    <cfRule type="expression" dxfId="1" priority="56" stopIfTrue="1">
      <formula>NOT(ISERROR(SEARCH(TODAY(),D85)))</formula>
    </cfRule>
  </conditionalFormatting>
  <conditionalFormatting sqref="D94:J94">
    <cfRule type="expression" dxfId="0" priority="57" stopIfTrue="1">
      <formula>NOT(ISERROR(SEARCH("КР",D94)))</formula>
    </cfRule>
  </conditionalFormatting>
  <conditionalFormatting sqref="D94:J94">
    <cfRule type="expression" dxfId="1" priority="58" stopIfTrue="1">
      <formula>NOT(ISERROR(SEARCH(TODAY(),D94)))</formula>
    </cfRule>
  </conditionalFormatting>
  <conditionalFormatting sqref="D100:J100">
    <cfRule type="expression" dxfId="0" priority="59" stopIfTrue="1">
      <formula>NOT(ISERROR(SEARCH("КР",D100)))</formula>
    </cfRule>
  </conditionalFormatting>
  <conditionalFormatting sqref="D100:J100">
    <cfRule type="expression" dxfId="1" priority="60" stopIfTrue="1">
      <formula>NOT(ISERROR(SEARCH(TODAY(),D100)))</formula>
    </cfRule>
  </conditionalFormatting>
  <conditionalFormatting sqref="D106:F106">
    <cfRule type="expression" dxfId="0" priority="61" stopIfTrue="1">
      <formula>NOT(ISERROR(SEARCH("КР",D106)))</formula>
    </cfRule>
  </conditionalFormatting>
  <conditionalFormatting sqref="D106:F106">
    <cfRule type="expression" dxfId="1" priority="62" stopIfTrue="1">
      <formula>NOT(ISERROR(SEARCH(TODAY(),D106)))</formula>
    </cfRule>
  </conditionalFormatting>
  <conditionalFormatting sqref="D109:F109">
    <cfRule type="expression" dxfId="0" priority="63" stopIfTrue="1">
      <formula>NOT(ISERROR(SEARCH("КР",D109)))</formula>
    </cfRule>
  </conditionalFormatting>
  <conditionalFormatting sqref="D109:F109">
    <cfRule type="expression" dxfId="1" priority="64" stopIfTrue="1">
      <formula>NOT(ISERROR(SEARCH(TODAY(),D109)))</formula>
    </cfRule>
  </conditionalFormatting>
  <conditionalFormatting sqref="D115:F115 D118:F118 D121:F121">
    <cfRule type="expression" dxfId="0" priority="65" stopIfTrue="1">
      <formula>NOT(ISERROR(SEARCH("КР",D115)))</formula>
    </cfRule>
  </conditionalFormatting>
  <conditionalFormatting sqref="D115:F115 D118:F118 D121:F121">
    <cfRule type="expression" dxfId="1" priority="66" stopIfTrue="1">
      <formula>NOT(ISERROR(SEARCH(TODAY(),D115)))</formula>
    </cfRule>
  </conditionalFormatting>
  <conditionalFormatting sqref="D124:O126 P124:S125">
    <cfRule type="expression" dxfId="0" priority="67" stopIfTrue="1">
      <formula>NOT(ISERROR(SEARCH("КР",D124)))</formula>
    </cfRule>
  </conditionalFormatting>
  <conditionalFormatting sqref="D124:O126 P124:S125">
    <cfRule type="expression" dxfId="1" priority="68" stopIfTrue="1">
      <formula>NOT(ISERROR(SEARCH(TODAY(),D124)))</formula>
    </cfRule>
  </conditionalFormatting>
  <conditionalFormatting sqref="T125:W125">
    <cfRule type="expression" dxfId="0" priority="69" stopIfTrue="1">
      <formula>NOT(ISERROR(SEARCH("КР",T125)))</formula>
    </cfRule>
  </conditionalFormatting>
  <conditionalFormatting sqref="T125:W125">
    <cfRule type="expression" dxfId="1" priority="70" stopIfTrue="1">
      <formula>NOT(ISERROR(SEARCH(TODAY(),T125)))</formula>
    </cfRule>
  </conditionalFormatting>
  <conditionalFormatting sqref="T124:U124">
    <cfRule type="expression" dxfId="0" priority="71" stopIfTrue="1">
      <formula>NOT(ISERROR(SEARCH("КР",T124)))</formula>
    </cfRule>
  </conditionalFormatting>
  <conditionalFormatting sqref="T124:U124">
    <cfRule type="expression" dxfId="1" priority="72" stopIfTrue="1">
      <formula>NOT(ISERROR(SEARCH(TODAY(),T124)))</formula>
    </cfRule>
  </conditionalFormatting>
  <conditionalFormatting sqref="V124:W124">
    <cfRule type="expression" dxfId="0" priority="73" stopIfTrue="1">
      <formula>NOT(ISERROR(SEARCH("КР",V124)))</formula>
    </cfRule>
  </conditionalFormatting>
  <conditionalFormatting sqref="V124:W124">
    <cfRule type="expression" dxfId="1" priority="74" stopIfTrue="1">
      <formula>NOT(ISERROR(SEARCH(TODAY(),V124)))</formula>
    </cfRule>
  </conditionalFormatting>
  <conditionalFormatting sqref="D152:H152">
    <cfRule type="expression" dxfId="0" priority="75" stopIfTrue="1">
      <formula>NOT(ISERROR(SEARCH("КР",D152)))</formula>
    </cfRule>
  </conditionalFormatting>
  <conditionalFormatting sqref="D152:H152">
    <cfRule type="expression" dxfId="1" priority="76" stopIfTrue="1">
      <formula>NOT(ISERROR(SEARCH(TODAY(),D152)))</formula>
    </cfRule>
  </conditionalFormatting>
  <conditionalFormatting sqref="D160:H160">
    <cfRule type="expression" dxfId="0" priority="77" stopIfTrue="1">
      <formula>NOT(ISERROR(SEARCH("КР",D160)))</formula>
    </cfRule>
  </conditionalFormatting>
  <conditionalFormatting sqref="D160:H160">
    <cfRule type="expression" dxfId="1" priority="78" stopIfTrue="1">
      <formula>NOT(ISERROR(SEARCH(TODAY(),D160)))</formula>
    </cfRule>
  </conditionalFormatting>
  <conditionalFormatting sqref="D164:W164">
    <cfRule type="expression" dxfId="0" priority="79" stopIfTrue="1">
      <formula>NOT(ISERROR(SEARCH("КР",D164)))</formula>
    </cfRule>
  </conditionalFormatting>
  <conditionalFormatting sqref="D164:W164">
    <cfRule type="expression" dxfId="1" priority="80" stopIfTrue="1">
      <formula>NOT(ISERROR(SEARCH(TODAY(),D164)))</formula>
    </cfRule>
  </conditionalFormatting>
  <conditionalFormatting sqref="X164">
    <cfRule type="expression" dxfId="0" priority="81" stopIfTrue="1">
      <formula>NOT(ISERROR(SEARCH("КР",X164)))</formula>
    </cfRule>
  </conditionalFormatting>
  <conditionalFormatting sqref="X164">
    <cfRule type="expression" dxfId="1" priority="82" stopIfTrue="1">
      <formula>NOT(ISERROR(SEARCH(TODAY(),X164)))</formula>
    </cfRule>
  </conditionalFormatting>
  <conditionalFormatting sqref="D172:J172">
    <cfRule type="expression" dxfId="0" priority="83" stopIfTrue="1">
      <formula>NOT(ISERROR(SEARCH("КР",D172)))</formula>
    </cfRule>
  </conditionalFormatting>
  <conditionalFormatting sqref="D172:J172">
    <cfRule type="expression" dxfId="1" priority="84" stopIfTrue="1">
      <formula>NOT(ISERROR(SEARCH(TODAY(),D172)))</formula>
    </cfRule>
  </conditionalFormatting>
  <conditionalFormatting sqref="D175:J175">
    <cfRule type="expression" dxfId="0" priority="85" stopIfTrue="1">
      <formula>NOT(ISERROR(SEARCH("КР",D175)))</formula>
    </cfRule>
  </conditionalFormatting>
  <conditionalFormatting sqref="D175:J175">
    <cfRule type="expression" dxfId="1" priority="86" stopIfTrue="1">
      <formula>NOT(ISERROR(SEARCH(TODAY(),D175)))</formula>
    </cfRule>
  </conditionalFormatting>
  <conditionalFormatting sqref="D185:J185">
    <cfRule type="expression" dxfId="0" priority="87" stopIfTrue="1">
      <formula>NOT(ISERROR(SEARCH("КР",D185)))</formula>
    </cfRule>
  </conditionalFormatting>
  <conditionalFormatting sqref="D185:J185">
    <cfRule type="expression" dxfId="1" priority="88" stopIfTrue="1">
      <formula>NOT(ISERROR(SEARCH(TODAY(),D185)))</formula>
    </cfRule>
  </conditionalFormatting>
  <conditionalFormatting sqref="D189:J189">
    <cfRule type="expression" dxfId="0" priority="89" stopIfTrue="1">
      <formula>NOT(ISERROR(SEARCH("КР",D189)))</formula>
    </cfRule>
  </conditionalFormatting>
  <conditionalFormatting sqref="D189:J189">
    <cfRule type="expression" dxfId="1" priority="90" stopIfTrue="1">
      <formula>NOT(ISERROR(SEARCH(TODAY(),D189)))</formula>
    </cfRule>
  </conditionalFormatting>
  <conditionalFormatting sqref="D199:J199">
    <cfRule type="expression" dxfId="0" priority="91" stopIfTrue="1">
      <formula>NOT(ISERROR(SEARCH("КР",D199)))</formula>
    </cfRule>
  </conditionalFormatting>
  <conditionalFormatting sqref="D199:J199">
    <cfRule type="expression" dxfId="1" priority="92" stopIfTrue="1">
      <formula>NOT(ISERROR(SEARCH(TODAY(),D199)))</formula>
    </cfRule>
  </conditionalFormatting>
  <conditionalFormatting sqref="D213:J213">
    <cfRule type="expression" dxfId="0" priority="93" stopIfTrue="1">
      <formula>NOT(ISERROR(SEARCH("КР",D213)))</formula>
    </cfRule>
  </conditionalFormatting>
  <conditionalFormatting sqref="D213:J213">
    <cfRule type="expression" dxfId="1" priority="94" stopIfTrue="1">
      <formula>NOT(ISERROR(SEARCH(TODAY(),D213)))</formula>
    </cfRule>
  </conditionalFormatting>
  <conditionalFormatting sqref="D227:J227">
    <cfRule type="expression" dxfId="0" priority="95" stopIfTrue="1">
      <formula>NOT(ISERROR(SEARCH("КР",D227)))</formula>
    </cfRule>
  </conditionalFormatting>
  <conditionalFormatting sqref="D227:J227">
    <cfRule type="expression" dxfId="1" priority="96" stopIfTrue="1">
      <formula>NOT(ISERROR(SEARCH(TODAY(),D227)))</formula>
    </cfRule>
  </conditionalFormatting>
  <conditionalFormatting sqref="D236:J236">
    <cfRule type="expression" dxfId="0" priority="97" stopIfTrue="1">
      <formula>NOT(ISERROR(SEARCH("КР",D236)))</formula>
    </cfRule>
  </conditionalFormatting>
  <conditionalFormatting sqref="D236:J236">
    <cfRule type="expression" dxfId="1" priority="98" stopIfTrue="1">
      <formula>NOT(ISERROR(SEARCH(TODAY(),D236)))</formula>
    </cfRule>
  </conditionalFormatting>
  <conditionalFormatting sqref="D244:J244">
    <cfRule type="expression" dxfId="0" priority="99" stopIfTrue="1">
      <formula>NOT(ISERROR(SEARCH("КР",D244)))</formula>
    </cfRule>
  </conditionalFormatting>
  <conditionalFormatting sqref="D244:J244">
    <cfRule type="expression" dxfId="1" priority="100" stopIfTrue="1">
      <formula>NOT(ISERROR(SEARCH(TODAY(),D244)))</formula>
    </cfRule>
  </conditionalFormatting>
  <conditionalFormatting sqref="D260:J260">
    <cfRule type="expression" dxfId="0" priority="101" stopIfTrue="1">
      <formula>NOT(ISERROR(SEARCH("КР",D260)))</formula>
    </cfRule>
  </conditionalFormatting>
  <conditionalFormatting sqref="D260:J260">
    <cfRule type="expression" dxfId="1" priority="102" stopIfTrue="1">
      <formula>NOT(ISERROR(SEARCH(TODAY(),D260)))</formula>
    </cfRule>
  </conditionalFormatting>
  <conditionalFormatting sqref="D268:J268">
    <cfRule type="expression" dxfId="0" priority="103" stopIfTrue="1">
      <formula>NOT(ISERROR(SEARCH("КР",D268)))</formula>
    </cfRule>
  </conditionalFormatting>
  <conditionalFormatting sqref="D268:J268">
    <cfRule type="expression" dxfId="1" priority="104" stopIfTrue="1">
      <formula>NOT(ISERROR(SEARCH(TODAY(),D268)))</formula>
    </cfRule>
  </conditionalFormatting>
  <conditionalFormatting sqref="D276:J276">
    <cfRule type="expression" dxfId="0" priority="105" stopIfTrue="1">
      <formula>NOT(ISERROR(SEARCH("КР",D276)))</formula>
    </cfRule>
  </conditionalFormatting>
  <conditionalFormatting sqref="D276:J276">
    <cfRule type="expression" dxfId="1" priority="106" stopIfTrue="1">
      <formula>NOT(ISERROR(SEARCH(TODAY(),D276)))</formula>
    </cfRule>
  </conditionalFormatting>
  <conditionalFormatting sqref="D280:J280">
    <cfRule type="expression" dxfId="0" priority="107" stopIfTrue="1">
      <formula>NOT(ISERROR(SEARCH("КР",D280)))</formula>
    </cfRule>
  </conditionalFormatting>
  <conditionalFormatting sqref="D280:J280">
    <cfRule type="expression" dxfId="1" priority="108" stopIfTrue="1">
      <formula>NOT(ISERROR(SEARCH(TODAY(),D280)))</formula>
    </cfRule>
  </conditionalFormatting>
  <conditionalFormatting sqref="D285:J285">
    <cfRule type="expression" dxfId="0" priority="109" stopIfTrue="1">
      <formula>NOT(ISERROR(SEARCH("КР",D285)))</formula>
    </cfRule>
  </conditionalFormatting>
  <conditionalFormatting sqref="D285:J285">
    <cfRule type="expression" dxfId="1" priority="110" stopIfTrue="1">
      <formula>NOT(ISERROR(SEARCH(TODAY(),D285)))</formula>
    </cfRule>
  </conditionalFormatting>
  <conditionalFormatting sqref="D291:J291">
    <cfRule type="expression" dxfId="0" priority="111" stopIfTrue="1">
      <formula>NOT(ISERROR(SEARCH("КР",D291)))</formula>
    </cfRule>
  </conditionalFormatting>
  <conditionalFormatting sqref="D291:J291">
    <cfRule type="expression" dxfId="1" priority="112" stopIfTrue="1">
      <formula>NOT(ISERROR(SEARCH(TODAY(),D291)))</formula>
    </cfRule>
  </conditionalFormatting>
  <conditionalFormatting sqref="D297:J297">
    <cfRule type="expression" dxfId="0" priority="113" stopIfTrue="1">
      <formula>NOT(ISERROR(SEARCH("КР",D297)))</formula>
    </cfRule>
  </conditionalFormatting>
  <conditionalFormatting sqref="D297:J297">
    <cfRule type="expression" dxfId="1" priority="114" stopIfTrue="1">
      <formula>NOT(ISERROR(SEARCH(TODAY(),D297)))</formula>
    </cfRule>
  </conditionalFormatting>
  <conditionalFormatting sqref="D305:D307 E306 F305:F307 G306 H305:H307 I306 J305 J307 L305 L307:L308 M308 N305 N307:N308 O308 P305 P307:P308 Q308 R305 R307 T305 T307 V305 V307">
    <cfRule type="expression" dxfId="0" priority="115" stopIfTrue="1">
      <formula>NOT(ISERROR(SEARCH("КР",D305)))</formula>
    </cfRule>
  </conditionalFormatting>
  <conditionalFormatting sqref="D305:D307 E306 F305:F307 G306 H305:H307 I306 J305 J307 L305 L307:L308 M308 N305 N307:N308 O308 P305 P307:P308 Q308 R305 R307 T305 T307 V305 V307">
    <cfRule type="expression" dxfId="1" priority="116" stopIfTrue="1">
      <formula>NOT(ISERROR(SEARCH(TODAY(),D305)))</formula>
    </cfRule>
  </conditionalFormatting>
  <conditionalFormatting sqref="J306:W306">
    <cfRule type="expression" dxfId="0" priority="117" stopIfTrue="1">
      <formula>NOT(ISERROR(SEARCH("КР",J306)))</formula>
    </cfRule>
  </conditionalFormatting>
  <conditionalFormatting sqref="J306:W306">
    <cfRule type="expression" dxfId="1" priority="118" stopIfTrue="1">
      <formula>NOT(ISERROR(SEARCH(TODAY(),J306)))</formula>
    </cfRule>
  </conditionalFormatting>
  <conditionalFormatting sqref="D308:K308">
    <cfRule type="expression" dxfId="0" priority="119" stopIfTrue="1">
      <formula>NOT(ISERROR(SEARCH("КР",D308)))</formula>
    </cfRule>
  </conditionalFormatting>
  <conditionalFormatting sqref="D308:K308">
    <cfRule type="expression" dxfId="1" priority="120" stopIfTrue="1">
      <formula>NOT(ISERROR(SEARCH(TODAY(),D308)))</formula>
    </cfRule>
  </conditionalFormatting>
  <conditionalFormatting sqref="D309:D311 E310 F309:F311 G310 H309:H311 I310 J309 J311 L309 L311:L312 M312 N309 N311:N312 O312 P309 P311:P312 Q312 R309 R311 T309 T311 V309 V311">
    <cfRule type="expression" dxfId="0" priority="121" stopIfTrue="1">
      <formula>NOT(ISERROR(SEARCH("КР",D309)))</formula>
    </cfRule>
  </conditionalFormatting>
  <conditionalFormatting sqref="D309:D311 E310 F309:F311 G310 H309:H311 I310 J309 J311 L309 L311:L312 M312 N309 N311:N312 O312 P309 P311:P312 Q312 R309 R311 T309 T311 V309 V311">
    <cfRule type="expression" dxfId="1" priority="122" stopIfTrue="1">
      <formula>NOT(ISERROR(SEARCH(TODAY(),D309)))</formula>
    </cfRule>
  </conditionalFormatting>
  <conditionalFormatting sqref="J310:W310">
    <cfRule type="expression" dxfId="0" priority="123" stopIfTrue="1">
      <formula>NOT(ISERROR(SEARCH("КР",J310)))</formula>
    </cfRule>
  </conditionalFormatting>
  <conditionalFormatting sqref="J310:W310">
    <cfRule type="expression" dxfId="1" priority="124" stopIfTrue="1">
      <formula>NOT(ISERROR(SEARCH(TODAY(),J310)))</formula>
    </cfRule>
  </conditionalFormatting>
  <conditionalFormatting sqref="D312:K312">
    <cfRule type="expression" dxfId="0" priority="125" stopIfTrue="1">
      <formula>NOT(ISERROR(SEARCH("КР",D312)))</formula>
    </cfRule>
  </conditionalFormatting>
  <conditionalFormatting sqref="D312:K312">
    <cfRule type="expression" dxfId="1" priority="126" stopIfTrue="1">
      <formula>NOT(ISERROR(SEARCH(TODAY(),D312)))</formula>
    </cfRule>
  </conditionalFormatting>
  <conditionalFormatting sqref="D313:D315 E314 F313:F315 G314 H313:H315 I314 J313 J315 L313 L315:L316 M316 N313 N315:N316 O316 P313 P315:P316 Q316 R313 R315 T313 T315 V313 V315">
    <cfRule type="expression" dxfId="0" priority="127" stopIfTrue="1">
      <formula>NOT(ISERROR(SEARCH("КР",D313)))</formula>
    </cfRule>
  </conditionalFormatting>
  <conditionalFormatting sqref="D313:D315 E314 F313:F315 G314 H313:H315 I314 J313 J315 L313 L315:L316 M316 N313 N315:N316 O316 P313 P315:P316 Q316 R313 R315 T313 T315 V313 V315">
    <cfRule type="expression" dxfId="1" priority="128" stopIfTrue="1">
      <formula>NOT(ISERROR(SEARCH(TODAY(),D313)))</formula>
    </cfRule>
  </conditionalFormatting>
  <conditionalFormatting sqref="J314:W314">
    <cfRule type="expression" dxfId="0" priority="129" stopIfTrue="1">
      <formula>NOT(ISERROR(SEARCH("КР",J314)))</formula>
    </cfRule>
  </conditionalFormatting>
  <conditionalFormatting sqref="J314:W314">
    <cfRule type="expression" dxfId="1" priority="130" stopIfTrue="1">
      <formula>NOT(ISERROR(SEARCH(TODAY(),J314)))</formula>
    </cfRule>
  </conditionalFormatting>
  <conditionalFormatting sqref="D316:K316">
    <cfRule type="expression" dxfId="0" priority="131" stopIfTrue="1">
      <formula>NOT(ISERROR(SEARCH("КР",D316)))</formula>
    </cfRule>
  </conditionalFormatting>
  <conditionalFormatting sqref="D316:K316">
    <cfRule type="expression" dxfId="1" priority="132" stopIfTrue="1">
      <formula>NOT(ISERROR(SEARCH(TODAY(),D316)))</formula>
    </cfRule>
  </conditionalFormatting>
  <conditionalFormatting sqref="F28:F30 F33:F35 F38:F40 F43:F45 F48:F50 F53:F55 F58:F60 H80:H82 J18:J20 J64:J68 J71:J72 J75:J77 L23:L25 L85:L90 R11:R15">
    <cfRule type="expression" dxfId="0" priority="133" stopIfTrue="1">
      <formula>NOT(ISERROR(SEARCH("КР",F11)))</formula>
    </cfRule>
  </conditionalFormatting>
  <conditionalFormatting sqref="F28:F30 F33:F35 F38:F40 F43:F45 F48:F50 F53:F55 F58:F60 H80:H82 J18:J20 J64:J68 J71:J72 J75:J77 L23:L25 L85:L90 R11:R15">
    <cfRule type="expression" dxfId="1" priority="134" stopIfTrue="1">
      <formula>NOT(ISERROR(SEARCH(TODAY(),F11)))</formula>
    </cfRule>
  </conditionalFormatting>
  <conditionalFormatting sqref="H109:H112 J152:J157 J160:J161 L94:L97 L100:L101 L175:L182 L185:L186 L189:L196 L199:L210 L213:L224 L227:L232 L236:L241 L244:L249 L252:L257 L260:L265 L268:L273 L276:L277 L280:L282 L285:L288 L291:L294 L297:L302">
    <cfRule type="expression" dxfId="0" priority="135" stopIfTrue="1">
      <formula>NOT(ISERROR(SEARCH("КР",H94)))</formula>
    </cfRule>
  </conditionalFormatting>
  <conditionalFormatting sqref="H109:H112 J152:J157 J160:J161 L94:L97 L100:L101 L175:L182 L185:L186 L189:L196 L199:L210 L213:L224 L227:L232 L236:L241 L244:L249 L252:L257 L260:L265 L268:L273 L276:L277 L280:L282 L285:L288 L291:L294 L297:L302">
    <cfRule type="expression" dxfId="1" priority="136" stopIfTrue="1">
      <formula>NOT(ISERROR(SEARCH(TODAY(),H94)))</formula>
    </cfRule>
  </conditionalFormatting>
  <conditionalFormatting sqref="D319:E319">
    <cfRule type="expression" dxfId="0" priority="137" stopIfTrue="1">
      <formula>NOT(ISERROR(SEARCH("КР",D319)))</formula>
    </cfRule>
  </conditionalFormatting>
  <conditionalFormatting sqref="D319:E319">
    <cfRule type="expression" dxfId="1" priority="138" stopIfTrue="1">
      <formula>NOT(ISERROR(SEARCH(TODAY(),D319)))</formula>
    </cfRule>
  </conditionalFormatting>
  <conditionalFormatting sqref="F97">
    <cfRule type="expression" dxfId="0" priority="139" stopIfTrue="1">
      <formula>NOT(ISERROR(SEARCH("КР",F97)))</formula>
    </cfRule>
  </conditionalFormatting>
  <conditionalFormatting sqref="F97">
    <cfRule type="expression" dxfId="1" priority="140" stopIfTrue="1">
      <formula>NOT(ISERROR(SEARCH(TODAY(),F97)))</formula>
    </cfRule>
  </conditionalFormatting>
  <conditionalFormatting sqref="D140:L140">
    <cfRule type="expression" dxfId="0" priority="141" stopIfTrue="1">
      <formula>NOT(ISERROR(SEARCH("КР",D140)))</formula>
    </cfRule>
  </conditionalFormatting>
  <conditionalFormatting sqref="D140:L140">
    <cfRule type="expression" dxfId="1" priority="142" stopIfTrue="1">
      <formula>NOT(ISERROR(SEARCH(TODAY(),D140)))</formula>
    </cfRule>
  </conditionalFormatting>
  <dataValidations>
    <dataValidation type="list" allowBlank="1" sqref="C10:C15 C18:C20 C23:C25 C28:C30 C33:C35 C38:C40 C43:C45 C48:C50 C53:C55 C58:C60 C64:C68 C71:C72 C75:C77 C80:C82 C85:C90 C94:C97 C100:C101 C106 C109:C112 C115 C118 C121 A124 C125 C127 C129 C131 C133 C135 C140:C149 C152:C157 C160:C161 C164:C167 C172 C175:C182 C185:C186 C189:C196 C199:C210 C213:C224 C227:C232 C236:C241 C244:C249 C252:C257 C260:C265 C268:C273 C276:C277 C280:C282 C285:C288 C291:C294 C297:C302 C306 C310 C314 C320">
      <formula1>$AD$1:$AD$4</formula1>
    </dataValidation>
  </dataValidations>
  <hyperlinks>
    <hyperlink display="Насоси" location="'Таблиця'!A6" ref="D1"/>
    <hyperlink display="Посудини" location="'Таблиця'!A102" ref="F1"/>
    <hyperlink display="Арматура" location="'Таблиця'!A168" ref="H1"/>
    <hyperlink display="Дизелі" location="'Таблиця'!A303" ref="J1"/>
    <hyperlink display="Реактор" location="'Таблиця'!A317" ref="L1"/>
  </hyperlinks>
  <printOptions/>
  <pageMargins bottom="0.3937007874015748" footer="0.0" header="0.0" left="0.5905511811023623" right="0.3937007874015748" top="0.3937007874015748"/>
  <pageSetup paperSize="9" scale="66" orientation="landscape"/>
  <drawing r:id="rId2"/>
  <legacyDrawing r:id="rId3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1996-10-08T23:32:33Z</dcterms:created>
  <dc:creator>Савчук Ю.А.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Издатель">
    <vt:lpwstr>Савчук Ю.А.</vt:lpwstr>
  </property>
</Properties>
</file>