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ЭтаКнига"/>
  <sheets>
    <sheet state="visible" name="Таблиця" sheetId="1" r:id="rId5"/>
  </sheets>
  <definedNames/>
  <calcPr/>
  <extLst>
    <ext uri="GoogleSheetsCustomDataVersion2">
      <go:sheetsCustomData xmlns:go="http://customooxmlschemas.google.com/" r:id="rId6" roundtripDataChecksum="okn/dVJOMzDi1praytxiU+Y6r8wJ1G8L/rrdbjGpZdw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J298">
      <text>
        <t xml:space="preserve">======
ID#AAACHfgss0I
RoPM    (2026-09-23 10:38:49)
огляд ущільнюючих поверхонь виймальних частин</t>
      </text>
    </comment>
    <comment authorId="0" ref="F133">
      <text>
        <t xml:space="preserve">======
ID#AAACHfgss4Y
RoPM    (2026-09-23 10:38:49)
контроль проміжків між валом і вкладишами верхніх і нижніх
направляючих підшипників насоса</t>
      </text>
    </comment>
    <comment authorId="0" ref="H133">
      <text>
        <t xml:space="preserve">======
ID#AAACHfgsszg
RoPM    (2026-09-23 10:38:49)
контроль проміжків між ротором і вкладишами верхніх і нижніх направляючих підшипників електродвигуна</t>
      </text>
    </comment>
    <comment authorId="0" ref="J133">
      <text>
        <t xml:space="preserve">======
ID#AAACHfgssu8
RoPM    (2026-09-23 10:38:49)
контроль проміжків по лопатях робочого колеса насоса</t>
      </text>
    </comment>
    <comment authorId="0" ref="U1">
      <text>
        <t xml:space="preserve">======
ID#AAACHfgsswA
Код |    (2026-09-23 10:38:49)
1   |   Савчук Ю.А.
  2   |   Мушик В.Ф.
  3   |   Оніщук В.Ю.
  4   |   Сидорчук С.В.
  5   |   Радчук І.С.
  6   |   Рошук П. М.
  7   |   Дацький Д.П.</t>
      </text>
    </comment>
    <comment authorId="0" ref="D233">
      <text>
        <t xml:space="preserve">======
ID#AAACHfgss3k
RoPM    (2026-09-23 10:38:49)
огляд внутрішньої поверхні корпусу</t>
      </text>
    </comment>
    <comment authorId="0" ref="F233">
      <text>
        <t xml:space="preserve">======
ID#AAACHfgsswc
RoPM    (2026-09-23 10:38:49)
огляд клапана і ущільнюючої поверхні корпусу</t>
      </text>
    </comment>
    <comment authorId="0" ref="H233">
      <text>
        <t xml:space="preserve">======
ID#AAACHfgss38
RoPM    (2026-09-23 10:38:49)
огляд стану поверхні роз'єму «кришка-корпус»</t>
      </text>
    </comment>
    <comment authorId="0" ref="J233">
      <text>
        <t xml:space="preserve">======
ID#AAACHfgsszI
RoPM    (2026-09-23 10:38:49)
огляд ущільнюючих поверхонь виймальних частин</t>
      </text>
    </comment>
    <comment authorId="0" ref="D201">
      <text>
        <t xml:space="preserve">======
ID#AAACHfgssrw
RoPM    (2026-09-23 10:38:49)
огляд внутрішньої поверхні корпусу</t>
      </text>
    </comment>
    <comment authorId="0" ref="F201">
      <text>
        <t xml:space="preserve">======
ID#AAACHfgssj4
RoPM    (2026-09-23 10:38:49)
огляд ущільнюючих поверхонь корпусу</t>
      </text>
    </comment>
    <comment authorId="0" ref="H201">
      <text>
        <t xml:space="preserve">======
ID#AAACHfgsszQ
RoPM    (2026-09-23 10:38:49)
огляд стану поверхонь роз'єму кришка-корпус</t>
      </text>
    </comment>
    <comment authorId="0" ref="D69">
      <text>
        <t xml:space="preserve">======
ID#AAACHfgssko
RoPM    (2026-09-23 10:38:49)
контроль проміжків в ущільненнях проточної частини</t>
      </text>
    </comment>
    <comment authorId="0" ref="D36">
      <text>
        <t xml:space="preserve">======
ID#AAACHfgsssA
RoPM    (2026-09-23 10:38:49)
контроль сумарного осьового розбігу ротора</t>
      </text>
    </comment>
    <comment authorId="0" ref="F69">
      <text>
        <t xml:space="preserve">======
ID#AAACHfgss2c
RoPM    (2026-09-23 10:38:49)
контроль теплового проміжку барабан – колесо останньої ступені</t>
      </text>
    </comment>
    <comment authorId="0" ref="J201">
      <text>
        <t xml:space="preserve">======
ID#AAACHfgssmE
RoPM    (2026-09-23 10:38:49)
огляд ущільнюючих поверхонь виймальних частин</t>
      </text>
    </comment>
    <comment authorId="0" ref="H69">
      <text>
        <t xml:space="preserve">======
ID#AAACHfgssn8
RoPM    (2026-09-23 10:38:49)
контроль осьового розбігу ротора</t>
      </text>
    </comment>
    <comment authorId="0" ref="J69">
      <text>
        <t xml:space="preserve">======
ID#AAACHfgssg8
RoPM    (2026-09-23 10:38:49)
контроль центрування агрегату</t>
      </text>
    </comment>
    <comment authorId="0" ref="D400">
      <text>
        <t xml:space="preserve">======
ID#AAACHfgssrI
RoPM    (2026-09-23 10:38:49)
контроль вимірювань відстані від верхньої поверхні опорних пластин БЗТ, до опорної поверхні фланця корпусу ГРР (розмір А)</t>
      </text>
    </comment>
    <comment authorId="0" ref="D334">
      <text>
        <t xml:space="preserve">======
ID#AAACHfgsstw
RoPM    (2026-09-23 10:38:49)
огляд внутрішньої поверхні корпусу</t>
      </text>
    </comment>
    <comment authorId="0" ref="F400">
      <text>
        <t xml:space="preserve">======
ID#AAACHfgssr8
RoPM    (2026-09-23 10:38:49)
контроль вимірювань відстані від верхньої поверхні елементів пружних трубчастих ШВК Ø65×6 мм, до опорної поверхні фланця корпусу ГРР (розмір Б)</t>
      </text>
    </comment>
    <comment authorId="0" ref="D268">
      <text>
        <t xml:space="preserve">======
ID#AAACHfgss1E
RoPM    (2026-09-23 10:38:49)
огляд внутрішньої поверхні корпусу</t>
      </text>
    </comment>
    <comment authorId="0" ref="F334">
      <text>
        <t xml:space="preserve">======
ID#AAACHfgssxA
RoPM    (2026-09-23 10:38:49)
огляд шибера (диска) і ущільнюючої поверхні корпусу</t>
      </text>
    </comment>
    <comment authorId="0" ref="H400">
      <text>
        <t xml:space="preserve">======
ID#AAACHfgssnM
RoPM    (2026-09-23 10:38:49)
контроль виміру вимірювань відстані від верхньої поверхні фланця ШВК, до опорної поверхні фланця корпусу ГРР (розмір В) (при демонтуванні ШВК)</t>
      </text>
    </comment>
    <comment authorId="0" ref="F268">
      <text>
        <t xml:space="preserve">======
ID#AAACHfgsspI
RoPM    (2026-09-23 10:38:49)
огляд шибера і ущільнюючої поверхні корпусу</t>
      </text>
    </comment>
    <comment authorId="0" ref="H334">
      <text>
        <t xml:space="preserve">======
ID#AAACHfgsspQ
RoPM    (2026-09-23 10:38:49)
огляд стану поверхні роз'єму «кришка-корпус»</t>
      </text>
    </comment>
    <comment authorId="0" ref="J400">
      <text>
        <t xml:space="preserve">======
ID#AAACHfgsso0
RoPM    (2026-09-23 10:38:49)
контроль вимірювань висоти виступання кульки Ø5,0 +0,005 мм, з канавок ГУР над площиною ГРР</t>
      </text>
    </comment>
    <comment authorId="0" ref="J334">
      <text>
        <t xml:space="preserve">======
ID#AAACHfgsswE
RoPM    (2026-09-23 10:38:49)
огляд ущільнюючих поверхонь виймальних частин</t>
      </text>
    </comment>
    <comment authorId="0" ref="H268">
      <text>
        <t xml:space="preserve">======
ID#AAACHfgsslE
RoPM    (2026-09-23 10:38:49)
огляд стану поверхні роз'єму «кришка-корпус»</t>
      </text>
    </comment>
    <comment authorId="0" ref="L400">
      <text>
        <t xml:space="preserve">======
ID#AAACHfgssk4
RoPM    (2026-09-23 10:38:49)
контроль вимірювань величини намину на ущільнювальній поверхні кришки ВБ</t>
      </text>
    </comment>
    <comment authorId="0" ref="N400">
      <text>
        <t xml:space="preserve">======
ID#AAACHfgss3Y
RoPM    (2026-09-23 10:38:49)
контроль вимірювань величини проміжків в сполученні «шпонка – паз» на фланці ШВК</t>
      </text>
    </comment>
    <comment authorId="0" ref="J268">
      <text>
        <t xml:space="preserve">======
ID#AAACHfgsstY
RoPM    (2026-09-23 10:38:49)
огляд ущільнюючих поверхонь виймальних частин</t>
      </text>
    </comment>
    <comment authorId="0" ref="P400">
      <text>
        <t xml:space="preserve">======
ID#AAACHfgsspc
RoPM    (2026-09-23 10:38:49)
контроль виміру вимірювань відстані від верхньої поверхні фланця ШВК, до опорної поверхні фланця корпусу ГРР після установки ШВК в корпус реактора (розмір В)</t>
      </text>
    </comment>
    <comment authorId="0" ref="R400">
      <text>
        <t xml:space="preserve">======
ID#AAACHfgssiI
RoPM    (2026-09-23 10:38:49)
контроль виміру вимірювань відстані від верхньої поверхні елементів пружних трубчастих ШВК Ø65×6 мм, до опорної поверхні фланця корпусу ГРР, при заміні ЕПТ (розмір Б)</t>
      </text>
    </comment>
    <comment authorId="0" ref="T400">
      <text>
        <t xml:space="preserve">======
ID#AAACHfgssm8
RoPM    (2026-09-23 10:38:49)
контроль виміру вимірювань відстані від верхньої поверхні опорних пластин БЗТ, до опорної поверхні фланця корпусу ГРР (розмір А</t>
      </text>
    </comment>
    <comment authorId="0" ref="V400">
      <text>
        <t xml:space="preserve">======
ID#AAACHfgssw8
RoPM    (2026-09-23 10:38:49)
- контроль наявності акту ВК-2, ВК-3 (копія),  на прокладки з РГ Ø101/Ø107×5 мм, Ø107/Ø116×5,5 мм, для ущільнення фланцевих з'єднань чохлів - патрубків СУЗ ВБ;
- візуальний контроль прокладок перед встановленням;
- контроль моменту затягування гайок фланцевих з'єднань чохлів СУЗ з патрубками ВБ</t>
      </text>
    </comment>
    <comment authorId="0" ref="D368">
      <text>
        <t xml:space="preserve">======
ID#AAACHfgssyE
RoPM    (2026-09-23 10:38:49)
Провести виміри осьового проміжку турбокомпресора. При збільшенні осьового проміжку більше допустимого замінити
носовий підшипник</t>
      </text>
    </comment>
    <comment authorId="0" ref="F368">
      <text>
        <t xml:space="preserve">======
ID#AAACHfgsss0
Провести    (2026-09-23 10:38:49)
- огляд форсунок на чистоту;
- перевірку тиску початкуупорскування форсунок на стенді</t>
      </text>
    </comment>
    <comment authorId="0" ref="D302">
      <text>
        <t xml:space="preserve">======
ID#AAACHfgssnU
RoPM    (2026-09-23 10:38:49)
огляд внутрішньої поверхні корпусу</t>
      </text>
    </comment>
    <comment authorId="0" ref="F302">
      <text>
        <t xml:space="preserve">======
ID#AAACHfgss4c
RoPM    (2026-09-23 10:38:49)
огляд ущільнюючих поверхонь корпусу</t>
      </text>
    </comment>
    <comment authorId="0" ref="H368">
      <text>
        <t xml:space="preserve">======
ID#AAACHfgssq0
RoPM    (2026-09-23 10:38:49)
Перевірити кути випередження подачі палива</t>
      </text>
    </comment>
    <comment authorId="0" ref="H302">
      <text>
        <t xml:space="preserve">======
ID#AAACHfgss58
RoPM    (2026-09-23 10:38:49)
огляд стану поверхонь роз'єму «кришка-корпус»</t>
      </text>
    </comment>
    <comment authorId="0" ref="J368">
      <text>
        <t xml:space="preserve">======
ID#AAACHfgssjg
RoPM    (2026-09-23 10:38:49)
Провести центрування дизеля з генератором</t>
      </text>
    </comment>
    <comment authorId="0" ref="L368">
      <text>
        <t xml:space="preserve">======
ID#AAACHfgss6c
RoPM    (2026-09-23 10:38:49)
Провести перевірку герметичності внутрішнього контуру охолодження</t>
      </text>
    </comment>
    <comment authorId="0" ref="D104">
      <text>
        <t xml:space="preserve">======
ID#AAACHfgsssY
RoPM    (2026-09-23 10:38:49)
контроль масляних проміжків у підшипникових вузлах</t>
      </text>
    </comment>
    <comment authorId="0" ref="J302">
      <text>
        <t xml:space="preserve">======
ID#AAACHfgsskw
RoPM    (2026-09-23 10:38:49)
огляд ущільнюючих поверхонь виймальних частин</t>
      </text>
    </comment>
    <comment authorId="0" ref="N368">
      <text>
        <t xml:space="preserve">======
ID#AAACHfgssoY
RoPM    (2026-09-23 10:38:49)
Перевірити герметичність пускової системи</t>
      </text>
    </comment>
    <comment authorId="0" ref="P368">
      <text>
        <t xml:space="preserve">======
ID#AAACHfgsswQ
RoPM    (2026-09-23 10:38:49)
Виконати всі роботи, передбачені ТР</t>
      </text>
    </comment>
    <comment authorId="0" ref="R368">
      <text>
        <t xml:space="preserve">======
ID#AAACHfgssnY
RoPM    (2026-09-23 10:38:49)
Провести виміри головних пускових клапанів
пневмосистеми</t>
      </text>
    </comment>
    <comment authorId="0" ref="T368">
      <text>
        <t xml:space="preserve">======
ID#AAACHfgssy4
RoPM    (2026-09-23 10:38:49)
Виконати виміри поршнів</t>
      </text>
    </comment>
    <comment authorId="0" ref="V368">
      <text>
        <t xml:space="preserve">======
ID#AAACHfgsst4
RoPM    (2026-09-23 10:38:49)
Виконати виміри проміжку між кільцем і канавкою поршнів (зазор α)</t>
      </text>
    </comment>
    <comment authorId="0" ref="D402">
      <text>
        <t xml:space="preserve">======
ID#AAACHfgsssM
RoPM    (2026-09-23 10:38:49)
- контроль наявності акту ВК-2, ВК-3 (копія) на прокладки з НП-2 Ø 97/Ø101,28×10 мм, для ущільнення фланцевих з'єднань блоків переміщення (БП) з чохлами СУЗ;
- візуальний контроль прокладок перед встановленням;
- контроль моменту затягування гайок, при ущільненні фланцевих з'єднань блоків переміщення (БП) з чохлами СУЗ</t>
      </text>
    </comment>
    <comment authorId="0" ref="F402">
      <text>
        <t xml:space="preserve">======
ID#AAACHfgssz4
RoPM    (2026-09-23 10:38:49)
- контроль наявності свідоцтва (копія), про виготовлення  прокладок з НП-2 Ø3975 мм, Ø4005 мм, для ущільнення ГРР;
- візуальний контроль установки та прилягання прокладок до бічних поверхонь канавок ГРР</t>
      </text>
    </comment>
    <comment authorId="0" ref="H402">
      <text>
        <t xml:space="preserve">======
ID#AAACHfgsshg
RoPM    (2026-09-23 10:38:49)
- контроль вимірювань L0, початкового положення контрольних стрижнів шпильок М-170</t>
      </text>
    </comment>
    <comment authorId="0" ref="J402">
      <text>
        <t xml:space="preserve">======
ID#AAACHfgssxY
RoPM    (2026-09-23 10:38:49)
контроль вимірювань величини ΔL, різниця між кінцевим та початковим положенням контрольних стрижнів шпильок М170</t>
      </text>
    </comment>
    <comment authorId="0" ref="L402">
      <text>
        <t xml:space="preserve">======
ID#AAACHfgssnE
RoPM    (2026-09-23 10:38:49)
контроль наявності акта (копія) ВК-2(ВК-3), на прокладки з РГ Ø73/Ø79×5,5 мм, Ø101/Ø107×5 мм, Ø107/Ø116×5,5 мм, для ущільнення фланцевого з'єднання ТК;
- візуальний контроль прокладок перед  встановленням;
- контроль моменту затягування гайок, гвинтів фланцевого з'єднання ТК</t>
      </text>
    </comment>
    <comment authorId="0" ref="N402">
      <text>
        <t xml:space="preserve">======
ID#AAACHfgss5U
RoPM    (2026-09-23 10:38:49)
- контроль наявності акту ВК-2, ВК-3, (копія) на прокладки з НП Ø54/Ø60×3 мм, для ущільнення фланцевого з'єднання трубопроводу відведення повітря;
- візуальний контроль прокладок перед встановленням;
- контроль моменту затягування гайок при ущільненні фланцевого з'єднання трубопроводу повітровідвідника ВБ (нумерація фланців від реактора)</t>
      </text>
    </comment>
    <comment authorId="0" ref="P402">
      <text>
        <t xml:space="preserve">======
ID#AAACHfgsstA
RoPM    (2026-09-23 10:38:49)
- контроль наявності акту ВК-2, ВК-3 (копія) на прокладки з РГ Ø27/Ø31×3,5 мм, для ущільнення датчиків КНВ;
- візуальний контроль прокладок перед  встановленням;
- контроль моменту затягування гайок при ущільненні датчиків КНВ</t>
      </text>
    </comment>
    <comment authorId="0" ref="R402">
      <text>
        <t xml:space="preserve">======
ID#AAACHfgssnA
RoPM    (2026-09-23 10:38:49)
- контроль наявності акту ВК-2, ВК-3, (копія) на прокладки з РГ Ø101/Ø107×5 мм, Ø107/Ø116×5,5 мм для ущільнення фланцевого з'єднання КНВ;
- візуальний контроль прокладок перед встановленням;
- контроль моменту затягування гайок при ущільненні фланцевих з'єднань КНВ з патрубками ВБ</t>
      </text>
    </comment>
    <comment authorId="0" ref="T402">
      <text>
        <t xml:space="preserve">======
ID#AAACHfgssro
RoPM    (2026-09-23 10:38:49)
- контроль наявності акту ВК-2, ВК-3 (копія),  на прокладки з РГ Ø61/Ø65×4 мм, для ущільнення фланцевих з'єднань датчиків положення УП-2 привода ШЕМ-М;
- візуальний контроль прокладок перед  встановленням;
- контроль моменту затягування гайок при ущільненні фланцевих з'єднань</t>
      </text>
    </comment>
    <comment authorId="0" ref="V402">
      <text>
        <t xml:space="preserve">======
ID#AAACHfgssvg
RoPM    (2026-09-23 10:38:49)
-  контроль вимірювань геометричних розмірів патрубків кришки ВБ в районі: Ø101/Ø107 мм</t>
      </text>
    </comment>
    <comment authorId="0" ref="D370">
      <text>
        <t xml:space="preserve">======
ID#AAACHfgss6M
RoPM    (2026-09-23 10:38:49)
Виконати виміри проміжків в замках поршневих кілець</t>
      </text>
    </comment>
    <comment authorId="0" ref="F370">
      <text>
        <t xml:space="preserve">======
ID#AAACHfgssso
RoPM    (2026-09-23 10:38:49)
Виконати виміри корінних і шатунних шийок верхніх колінчастих валів і шатунних шийок нижніх колінчастих валів</t>
      </text>
    </comment>
    <comment authorId="0" ref="H370">
      <text>
        <t xml:space="preserve">======
ID#AAACHfgss2k
RoPM    (2026-09-23 10:38:49)
Провести виміри масляногопроміжку в корінних і шатунних підшипниках верхніх колінчастих валів</t>
      </text>
    </comment>
    <comment authorId="0" ref="D172">
      <text>
        <t xml:space="preserve">======
ID#AAACHfgssnQ
RoPM    (2026-09-23 10:38:49)
люк-лазу входу конденсату гріючої пари</t>
      </text>
    </comment>
    <comment authorId="0" ref="J370">
      <text>
        <t xml:space="preserve">======
ID#AAACHfgssi4
RoPM    (2026-09-23 10:38:49)
Провести виміри масляного проміжку в корінних і шатунних підшипниках нижніх колінчастих валів</t>
      </text>
    </comment>
    <comment authorId="0" ref="D139">
      <text>
        <t xml:space="preserve">======
ID#AAACHfgss4M
RoPM    (2026-09-23 10:38:49)
контроль биття і вертикальності осі валопроводу</t>
      </text>
    </comment>
    <comment authorId="0" ref="F172">
      <text>
        <t xml:space="preserve">======
ID#AAACHfgssxw
RoPM    (2026-09-23 10:38:49)
люк-лазу вхід-вихід живильної води</t>
      </text>
    </comment>
    <comment authorId="0" ref="L370">
      <text>
        <t xml:space="preserve">======
ID#AAACHfgssoA
RoPM    (2026-09-23 10:38:49)
Виконати виміри проміжків в головному підшипнику шатуна</t>
      </text>
    </comment>
    <comment authorId="0" ref="F139">
      <text>
        <t xml:space="preserve">======
ID#AAACHfgssow
RoPM    (2026-09-23 10:38:49)
контроль проміжків між валом і вкладишами верхніх і нижніх
направляючих підшипників насоса</t>
      </text>
    </comment>
    <comment authorId="0" ref="H172">
      <text>
        <t xml:space="preserve">======
ID#AAACHfgss0M
RoPM    (2026-09-23 10:38:49)
люк-лазу вихід конденсату гріючої пари</t>
      </text>
    </comment>
    <comment authorId="0" ref="N370">
      <text>
        <t xml:space="preserve">======
ID#AAACHfgssrk
RoPM    (2026-09-23 10:38:49)
Виконати виміри в упорному і кормовому підшипниках розподільних валів</t>
      </text>
    </comment>
    <comment authorId="0" ref="H139">
      <text>
        <t xml:space="preserve">======
ID#AAACHfgsslo
RoPM    (2026-09-23 10:38:49)
контроль проміжків між ротором і вкладишами верхніх і нижніх
направляючих підшипників електродвигуна</t>
      </text>
    </comment>
    <comment authorId="0" ref="P370">
      <text>
        <t xml:space="preserve">======
ID#AAACHfgsst0
RoPM    (2026-09-23 10:38:49)
Виконати виміри висоти камери стиснення</t>
      </text>
    </comment>
    <comment authorId="0" ref="J139">
      <text>
        <t xml:space="preserve">======
ID#AAACHfgss3U
RoPM    (2026-09-23 10:38:49)
контроль проміжків по лопатях робочого колеса насоса</t>
      </text>
    </comment>
    <comment authorId="0" ref="R370">
      <text>
        <t xml:space="preserve">======
ID#AAACHfgssiA
RoPM    (2026-09-23 10:38:49)
Виконати всі роботи, передбачені ТР, СР</t>
      </text>
    </comment>
    <comment authorId="0" ref="T370">
      <text>
        <t xml:space="preserve">======
ID#AAACHfgss2Q
RoPM    (2026-09-23 10:38:49)
Виконати виміри проміжку між вкладишем і «постіллю» корінних і шатунних вкладишів</t>
      </text>
    </comment>
    <comment authorId="0" ref="V370">
      <text>
        <t xml:space="preserve">======
ID#AAACHfgssh0
RoPM    (2026-09-23 10:38:49)
Виконати виміри проміжку між поверхнею «А» втулки робочого циліндра і поршнем</t>
      </text>
    </comment>
    <comment authorId="0" ref="D404">
      <text>
        <t xml:space="preserve">======
ID#AAACHfgssuA
RoPM    (2026-09-23 10:38:49)
-  контроль вимірювань геометричних розмірів чохлів СУЗ в районі: Ø101/Ø107 мм</t>
      </text>
    </comment>
    <comment authorId="0" ref="F404">
      <text>
        <t xml:space="preserve">======
ID#AAACHfgssuI
- контроль наявності акту ВК-2, ВК-3 (копія), на -  контроль вимірювань геометричних розмірів фланців знімних ТК в районі:    (2026-09-23 10:38:49)
</t>
      </text>
    </comment>
    <comment authorId="0" ref="H404">
      <text>
        <t xml:space="preserve">======
ID#AAACHfgssmA
RoPM    (2026-09-23 10:38:49)
-  контроль вимірювань геометричних розмірів фланців знімних ТК верхніх в районі: Ø72,5 мм</t>
      </text>
    </comment>
    <comment authorId="0" ref="D239">
      <text>
        <t xml:space="preserve">======
ID#AAACHfgssp8
RoPM    (2026-09-23 10:38:49)
огляд внутрішньої поверхні корпусу</t>
      </text>
    </comment>
    <comment authorId="0" ref="J404">
      <text>
        <t xml:space="preserve">======
ID#AAACHfgssqM
RoPM    (2026-09-23 10:38:49)
-  контроль вимірювань геометричних розмірів гільз стійок ТК на БЗТ в районі:  Ø73/Ø79 мм</t>
      </text>
    </comment>
    <comment authorId="0" ref="F239">
      <text>
        <t xml:space="preserve">======
ID#AAACHfgssjA
RoPM    (2026-09-23 10:38:49)
огляд ущільнюючих поверхонь корпусу</t>
      </text>
    </comment>
    <comment authorId="0" ref="L404">
      <text>
        <t xml:space="preserve">======
ID#AAACHfgss3c
- контроль вимірювань геометричних розмірів фланців КНВ в районі    (2026-09-23 10:38:49)
Ø101/Ø107 мм, Ø27/Ø31 мм</t>
      </text>
    </comment>
    <comment authorId="0" ref="H239">
      <text>
        <t xml:space="preserve">======
ID#AAACHfgss40
RoPM    (2026-09-23 10:38:49)
огляд поверхонь роз'єму «кришка-корпус»</t>
      </text>
    </comment>
    <comment authorId="0" ref="D107">
      <text>
        <t xml:space="preserve">======
ID#AAACHfgssyw
RoPM    (2026-09-23 10:38:49)
контроль осьового розбігу ротора повний розбіг</t>
      </text>
    </comment>
    <comment authorId="0" ref="N404">
      <text>
        <t xml:space="preserve">======
ID#AAACHfgss3g
RoPM    (2026-09-23 10:38:49)
-  контроль вимірювань геометричних розмірів  чохлів КНВ в районі: Ø27/Ø31мм</t>
      </text>
    </comment>
    <comment authorId="0" ref="J239">
      <text>
        <t xml:space="preserve">======
ID#AAACHfgsswU
RoPM    (2026-09-23 10:38:49)
огляд ущільнюючих поверхонь виймальних частин</t>
      </text>
    </comment>
    <comment authorId="0" ref="D41">
      <text>
        <t xml:space="preserve">======
ID#AAACHfgssn4
RoPM    (2026-09-23 10:38:49)
контроль масляних проміжків у підшипникових вузлах</t>
      </text>
    </comment>
    <comment authorId="0" ref="F107">
      <text>
        <t xml:space="preserve">======
ID#AAACHfgssmk
RoPM    (2026-09-23 10:38:49)
контроль центрування агрегату</t>
      </text>
    </comment>
    <comment authorId="0" ref="P404">
      <text>
        <t xml:space="preserve">======
ID#AAACHfgssig
RoPM    (2026-09-23 10:38:49)
-  контроль вимірювань геометричних розмірів фланців трубопроводу повітровідвідника ВБ, в районі: Ø54/Ø60 мм (нумерація фланців від реактора)</t>
      </text>
    </comment>
    <comment authorId="0" ref="F41">
      <text>
        <t xml:space="preserve">======
ID#AAACHfgsslg
RoPM    (2026-09-23 10:38:49)
контроль центрування агрегату</t>
      </text>
    </comment>
    <comment authorId="0" ref="R404">
      <text>
        <t xml:space="preserve">======
ID#AAACHfgss6A
-  контроль наявності маркування згідно креслень    (2026-09-23 10:38:49)
• на шпильках М170
• на гайках М170
• на сферичних шайбах М170
• на натискному кільці (номера шпилькових гнізд)
• на фланці корпуса реактора;
• на знімних фланцях ТК та КНВ</t>
      </text>
    </comment>
    <comment authorId="0" ref="D372">
      <text>
        <t xml:space="preserve">======
ID#AAACHfgssoM
RoPM    (2026-09-23 10:38:49)
Виконати виміри проміжку між остовом і поверхнею «Б» втулки робочого циліндра</t>
      </text>
    </comment>
    <comment authorId="0" ref="D306">
      <text>
        <t xml:space="preserve">======
ID#AAACHfgssj8
RoPM    (2026-09-23 10:38:49)
огляд внутрішньої поверхні корпусу</t>
      </text>
    </comment>
    <comment authorId="0" ref="F372">
      <text>
        <t xml:space="preserve">======
ID#AAACHfgssjY
RoPM    (2026-09-23 10:38:49)
Виконати виміри проміжку між остовом і поверхнею «Д» втулки робочого циліндра</t>
      </text>
    </comment>
    <comment authorId="0" ref="H372">
      <text>
        <t xml:space="preserve">======
ID#AAACHfgss2I
RoPM    (2026-09-23 10:38:49)
Виконати виміри проміжку між остовом і поверхнею «Е» втулки робочого циліндра</t>
      </text>
    </comment>
    <comment authorId="0" ref="F306">
      <text>
        <t xml:space="preserve">======
ID#AAACHfgsstg
RoPM    (2026-09-23 10:38:49)
огляд ущільнюючих поверхонь корпусу</t>
      </text>
    </comment>
    <comment authorId="0" ref="D207">
      <text>
        <t xml:space="preserve">======
ID#AAACHfgssiU
RoPM    (2026-09-23 10:38:49)
огляд внутрішньої поверхні корпусу</t>
      </text>
    </comment>
    <comment authorId="0" ref="H306">
      <text>
        <t xml:space="preserve">======
ID#AAACHfgssq4
RoPM    (2026-09-23 10:38:49)
огляд стану поверхонь роз'єму «кришка-корпус»</t>
      </text>
    </comment>
    <comment authorId="0" ref="J372">
      <text>
        <t xml:space="preserve">======
ID#AAACHfgsslY
RoPM    (2026-09-23 10:38:49)
Виконати виміри проміжку між втулкою і сорочкою по поверхні «В» втулки робочого циліндра</t>
      </text>
    </comment>
    <comment authorId="0" ref="F207">
      <text>
        <t xml:space="preserve">======
ID#AAACHfgss1Y
RoPM    (2026-09-23 10:38:49)
огляд внутрішньої поверхні корпусу</t>
      </text>
    </comment>
    <comment authorId="0" ref="J306">
      <text>
        <t xml:space="preserve">======
ID#AAACHfgssrA
RoPM    (2026-09-23 10:38:49)
огляд ущільнюючих поверхонь виймальних частин</t>
      </text>
    </comment>
    <comment authorId="0" ref="H207">
      <text>
        <t xml:space="preserve">======
ID#AAACHfgssnk
RoPM    (2026-09-23 10:38:49)
огляд внутрішньої поверхні корпусу</t>
      </text>
    </comment>
    <comment authorId="0" ref="J207">
      <text>
        <t xml:space="preserve">======
ID#AAACHfgssuE
RoPM    (2026-09-23 10:38:49)
огляд внутрішньої поверхні корпусу</t>
      </text>
    </comment>
    <comment authorId="0" ref="D340">
      <text>
        <t xml:space="preserve">======
ID#AAACHfgsshc
RoPM    (2026-09-23 10:38:49)
огляд внутрішньої поверхні корпусу</t>
      </text>
    </comment>
    <comment authorId="0" ref="D274">
      <text>
        <t xml:space="preserve">======
ID#AAACHfgssv0
RoPM    (2026-09-23 10:38:49)
огляд внутрішньої поверхні корпусу</t>
      </text>
    </comment>
    <comment authorId="0" ref="F340">
      <text>
        <t xml:space="preserve">======
ID#AAACHfgsspA
RoPM    (2026-09-23 10:38:49)
огляд клапана і ущільнюючої поверхні корпусу</t>
      </text>
    </comment>
    <comment authorId="0" ref="H340">
      <text>
        <t xml:space="preserve">======
ID#AAACHfgsswI
RoPM    (2026-09-23 10:38:49)
огляд стану поверхні роз'єму «кришка-корпус»</t>
      </text>
    </comment>
    <comment authorId="0" ref="D208">
      <text>
        <t xml:space="preserve">======
ID#AAACHfgssyQ
RoPM    (2026-09-23 10:38:49)
огляд внутрішньої поверхні корпусу</t>
      </text>
    </comment>
    <comment authorId="0" ref="F274">
      <text>
        <t xml:space="preserve">======
ID#AAACHfgssrE
RoPM    (2026-09-23 10:38:49)
огляд ущільнюючих поверхонь корпусу</t>
      </text>
    </comment>
    <comment authorId="0" ref="H274">
      <text>
        <t xml:space="preserve">======
ID#AAACHfgss0A
RoPM    (2026-09-23 10:38:49)
огляд поверхонь роз'єму «кришка-корпус»
огляд ущільнюючих поверхонь виймальних частин</t>
      </text>
    </comment>
    <comment authorId="0" ref="F208">
      <text>
        <t xml:space="preserve">======
ID#AAACHfgssys
RoPM    (2026-09-23 10:38:49)
огляд внутрішньої поверхні корпусу</t>
      </text>
    </comment>
    <comment authorId="0" ref="J340">
      <text>
        <t xml:space="preserve">======
ID#AAACHfgsstk
RoPM    (2026-09-23 10:38:49)
огляд ущільнюючих поверхонь виймальних частин</t>
      </text>
    </comment>
    <comment authorId="0" ref="J274">
      <text>
        <t xml:space="preserve">======
ID#AAACHfgss5E
RoPM    (2026-09-23 10:38:49)
огляд ущільнюючих поверхонь виймальних частин</t>
      </text>
    </comment>
    <comment authorId="0" ref="D76">
      <text>
        <t xml:space="preserve">======
ID#AAACHfgss4E
RoPM    (2026-09-23 10:38:49)
контроль проміжків в ущільненнях проточної частини</t>
      </text>
    </comment>
    <comment authorId="0" ref="H208">
      <text>
        <t xml:space="preserve">======
ID#AAACHfgss0c
RoPM    (2026-09-23 10:38:49)
огляд внутрішньої поверхні корпусу</t>
      </text>
    </comment>
    <comment authorId="0" ref="F76">
      <text>
        <t xml:space="preserve">======
ID#AAACHfgss3E
RoPM    (2026-09-23 10:38:49)
контроль теплового проміжку барабан – колесо останньої ступені</t>
      </text>
    </comment>
    <comment authorId="0" ref="D10">
      <text>
        <t xml:space="preserve">======
ID#AAACHfgss5s
RoPM    (2026-09-23 10:38:49)
контроль проміжків в сполученнях деталей радіального підшипника</t>
      </text>
    </comment>
    <comment authorId="0" ref="J208">
      <text>
        <t xml:space="preserve">======
ID#AAACHfgssxo
RoPM    (2026-09-23 10:38:49)
огляд внутрішньої поверхні корпусу</t>
      </text>
    </comment>
    <comment authorId="0" ref="H76">
      <text>
        <t xml:space="preserve">======
ID#AAACHfgss2E
RoPM    (2026-09-23 10:38:49)
контроль осьового розбігу ротора</t>
      </text>
    </comment>
    <comment authorId="0" ref="F10">
      <text>
        <t xml:space="preserve">======
ID#AAACHfgss1w
RoPM    (2026-09-23 10:38:49)
контроль проміжків в сполученнях деталей упорного підшипника</t>
      </text>
    </comment>
    <comment authorId="0" ref="H10">
      <text>
        <t xml:space="preserve">======
ID#AAACHfgss3M
RoPM    (2026-09-23 10:38:49)
контроль осьового розбігу ротора ГУП</t>
      </text>
    </comment>
    <comment authorId="0" ref="J76">
      <text>
        <t xml:space="preserve">======
ID#AAACHfgss5M
RoPM    (2026-09-23 10:38:49)
контроль центрування агрегату</t>
      </text>
    </comment>
    <comment authorId="0" ref="J10">
      <text>
        <t xml:space="preserve">======
ID#AAACHfgssnw
RoPM    (2026-09-23 10:38:49)
контроль моменту затяжки гайки ГУП</t>
      </text>
    </comment>
    <comment authorId="0" ref="L10">
      <text>
        <t xml:space="preserve">======
ID#AAACHfgss5o
RoPM    (2026-09-23 10:38:49)
перевірка наявності висновків (актів) ВВК та КК поверхні переліжки ГР</t>
      </text>
    </comment>
    <comment authorId="0" ref="N10">
      <text>
        <t xml:space="preserve">======
ID#AAACHfgss54
RoPM    (2026-09-23 10:38:49)
візуальний контроль переліжки ГР та контроль наявності бирки</t>
      </text>
    </comment>
    <comment authorId="0" ref="P10">
      <text>
        <t xml:space="preserve">======
ID#AAACHfgssjQ
RoPM    (2026-09-23 10:38:49)
контроль центрування ел. двигуна з виймальної частиною ГЦН</t>
      </text>
    </comment>
    <comment authorId="0" ref="R10">
      <text>
        <t xml:space="preserve">======
ID#AAACHfgssvA
RoPM    (2026-09-23 10:38:49)
контроль робочої поверхні диску електродвигуна</t>
      </text>
    </comment>
    <comment authorId="0" ref="T10">
      <text>
        <t xml:space="preserve">======
ID#AAACHfgss4U
RoPM    (2026-09-23 10:38:49)
контроль прилягання сегментів направляючих і опорних підшипників до поверхні втулки та обертового диску електродвигуна</t>
      </text>
    </comment>
    <comment authorId="0" ref="D374">
      <text>
        <t xml:space="preserve">======
ID#AAACHfgssos
RoPM    (2026-09-23 10:38:49)
Провести виміри осьового проміжку турбокомпресора. При збільшенні осьового проміжку більше допустимого замінити
носовий підшипник</t>
      </text>
    </comment>
    <comment authorId="0" ref="F374">
      <text>
        <t xml:space="preserve">======
ID#AAACHfgss5c
Провести    (2026-09-23 10:38:49)
- огляд форсунок на чистоту;
- перевірку тиску початкуупорскування форсунок на стенді</t>
      </text>
    </comment>
    <comment authorId="0" ref="H374">
      <text>
        <t xml:space="preserve">======
ID#AAACHfgss10
RoPM    (2026-09-23 10:38:49)
Перевірити кути випередження подачі палива</t>
      </text>
    </comment>
    <comment authorId="0" ref="J374">
      <text>
        <t xml:space="preserve">======
ID#AAACHfgssls
RoPM    (2026-09-23 10:38:49)
Провести центрування дизеля з генератором</t>
      </text>
    </comment>
    <comment authorId="0" ref="L374">
      <text>
        <t xml:space="preserve">======
ID#AAACHfgss50
RoPM    (2026-09-23 10:38:49)
Провести перевірку герметичності внутрішнього контуру охолодження</t>
      </text>
    </comment>
    <comment authorId="0" ref="N374">
      <text>
        <t xml:space="preserve">======
ID#AAACHfgss2A
RoPM    (2026-09-23 10:38:49)
Перевірити герметичність пускової системи</t>
      </text>
    </comment>
    <comment authorId="0" ref="P374">
      <text>
        <t xml:space="preserve">======
ID#AAACHfgssgc
RoPM    (2026-09-23 10:38:49)
Виконати всі роботи, передбачені ТР</t>
      </text>
    </comment>
    <comment authorId="0" ref="R374">
      <text>
        <t xml:space="preserve">======
ID#AAACHfgsss8
RoPM    (2026-09-23 10:38:49)
Провести виміри головних пускових клапанів
пневмосистеми</t>
      </text>
    </comment>
    <comment authorId="0" ref="T374">
      <text>
        <t xml:space="preserve">======
ID#AAACHfgssus
RoPM    (2026-09-23 10:38:49)
Виконати виміри поршнів</t>
      </text>
    </comment>
    <comment authorId="0" ref="V374">
      <text>
        <t xml:space="preserve">======
ID#AAACHfgss24
RoPM    (2026-09-23 10:38:49)
Виконати виміри проміжку між кільцем і канавкою поршнів (зазор α)</t>
      </text>
    </comment>
    <comment authorId="0" ref="D177">
      <text>
        <t xml:space="preserve">======
ID#AAACHfgsskc
Огляд ущільнюючих поверхонь    (2026-09-23 10:38:49)
фланцевого з'єднання гріючої пари Ду400</t>
      </text>
    </comment>
    <comment authorId="0" ref="F177">
      <text>
        <t xml:space="preserve">======
ID#AAACHfgss14
Огляд ущільнюючих поверхонь    (2026-09-23 10:38:49)
фланцевого з'єднання входу конденсату гріючої пари Ду300</t>
      </text>
    </comment>
    <comment authorId="0" ref="H177">
      <text>
        <t xml:space="preserve">======
ID#AAACHfgssps
Огляд ущільнюючих поверхонь    (2026-09-23 10:38:49)
фланцевого з'єднання впуску конденсату промперегріву Ду250</t>
      </text>
    </comment>
    <comment authorId="0" ref="J177">
      <text>
        <t xml:space="preserve">======
ID#AAACHfgssyY
Огляд ущільнюючих поверхонь    (2026-09-23 10:38:49)
фланцевого з'єднання підводу дренажу відборів Ду100</t>
      </text>
    </comment>
    <comment authorId="0" ref="L177">
      <text>
        <t xml:space="preserve">======
ID#AAACHfgssyc
Огляд ущільнюючих поверхонь    (2026-09-23 10:38:49)
ущільнення фланцевого з'єднання головного роз'єму ДУ3200</t>
      </text>
    </comment>
    <comment authorId="0" ref="D376">
      <text>
        <t xml:space="preserve">======
ID#AAACHfgsslI
RoPM    (2026-09-23 10:38:49)
Виконати виміри проміжків в замках поршневих кілець</t>
      </text>
    </comment>
    <comment authorId="0" ref="D310">
      <text>
        <t xml:space="preserve">======
ID#AAACHfgss1U
RoPM    (2026-09-23 10:38:49)
огляд внутрішньої поверхні корпусу</t>
      </text>
    </comment>
    <comment authorId="0" ref="F376">
      <text>
        <t xml:space="preserve">======
ID#AAACHfgsslQ
RoPM    (2026-09-23 10:38:49)
Виконати виміри корінних і шатунних шийок верхніх колінчастих валів і шатунних шийок нижніх колінчастих валів</t>
      </text>
    </comment>
    <comment authorId="0" ref="F310">
      <text>
        <t xml:space="preserve">======
ID#AAACHfgsswM
RoPM    (2026-09-23 10:38:49)
огляд ущільнюючих поверхонь корпусу</t>
      </text>
    </comment>
    <comment authorId="0" ref="H376">
      <text>
        <t xml:space="preserve">======
ID#AAACHfgsspk
RoPM    (2026-09-23 10:38:49)
Провести виміри масляногопроміжку в корінних і шатунних підшипниках верхніх колінчастих валів</t>
      </text>
    </comment>
    <comment authorId="0" ref="D244">
      <text>
        <t xml:space="preserve">======
ID#AAACHfgsslU
RoPM    (2026-09-23 10:38:49)
огляд внутрішньої поверхні корпусу</t>
      </text>
    </comment>
    <comment authorId="0" ref="D211">
      <text>
        <t xml:space="preserve">======
ID#AAACHfgssmg
RoPM    (2026-09-23 10:38:49)
огляд внутрішньої поверхні корпусу</t>
      </text>
    </comment>
    <comment authorId="0" ref="J376">
      <text>
        <t xml:space="preserve">======
ID#AAACHfgsszk
RoPM    (2026-09-23 10:38:49)
Провести виміри масляного проміжку в корінних і шатунних підшипниках нижніх колінчастих валів</t>
      </text>
    </comment>
    <comment authorId="0" ref="H310">
      <text>
        <t xml:space="preserve">======
ID#AAACHfgssv4
RoPM    (2026-09-23 10:38:49)
огляд стану поверхонь роз'єму «кришка-корпус»</t>
      </text>
    </comment>
    <comment authorId="0" ref="F244">
      <text>
        <t xml:space="preserve">======
ID#AAACHfgsskU
RoPM    (2026-09-23 10:38:49)
огляд ущільнюючих поверхонь корпусу</t>
      </text>
    </comment>
    <comment authorId="0" ref="F211">
      <text>
        <t xml:space="preserve">======
ID#AAACHfgssx8
RoPM    (2026-09-23 10:38:49)
огляд внутрішньої поверхні корпусу</t>
      </text>
    </comment>
    <comment authorId="0" ref="L376">
      <text>
        <t xml:space="preserve">======
ID#AAACHfgsssI
RoPM    (2026-09-23 10:38:49)
Виконати виміри проміжків в головному підшипнику шатуна</t>
      </text>
    </comment>
    <comment authorId="0" ref="D112">
      <text>
        <t xml:space="preserve">======
ID#AAACHfgssnc
RoPM    (2026-09-23 10:38:49)
контроль розбігу ротора без розвантажувального диска</t>
      </text>
    </comment>
    <comment authorId="0" ref="H244">
      <text>
        <t xml:space="preserve">======
ID#AAACHfgsskg
RoPM    (2026-09-23 10:38:49)
огляд поверхонь роз'єму «кришка-корпус»</t>
      </text>
    </comment>
    <comment authorId="0" ref="J310">
      <text>
        <t xml:space="preserve">======
ID#AAACHfgsskY
RoPM    (2026-09-23 10:38:49)
огляд ущільнюючих поверхонь виймальних частин</t>
      </text>
    </comment>
    <comment authorId="0" ref="H211">
      <text>
        <t xml:space="preserve">======
ID#AAACHfgssg4
RoPM    (2026-09-23 10:38:49)
огляд внутрішньої поверхні корпусу</t>
      </text>
    </comment>
    <comment authorId="0" ref="D46">
      <text>
        <t xml:space="preserve">======
ID#AAACHfgss1c
RoPM    (2026-09-23 10:38:49)
контроль масляних проміжків у підшипникових вузлах</t>
      </text>
    </comment>
    <comment authorId="0" ref="F112">
      <text>
        <t xml:space="preserve">======
ID#AAACHfgsswY
RoPM    (2026-09-23 10:38:49)
контроль розбігу ротора з розвантажувальним диском</t>
      </text>
    </comment>
    <comment authorId="0" ref="N376">
      <text>
        <t xml:space="preserve">======
ID#AAACHfgssqk
RoPM    (2026-09-23 10:38:49)
Виконати виміри в упорному і кормовому підшипниках розподільних валів</t>
      </text>
    </comment>
    <comment authorId="0" ref="J244">
      <text>
        <t xml:space="preserve">======
ID#AAACHfgssg0
RoPM    (2026-09-23 10:38:49)
огляд ущільнюючих поверхонь виймальних частин</t>
      </text>
    </comment>
    <comment authorId="0" ref="J211">
      <text>
        <t xml:space="preserve">======
ID#AAACHfgsstM
RoPM    (2026-09-23 10:38:49)
огляд внутрішньої поверхні корпусу</t>
      </text>
    </comment>
    <comment authorId="0" ref="F46">
      <text>
        <t xml:space="preserve">======
ID#AAACHfgssvo
RoPM    (2026-09-23 10:38:49)
контроль центрування агрегату</t>
      </text>
    </comment>
    <comment authorId="0" ref="P376">
      <text>
        <t xml:space="preserve">======
ID#AAACHfgssrQ
RoPM    (2026-09-23 10:38:49)
Виконати виміри висоти камери стиснення</t>
      </text>
    </comment>
    <comment authorId="0" ref="R376">
      <text>
        <t xml:space="preserve">======
ID#AAACHfgss4I
RoPM    (2026-09-23 10:38:49)
Виконати всі роботи, передбачені ТР, СР</t>
      </text>
    </comment>
    <comment authorId="0" ref="T376">
      <text>
        <t xml:space="preserve">======
ID#AAACHfgsswk
RoPM    (2026-09-23 10:38:49)
Виконати виміри проміжку між вкладишем і «постіллю» корінних і шатунних вкладишів</t>
      </text>
    </comment>
    <comment authorId="0" ref="V376">
      <text>
        <t xml:space="preserve">======
ID#AAACHfgss6k
RoPM    (2026-09-23 10:38:49)
Виконати виміри проміжку між поверхнею «А» втулки робочого циліндра і поршнем</t>
      </text>
    </comment>
    <comment authorId="0" ref="D212">
      <text>
        <t xml:space="preserve">======
ID#AAACHfgssoU
RoPM    (2026-09-23 10:38:49)
огляд внутрішньої поверхні корпусу</t>
      </text>
    </comment>
    <comment authorId="0" ref="F212">
      <text>
        <t xml:space="preserve">======
ID#AAACHfgss5A
RoPM    (2026-09-23 10:38:49)
огляд внутрішньої поверхні корпусу</t>
      </text>
    </comment>
    <comment authorId="0" ref="D80">
      <text>
        <t xml:space="preserve">======
ID#AAACHfgssvs
RoPM    (2026-09-23 10:38:49)
контроль проміжків в ущільненнях робочих коліс</t>
      </text>
    </comment>
    <comment authorId="0" ref="H212">
      <text>
        <t xml:space="preserve">======
ID#AAACHfgsstE
RoPM    (2026-09-23 10:38:49)
огляд внутрішньої поверхні корпусу</t>
      </text>
    </comment>
    <comment authorId="0" ref="F80">
      <text>
        <t xml:space="preserve">======
ID#AAACHfgss3s
RoPM    (2026-09-23 10:38:49)
контроль центрування агрегату</t>
      </text>
    </comment>
    <comment authorId="0" ref="J212">
      <text>
        <t xml:space="preserve">======
ID#AAACHfgssuQ
RoPM    (2026-09-23 10:38:49)
огляд внутрішньої поверхні корпусу</t>
      </text>
    </comment>
    <comment authorId="0" ref="D378">
      <text>
        <t xml:space="preserve">======
ID#AAACHfgssn0
RoPM    (2026-09-23 10:38:49)
Виконати виміри проміжку між остовом і поверхнею «Б» втулки робочого циліндра</t>
      </text>
    </comment>
    <comment authorId="0" ref="F378">
      <text>
        <t xml:space="preserve">======
ID#AAACHfgss2s
RoPM    (2026-09-23 10:38:49)
Виконати виміри проміжку між остовом і поверхнею «Д» втулки робочого циліндра</t>
      </text>
    </comment>
    <comment authorId="0" ref="H378">
      <text>
        <t xml:space="preserve">======
ID#AAACHfgssu0
RoPM    (2026-09-23 10:38:49)
Виконати виміри проміжку між остовом і поверхнею «Е» втулки робочого циліндра</t>
      </text>
    </comment>
    <comment authorId="0" ref="J378">
      <text>
        <t xml:space="preserve">======
ID#AAACHfgsssc
RoPM    (2026-09-23 10:38:49)
Виконати виміри проміжку між втулкою і сорочкою по поверхні «В» втулки робочого циліндра</t>
      </text>
    </comment>
    <comment authorId="0" ref="D147">
      <text>
        <t xml:space="preserve">======
ID#AAACHfgss5Q
RoPM    (2026-09-23 10:38:49)
Контроль встановлення прокладок НП-2 люк-лазу</t>
      </text>
    </comment>
    <comment authorId="0" ref="F147">
      <text>
        <t xml:space="preserve">======
ID#AAACHfgss4s
RoPM    (2026-09-23 10:38:49)
Контроль показників глибиноміра індикаторного при вимірі положення стрижнів шпильок М64 у вільному стані перед ущільненням люк-лазу</t>
      </text>
    </comment>
    <comment authorId="0" ref="H147">
      <text>
        <t xml:space="preserve">======
ID#AAACHfgss4k
RoPM    (2026-09-23 10:38:49)
Контроль витяжки шпильок М64 люк-лазу</t>
      </text>
    </comment>
    <comment authorId="0" ref="L147">
      <text>
        <t xml:space="preserve">======
ID#AAACHfgssx4
RoPM    (2026-09-23 10:38:49)
Контроль показників глибиноміра індикаторного при вимірі положення стрижнів шпильок М36 у вільному стані перед ущільненням блоку ТЕН</t>
      </text>
    </comment>
    <comment authorId="0" ref="N147">
      <text>
        <t xml:space="preserve">======
ID#AAACHfgssmI
RoPM    (2026-09-23 10:38:49)
Контроль витяжки шпильок М36 блоку ТЕН</t>
      </text>
    </comment>
    <comment authorId="0" ref="D346">
      <text>
        <t xml:space="preserve">======
ID#AAACHfgss5k
RoPM    (2026-09-23 10:38:49)
огляд внутрішньої поверхні корпусу</t>
      </text>
    </comment>
    <comment authorId="0" ref="F346">
      <text>
        <t xml:space="preserve">======
ID#AAACHfgsszM
RoPM    (2026-09-23 10:38:49)
огляд ущільнюючих поверхонь корпусу</t>
      </text>
    </comment>
    <comment authorId="0" ref="D280">
      <text>
        <t xml:space="preserve">======
ID#AAACHfgssy0
RoPM    (2026-09-23 10:38:49)
огляд втулки різьбової</t>
      </text>
    </comment>
    <comment authorId="0" ref="H346">
      <text>
        <t xml:space="preserve">======
ID#AAACHfgssyA
RoPM    (2026-09-23 10:38:49)
огляд стану поверхонь роз'єму «кришка-корпус»</t>
      </text>
    </comment>
    <comment authorId="0" ref="D148">
      <text>
        <t xml:space="preserve">======
ID#AAACHfgssng
RoPM    (2026-09-23 10:38:49)
Контроль встановлення прокладок НП-2 люк-лазу</t>
      </text>
    </comment>
    <comment authorId="0" ref="J346">
      <text>
        <t xml:space="preserve">======
ID#AAACHfgssgo
RoPM    (2026-09-23 10:38:49)
огляд ущільнюючих поверхонь виймальних частин</t>
      </text>
    </comment>
    <comment authorId="0" ref="F148">
      <text>
        <t xml:space="preserve">======
ID#AAACHfgssiQ
RoPM    (2026-09-23 10:38:49)
Контроль моменту ущільнення 3-го проходу люк-лазу.
Бл. №3 – Мкр=2340 Нм; Бл. №4 – Мкр=3330 Нм</t>
      </text>
    </comment>
    <comment authorId="0" ref="H148">
      <text>
        <t xml:space="preserve">======
ID#AAACHfgssvQ
RoPM    (2026-09-23 10:38:49)
Контроль встановлення нікелевих прокладки електронагрівача</t>
      </text>
    </comment>
    <comment authorId="0" ref="D16">
      <text>
        <t xml:space="preserve">======
ID#AAACHfgssqc
RoPM    (2026-09-23 10:38:49)
контроль масляних проміжків у підшипникових вузлах</t>
      </text>
    </comment>
    <comment authorId="0" ref="J148">
      <text>
        <t xml:space="preserve">======
ID#AAACHfgssqA
RoPM    (2026-09-23 10:38:49)
Контроль показників глибиноміра індикаторного при вимірі положення стрижнів шпильок М36 у вільному стані перед ущільненням</t>
      </text>
    </comment>
    <comment authorId="0" ref="F16">
      <text>
        <t xml:space="preserve">======
ID#AAACHfgssoI
RoPM    (2026-09-23 10:38:49)
контроль центрування агрегату насос-редуктор</t>
      </text>
    </comment>
    <comment authorId="0" ref="H16">
      <text>
        <t xml:space="preserve">======
ID#AAACHfgss3Q
RoPM    (2026-09-23 10:38:49)
контроль центрування агрегату редуктор - ел. двигун</t>
      </text>
    </comment>
    <comment authorId="0" ref="L148">
      <text>
        <t xml:space="preserve">======
ID#AAACHfgss6E
RoPM    (2026-09-23 10:38:49)
Контроль витяжки шпильок М36</t>
      </text>
    </comment>
    <comment authorId="0" ref="D380">
      <text>
        <t xml:space="preserve">======
ID#AAACHfgsstc
RoPM    (2026-09-23 10:38:49)
Провести виміри осьового проміжку турбокомпресора. При збільшенні осьового проміжку більше допустимого замінити
носовий підшипник</t>
      </text>
    </comment>
    <comment authorId="0" ref="F380">
      <text>
        <t xml:space="preserve">======
ID#AAACHfgss18
Провести    (2026-09-23 10:38:49)
- огляд форсунок на чистоту;
- перевірку тиску початкуупорскування форсунок на стенді</t>
      </text>
    </comment>
    <comment authorId="0" ref="D248">
      <text>
        <t xml:space="preserve">======
ID#AAACHfgssjI
RoPM    (2026-09-23 10:38:49)
огляд внутрішньої поверхні корпусу</t>
      </text>
    </comment>
    <comment authorId="0" ref="H380">
      <text>
        <t xml:space="preserve">======
ID#AAACHfgssik
RoPM    (2026-09-23 10:38:49)
Перевірити кути випередження подачі палива</t>
      </text>
    </comment>
    <comment authorId="0" ref="D215">
      <text>
        <t xml:space="preserve">======
ID#AAACHfgss0s
RoPM    (2026-09-23 10:38:49)
огляд внутрішньої поверхні корпусу</t>
      </text>
    </comment>
    <comment authorId="0" ref="F248">
      <text>
        <t xml:space="preserve">======
ID#AAACHfgssl4
RoPM    (2026-09-23 10:38:49)
огляд ущільнюючих поверхонь корпусу</t>
      </text>
    </comment>
    <comment authorId="0" ref="J380">
      <text>
        <t xml:space="preserve">======
ID#AAACHfgssjs
RoPM    (2026-09-23 10:38:49)
Провести центрування дизеля з генератором</t>
      </text>
    </comment>
    <comment authorId="0" ref="F215">
      <text>
        <t xml:space="preserve">======
ID#AAACHfgsskk
RoPM    (2026-09-23 10:38:49)
огляд ущільнюючих поверхонь корпусу</t>
      </text>
    </comment>
    <comment authorId="0" ref="L380">
      <text>
        <t xml:space="preserve">======
ID#AAACHfgssxQ
RoPM    (2026-09-23 10:38:49)
Провести перевірку герметичності внутрішнього контуру охолодження</t>
      </text>
    </comment>
    <comment authorId="0" ref="H248">
      <text>
        <t xml:space="preserve">======
ID#AAACHfgssiw
RoPM    (2026-09-23 10:38:49)
огляд поверхонь роз'єму «кришка-корпус»</t>
      </text>
    </comment>
    <comment authorId="0" ref="D116">
      <text>
        <t xml:space="preserve">======
ID#AAACHfgsshA
RoPM    (2026-09-23 10:38:49)
контроль масляних проміжків у підшипникових вузлах</t>
      </text>
    </comment>
    <comment authorId="0" ref="H215">
      <text>
        <t xml:space="preserve">======
ID#AAACHfgss4g
RoPM    (2026-09-23 10:38:49)
огляд стану поверхонь роз'єму кришка-корпус</t>
      </text>
    </comment>
    <comment authorId="0" ref="J248">
      <text>
        <t xml:space="preserve">======
ID#AAACHfgss6I
RoPM    (2026-09-23 10:38:49)
огляд ущільнюючих поверхонь виймальних частин</t>
      </text>
    </comment>
    <comment authorId="0" ref="N380">
      <text>
        <t xml:space="preserve">======
ID#AAACHfgss5Y
RoPM    (2026-09-23 10:38:49)
Перевірити герметичність пускової системи</t>
      </text>
    </comment>
    <comment authorId="0" ref="F116">
      <text>
        <t xml:space="preserve">======
ID#AAACHfgsso8
RoPM    (2026-09-23 10:38:49)
контроль центрування агрегату</t>
      </text>
    </comment>
    <comment authorId="0" ref="J215">
      <text>
        <t xml:space="preserve">======
ID#AAACHfgssuw
RoPM    (2026-09-23 10:38:49)
огляд ущільнюючих поверхонь виймальних частин</t>
      </text>
    </comment>
    <comment authorId="0" ref="P380">
      <text>
        <t xml:space="preserve">======
ID#AAACHfgssgw
RoPM    (2026-09-23 10:38:49)
Виконати всі роботи, передбачені ТР</t>
      </text>
    </comment>
    <comment authorId="0" ref="R380">
      <text>
        <t xml:space="preserve">======
ID#AAACHfgss3w
RoPM    (2026-09-23 10:38:49)
Провести виміри головних пускових клапанів
пневмосистеми</t>
      </text>
    </comment>
    <comment authorId="0" ref="T380">
      <text>
        <t xml:space="preserve">======
ID#AAACHfgsso4
RoPM    (2026-09-23 10:38:49)
Виконати виміри поршнів</t>
      </text>
    </comment>
    <comment authorId="0" ref="V380">
      <text>
        <t xml:space="preserve">======
ID#AAACHfgssns
RoPM    (2026-09-23 10:38:49)
Виконати виміри проміжку між кільцем і канавкою поршнів (зазор α)</t>
      </text>
    </comment>
    <comment authorId="0" ref="D183">
      <text>
        <t xml:space="preserve">======
ID#AAACHfgssuc
Огляд ущільнюючих поверхонь    (2026-09-23 10:38:49)
люк-лазу сепаратора відм. 0.0</t>
      </text>
    </comment>
    <comment authorId="0" ref="F183">
      <text>
        <t xml:space="preserve">======
ID#AAACHfgsszE
Огляд ущільнюючих поверхонь    (2026-09-23 10:38:49)
люк-лазу нижньої трубної дошки відм. + 3,6</t>
      </text>
    </comment>
    <comment authorId="0" ref="D84">
      <text>
        <t xml:space="preserve">======
ID#AAACHfgssjc
RoPM    (2026-09-23 10:38:49)
контроль проміжків в ущільненнях робочих коліс</t>
      </text>
    </comment>
    <comment authorId="0" ref="H183">
      <text>
        <t xml:space="preserve">======
ID#AAACHfgssuM
Огляд ущільнюючих поверхонь    (2026-09-23 10:38:49)
камера виходу конденсату гріючої пари №1 (за годинниковою стрілкою від люк-лазу) відм. + 3,6</t>
      </text>
    </comment>
    <comment authorId="0" ref="F84">
      <text>
        <t xml:space="preserve">======
ID#AAACHfgssyI
RoPM    (2026-09-23 10:38:49)
контроль центрування агрегату</t>
      </text>
    </comment>
    <comment authorId="0" ref="J183">
      <text>
        <t xml:space="preserve">======
ID#AAACHfgssq8
Огляд ущільнюючих поверхонь    (2026-09-23 10:38:49)
камера виходу конденсату гріючої пари №2 (за годинниковою стрілкою від люк-лазу) відм. + 3,6</t>
      </text>
    </comment>
    <comment authorId="0" ref="L183">
      <text>
        <t xml:space="preserve">======
ID#AAACHfgssxg
Огляд ущільнюючих поверхонь    (2026-09-23 10:38:49)
камера виходу конденсату гріючої пари №3 (за годинниковою стрілкою від люк-лазу) відм. + 3,6</t>
      </text>
    </comment>
    <comment authorId="0" ref="N183">
      <text>
        <t xml:space="preserve">======
ID#AAACHfgsspM
Огляд ущільнюючих поверхонь    (2026-09-23 10:38:49)
камера виходу конденсату гріючої пари №4 (за годинниковою стрілкою від люк-лазу) відм. + 3,6</t>
      </text>
    </comment>
    <comment authorId="0" ref="P183">
      <text>
        <t xml:space="preserve">======
ID#AAACHfgss6g
Огляд ущільнюючих поверхонь    (2026-09-23 10:38:49)
люк-лазу верхн. трубної дошки відм. + 11</t>
      </text>
    </comment>
    <comment authorId="0" ref="R183">
      <text>
        <t xml:space="preserve">======
ID#AAACHfgssqE
Огляд ущільнюючих поверхонь    (2026-09-23 10:38:49)
камера гріючої пари №1 (за годинниковою стрілкою від люк-лазу) відм. + 11</t>
      </text>
    </comment>
    <comment authorId="0" ref="T183">
      <text>
        <t xml:space="preserve">======
ID#AAACHfgsszc
Огляд ущільнюючих поверхонь    (2026-09-23 10:38:49)
камера гріючої пари №2 (за годинниковою стрілкою від люк-лазу) відм. + 11</t>
      </text>
    </comment>
    <comment authorId="0" ref="V183">
      <text>
        <t xml:space="preserve">======
ID#AAACHfgssmw
Огляд ущільнюючих поверхонь    (2026-09-23 10:38:49)
камера гріючої пари №3 (за годинниковою стрілкою від люк-лазу) відм. + 11</t>
      </text>
    </comment>
    <comment authorId="0" ref="X183">
      <text>
        <t xml:space="preserve">======
ID#AAACHfgssgs
Огляд ущільнюючих поверхонь    (2026-09-23 10:38:49)
камера гріючої пари №4 (за годинниковою стрілкою від люк-лазу) відм. + 11</t>
      </text>
    </comment>
    <comment authorId="0" ref="D382">
      <text>
        <t xml:space="preserve">======
ID#AAACHfgssoc
RoPM    (2026-09-23 10:38:49)
Виконати виміри проміжків в замках поршневих кілець</t>
      </text>
    </comment>
    <comment authorId="0" ref="D316">
      <text>
        <t xml:space="preserve">======
ID#AAACHfgss2M
RoPM    (2026-09-23 10:38:49)
огляд внутрішньої поверхні корпусу</t>
      </text>
    </comment>
    <comment authorId="0" ref="F382">
      <text>
        <t xml:space="preserve">======
ID#AAACHfgsskQ
RoPM    (2026-09-23 10:38:49)
Виконати виміри корінних і шатунних шийок верхніх колінчастих валів і шатунних шийок нижніх колінчастих валів</t>
      </text>
    </comment>
    <comment authorId="0" ref="H382">
      <text>
        <t xml:space="preserve">======
ID#AAACHfgssw4
RoPM    (2026-09-23 10:38:49)
Провести виміри масляногопроміжку в корінних і шатунних підшипниках верхніх колінчастих валів</t>
      </text>
    </comment>
    <comment authorId="0" ref="F316">
      <text>
        <t xml:space="preserve">======
ID#AAACHfgssok
RoPM    (2026-09-23 10:38:49)
огляд ущільнюючих поверхонь корпусу</t>
      </text>
    </comment>
    <comment authorId="0" ref="H316">
      <text>
        <t xml:space="preserve">======
ID#AAACHfgssm0
RoPM    (2026-09-23 10:38:49)
огляд стану поверхонь роз'єму «кришка-корпус»</t>
      </text>
    </comment>
    <comment authorId="0" ref="J382">
      <text>
        <t xml:space="preserve">======
ID#AAACHfgssjE
RoPM    (2026-09-23 10:38:49)
Провести виміри масляного проміжку в корінних і шатунних підшипниках нижніх колінчастих валів</t>
      </text>
    </comment>
    <comment authorId="0" ref="J316">
      <text>
        <t xml:space="preserve">======
ID#AAACHfgss2w
RoPM    (2026-09-23 10:38:49)
огляд ущільнюючих поверхонь виймальних частин</t>
      </text>
    </comment>
    <comment authorId="0" ref="L382">
      <text>
        <t xml:space="preserve">======
ID#AAACHfgssiM
RoPM    (2026-09-23 10:38:49)
Виконати виміри проміжків в головному підшипнику шатуна</t>
      </text>
    </comment>
    <comment authorId="0" ref="N382">
      <text>
        <t xml:space="preserve">======
ID#AAACHfgssyU
RoPM    (2026-09-23 10:38:49)
Виконати виміри в упорному і кормовому підшипниках розподільних валів</t>
      </text>
    </comment>
    <comment authorId="0" ref="D52">
      <text>
        <t xml:space="preserve">======
ID#AAACHfgsspw
RoPM    (2026-09-23 10:38:49)
контроль радіальних і осьових проміжків по ущільненню колеса</t>
      </text>
    </comment>
    <comment authorId="0" ref="P382">
      <text>
        <t xml:space="preserve">======
ID#AAACHfgssyM
RoPM    (2026-09-23 10:38:49)
Виконати виміри висоти камери стиснення</t>
      </text>
    </comment>
    <comment authorId="0" ref="F52">
      <text>
        <t xml:space="preserve">======
ID#AAACHfgssi8
RoPM    (2026-09-23 10:38:49)
контроль моменту затягування шпильок напірної кришки</t>
      </text>
    </comment>
    <comment authorId="0" ref="R382">
      <text>
        <t xml:space="preserve">======
ID#AAACHfgss2Y
RoPM    (2026-09-23 10:38:49)
Виконати всі роботи, передбачені ТР, СР</t>
      </text>
    </comment>
    <comment authorId="0" ref="H52">
      <text>
        <t xml:space="preserve">======
ID#AAACHfgssh8
RoPM    (2026-09-23 10:38:49)
контроль проміжків в опорному підшипнику</t>
      </text>
    </comment>
    <comment authorId="0" ref="T382">
      <text>
        <t xml:space="preserve">======
ID#AAACHfgss30
RoPM    (2026-09-23 10:38:49)
Виконати виміри проміжку між вкладишем і «постіллю» корінних і шатунних вкладишів</t>
      </text>
    </comment>
    <comment authorId="0" ref="J52">
      <text>
        <t xml:space="preserve">======
ID#AAACHfgsssw
RoPM    (2026-09-23 10:38:49)
контроль розбігу ротора в упорному підшипнику</t>
      </text>
    </comment>
    <comment authorId="0" ref="L52">
      <text>
        <t xml:space="preserve">======
ID#AAACHfgssvE
RoPM    (2026-09-23 10:38:49)
контроль центрування агрегату насос-турбіна</t>
      </text>
    </comment>
    <comment authorId="0" ref="V382">
      <text>
        <t xml:space="preserve">======
ID#AAACHfgssqI
RoPM    (2026-09-23 10:38:49)
Виконати виміри проміжку між поверхнею «А» втулки робочого циліндра і поршнем</t>
      </text>
    </comment>
    <comment authorId="0" ref="D218">
      <text>
        <t xml:space="preserve">======
ID#AAACHfgsssE
RoPM    (2026-09-23 10:38:49)
огляд внутрішньої поверхні корпусу</t>
      </text>
    </comment>
    <comment authorId="0" ref="F218">
      <text>
        <t xml:space="preserve">======
ID#AAACHfgssxs
RoPM    (2026-09-23 10:38:49)
огляд ущільнюючих поверхонь корпусу</t>
      </text>
    </comment>
    <comment authorId="0" ref="H218">
      <text>
        <t xml:space="preserve">======
ID#AAACHfgsst8
RoPM    (2026-09-23 10:38:49)
огляд стану поверхонь роз'єму кришка-корпус</t>
      </text>
    </comment>
    <comment authorId="0" ref="J218">
      <text>
        <t xml:space="preserve">======
ID#AAACHfgsshs
RoPM    (2026-09-23 10:38:49)
огляд ущільнюючих поверхонь виймальних частин</t>
      </text>
    </comment>
    <comment authorId="0" ref="D384">
      <text>
        <t xml:space="preserve">======
ID#AAACHfgssrM
RoPM    (2026-09-23 10:38:49)
Виконати виміри проміжку між остовом і поверхнею «Б» втулки робочого циліндра</t>
      </text>
    </comment>
    <comment authorId="0" ref="F384">
      <text>
        <t xml:space="preserve">======
ID#AAACHfgss0Y
RoPM    (2026-09-23 10:38:49)
Виконати виміри проміжку між остовом і поверхнею «Д» втулки робочого циліндра</t>
      </text>
    </comment>
    <comment authorId="0" ref="H384">
      <text>
        <t xml:space="preserve">======
ID#AAACHfgssxU
RoPM    (2026-09-23 10:38:49)
Виконати виміри проміжку між остовом і поверхнею «Е» втулки робочого циліндра</t>
      </text>
    </comment>
    <comment authorId="0" ref="J384">
      <text>
        <t xml:space="preserve">======
ID#AAACHfgsspo
RoPM    (2026-09-23 10:38:49)
Виконати виміри проміжку між втулкою і сорочкою по поверхні «В» втулки робочого циліндра</t>
      </text>
    </comment>
    <comment authorId="0" ref="D21">
      <text>
        <t xml:space="preserve">======
ID#AAACHfgssqo
RoPM    (2026-09-23 10:38:49)
контроль осьового розбігу ротора</t>
      </text>
    </comment>
    <comment authorId="0" ref="F21">
      <text>
        <t xml:space="preserve">======
ID#AAACHfgssis
RoPM    (2026-09-23 10:38:49)
контроль масляних проміжків у підшипникових вузлах</t>
      </text>
    </comment>
    <comment authorId="0" ref="H21">
      <text>
        <t xml:space="preserve">======
ID#AAACHfgssqY
RoPM    (2026-09-23 10:38:49)
контроль центрування агрегату</t>
      </text>
    </comment>
    <comment authorId="0" ref="D352">
      <text>
        <t xml:space="preserve">======
ID#AAACHfgss5I
RoPM    (2026-09-23 10:38:49)
огляд внутрішньої поверхні корпусу</t>
      </text>
    </comment>
    <comment authorId="0" ref="F352">
      <text>
        <t xml:space="preserve">======
ID#AAACHfgssp0
RoPM    (2026-09-23 10:38:49)
огляд ущільнюючих поверхонь корпусу</t>
      </text>
    </comment>
    <comment authorId="0" ref="H352">
      <text>
        <t xml:space="preserve">======
ID#AAACHfgss4A
RoPM    (2026-09-23 10:38:49)
огляд стану поверхонь роз'єму «кришка-корпус»</t>
      </text>
    </comment>
    <comment authorId="0" ref="J352">
      <text>
        <t xml:space="preserve">======
ID#AAACHfgss4o
RoPM    (2026-09-23 10:38:49)
огляд ущільнюючих поверхонь виймальних частин</t>
      </text>
    </comment>
    <comment authorId="0" ref="D154">
      <text>
        <t xml:space="preserve">======
ID#AAACHfgsslA
RoPM    (2026-09-23 10:38:49)
Контроль встановлення прокладки НП-2 в канавки фланця корпусу головного роз’єму</t>
      </text>
    </comment>
    <comment authorId="0" ref="F154">
      <text>
        <t xml:space="preserve">======
ID#AAACHfgsslw
RoPM    (2026-09-23 10:38:49)
Контроль показань глибиноміру індикаторного при замірі положення стержнів шпильок М64 у вільному стані перед ущільнення фланцевого з’єднання корпусу</t>
      </text>
    </comment>
    <comment authorId="0" ref="H154">
      <text>
        <t xml:space="preserve">======
ID#AAACHfgsspY
RoPM    (2026-09-23 10:38:49)
Контроль витяжки шпильок М64 фланцевого з’єднання після випробування МПП</t>
      </text>
    </comment>
    <comment authorId="0" ref="J154">
      <text>
        <t xml:space="preserve">======
ID#AAACHfgssvI
RoPM    (2026-09-23 10:38:49)
Контроль встановлення прокладки НП-2 в канавки фланця загрузочного лючка верхнього блоку</t>
      </text>
    </comment>
    <comment authorId="0" ref="L154">
      <text>
        <t xml:space="preserve">======
ID#AAACHfgsshk
RoPM    (2026-09-23 10:38:49)
Контроль показань глибиноміру індикаторного при замірі положення стержнів шпильок М36 у вільному стані перед ущільнення фланцевого з’єднання верхнього блоку</t>
      </text>
    </comment>
    <comment authorId="0" ref="N154">
      <text>
        <t xml:space="preserve">======
ID#AAACHfgssmM
RoPM    (2026-09-23 10:38:49)
Контроль витяжки шпильок М36 фланцевого з’єднання загрузочного лючка верхнього блоку</t>
      </text>
    </comment>
    <comment authorId="0" ref="D386">
      <text>
        <t xml:space="preserve">======
ID#AAACHfgss1o
RoPM    (2026-09-23 10:38:49)
Провести виміри осьового проміжку турбокомпресора. При збільшенні осьового проміжку більше допустимого замінити
носовий підшипник</t>
      </text>
    </comment>
    <comment authorId="0" ref="F386">
      <text>
        <t xml:space="preserve">======
ID#AAACHfgss5g
Провести    (2026-09-23 10:38:49)
- огляд форсунок на чистоту;
- перевірку тиску початкуупорскування форсунок на стенді</t>
      </text>
    </comment>
    <comment authorId="0" ref="D320">
      <text>
        <t xml:space="preserve">======
ID#AAACHfgssqQ
RoPM    (2026-09-23 10:38:49)
огляд внутрішньої поверхні корпусу</t>
      </text>
    </comment>
    <comment authorId="0" ref="F320">
      <text>
        <t xml:space="preserve">======
ID#AAACHfgss0U
RoPM    (2026-09-23 10:38:49)
огляд ущільнюючих поверхонь корпусу</t>
      </text>
    </comment>
    <comment authorId="0" ref="H386">
      <text>
        <t xml:space="preserve">======
ID#AAACHfgsslM
RoPM    (2026-09-23 10:38:49)
Перевірити кути випередження подачі палива</t>
      </text>
    </comment>
    <comment authorId="0" ref="D221">
      <text>
        <t xml:space="preserve">======
ID#AAACHfgss1g
RoPM    (2026-09-23 10:38:49)
огляд внутрішньої поверхні корпусу</t>
      </text>
    </comment>
    <comment authorId="0" ref="J386">
      <text>
        <t xml:space="preserve">======
ID#AAACHfgss2o
RoPM    (2026-09-23 10:38:49)
Провести центрування дизеля з генератором</t>
      </text>
    </comment>
    <comment authorId="0" ref="H320">
      <text>
        <t xml:space="preserve">======
ID#AAACHfgssws
RoPM    (2026-09-23 10:38:49)
огляд стану поверхонь роз'єму «кришка-корпус»</t>
      </text>
    </comment>
    <comment authorId="0" ref="F221">
      <text>
        <t xml:space="preserve">======
ID#AAACHfgssjo
RoPM    (2026-09-23 10:38:49)
огляд ущільнюючих поверхонь корпусу</t>
      </text>
    </comment>
    <comment authorId="0" ref="L386">
      <text>
        <t xml:space="preserve">======
ID#AAACHfgsszw
RoPM    (2026-09-23 10:38:49)
Провести перевірку герметичності внутрішнього контуру охолодження</t>
      </text>
    </comment>
    <comment authorId="0" ref="D122">
      <text>
        <t xml:space="preserve">======
ID#AAACHfgssyo
RoPM    (2026-09-23 10:38:49)
контроль масляних проміжків у підшипникових вузлах</t>
      </text>
    </comment>
    <comment authorId="0" ref="J320">
      <text>
        <t xml:space="preserve">======
ID#AAACHfgssmo
RoPM    (2026-09-23 10:38:49)
огляд ущільнюючих поверхонь виймальних частин</t>
      </text>
    </comment>
    <comment authorId="0" ref="D89">
      <text>
        <t xml:space="preserve">======
ID#AAACHfgss4Q
RoPM    (2026-09-23 10:38:49)
контроль проміжків в ущільненнях робочих коліс</t>
      </text>
    </comment>
    <comment authorId="0" ref="H221">
      <text>
        <t xml:space="preserve">======
ID#AAACHfgssl8
RoPM    (2026-09-23 10:38:49)
огляд поверхонь роз'єму «кришка-корпус»</t>
      </text>
    </comment>
    <comment authorId="0" ref="N386">
      <text>
        <t xml:space="preserve">======
ID#AAACHfgssy8
RoPM    (2026-09-23 10:38:49)
Перевірити герметичність пускової системи</t>
      </text>
    </comment>
    <comment authorId="0" ref="F122">
      <text>
        <t xml:space="preserve">======
ID#AAACHfgssog
RoPM    (2026-09-23 10:38:49)
контроль центрування агрегату</t>
      </text>
    </comment>
    <comment authorId="0" ref="D56">
      <text>
        <t xml:space="preserve">======
ID#AAACHfgssmc
RoPM    (2026-09-23 10:38:49)
контроль радіальних і осьових проміжків по ущільненню колеса</t>
      </text>
    </comment>
    <comment authorId="0" ref="F89">
      <text>
        <t xml:space="preserve">======
ID#AAACHfgssrc
RoPM    (2026-09-23 10:38:49)
контроль центрування агрегату</t>
      </text>
    </comment>
    <comment authorId="0" ref="J221">
      <text>
        <t xml:space="preserve">======
ID#AAACHfgssic
RoPM    (2026-09-23 10:38:49)
огляд ущільнюючих поверхонь виймальних частин</t>
      </text>
    </comment>
    <comment authorId="0" ref="P386">
      <text>
        <t xml:space="preserve">======
ID#AAACHfgssxE
RoPM    (2026-09-23 10:38:49)
Виконати всі роботи, передбачені ТР</t>
      </text>
    </comment>
    <comment authorId="0" ref="F56">
      <text>
        <t xml:space="preserve">======
ID#AAACHfgsspg
RoPM    (2026-09-23 10:38:49)
контроль моменту затягування шпильок напірної кришки</t>
      </text>
    </comment>
    <comment authorId="0" ref="R386">
      <text>
        <t xml:space="preserve">======
ID#AAACHfgsszs
RoPM    (2026-09-23 10:38:49)
Провести виміри головних пускових клапанів
пневмосистеми</t>
      </text>
    </comment>
    <comment authorId="0" ref="H56">
      <text>
        <t xml:space="preserve">======
ID#AAACHfgssms
RoPM    (2026-09-23 10:38:49)
контроль збирання вузла торцевого ущільнення</t>
      </text>
    </comment>
    <comment authorId="0" ref="T386">
      <text>
        <t xml:space="preserve">======
ID#AAACHfgssrY
RoPM    (2026-09-23 10:38:49)
Виконати виміри поршнів</t>
      </text>
    </comment>
    <comment authorId="0" ref="J56">
      <text>
        <t xml:space="preserve">======
ID#AAACHfgsshU
RoPM    (2026-09-23 10:38:49)
контроль вимірювань торцевих ущільнень</t>
      </text>
    </comment>
    <comment authorId="0" ref="V386">
      <text>
        <t xml:space="preserve">======
ID#AAACHfgss08
RoPM    (2026-09-23 10:38:49)
Виконати виміри проміжку між кільцем і канавкою поршнів (зазор α)</t>
      </text>
    </comment>
    <comment authorId="0" ref="L56">
      <text>
        <t xml:space="preserve">======
ID#AAACHfgss1A
RoPM    (2026-09-23 10:38:49)
контроль проміжків в опорному підшипнику</t>
      </text>
    </comment>
    <comment authorId="0" ref="N56">
      <text>
        <t xml:space="preserve">======
ID#AAACHfgssxc
RoPM    (2026-09-23 10:38:49)
контроль розбігу ротора в опорному підшипнику</t>
      </text>
    </comment>
    <comment authorId="0" ref="P56">
      <text>
        <t xml:space="preserve">======
ID#AAACHfgssto
RoPM    (2026-09-23 10:38:49)
контроль центрування агрегату насос-редуктор</t>
      </text>
    </comment>
    <comment authorId="0" ref="D189">
      <text>
        <t xml:space="preserve">======
ID#AAACHfgssk0
Огляд ущільнюючих поверхонь    (2026-09-23 10:38:49)
Люк-лазу</t>
      </text>
    </comment>
    <comment authorId="0" ref="D388">
      <text>
        <t xml:space="preserve">======
ID#AAACHfgssi0
RoPM    (2026-09-23 10:38:49)
Виконати виміри проміжків в замках поршневих кілець</t>
      </text>
    </comment>
    <comment authorId="0" ref="F388">
      <text>
        <t xml:space="preserve">======
ID#AAACHfgssx0
RoPM    (2026-09-23 10:38:49)
Виконати виміри корінних і шатунних шийок верхніх колінчастих валів і шатунних шийок нижніх колінчастих валів</t>
      </text>
    </comment>
    <comment authorId="0" ref="H388">
      <text>
        <t xml:space="preserve">======
ID#AAACHfgssz0
RoPM    (2026-09-23 10:38:49)
Провести виміри масляногопроміжку в корінних і шатунних підшипниках верхніх колінчастих валів</t>
      </text>
    </comment>
    <comment authorId="0" ref="J388">
      <text>
        <t xml:space="preserve">======
ID#AAACHfgssho
RoPM    (2026-09-23 10:38:49)
Провести виміри масляного проміжку в корінних і шатунних підшипниках нижніх колінчастих валів</t>
      </text>
    </comment>
    <comment authorId="0" ref="L388">
      <text>
        <t xml:space="preserve">======
ID#AAACHfgss28
RoPM    (2026-09-23 10:38:49)
Виконати виміри проміжків в головному підшипнику шатуна</t>
      </text>
    </comment>
    <comment authorId="0" ref="N388">
      <text>
        <t xml:space="preserve">======
ID#AAACHfgssqU
RoPM    (2026-09-23 10:38:49)
Виконати виміри в упорному і кормовому підшипниках розподільних валів</t>
      </text>
    </comment>
    <comment authorId="0" ref="P388">
      <text>
        <t xml:space="preserve">======
ID#AAACHfgss1s
RoPM    (2026-09-23 10:38:49)
Виконати виміри висоти камери стиснення</t>
      </text>
    </comment>
    <comment authorId="0" ref="R388">
      <text>
        <t xml:space="preserve">======
ID#AAACHfgssu4
RoPM    (2026-09-23 10:38:49)
Виконати всі роботи, передбачені ТР, СР</t>
      </text>
    </comment>
    <comment authorId="0" ref="T388">
      <text>
        <t xml:space="preserve">======
ID#AAACHfgss1I
RoPM    (2026-09-23 10:38:49)
Виконати виміри проміжку між вкладишем і «постіллю» корінних і шатунних вкладишів</t>
      </text>
    </comment>
    <comment authorId="0" ref="V388">
      <text>
        <t xml:space="preserve">======
ID#AAACHfgssoE
RoPM    (2026-09-23 10:38:49)
Виконати виміри проміжку між поверхнею «А» втулки робочого циліндра і поршнем</t>
      </text>
    </comment>
    <comment authorId="0" ref="D356">
      <text>
        <t xml:space="preserve">======
ID#AAACHfgssjU
RoPM    (2026-09-23 10:38:49)
огляд внутрішньої поверхні корпусу</t>
      </text>
    </comment>
    <comment authorId="0" ref="F356">
      <text>
        <t xml:space="preserve">======
ID#AAACHfgssks
RoPM    (2026-09-23 10:38:49)
огляд шибера (диска) і ущільнюючої поверхні корпусу</t>
      </text>
    </comment>
    <comment authorId="0" ref="H356">
      <text>
        <t xml:space="preserve">======
ID#AAACHfgssvk
RoPM    (2026-09-23 10:38:49)
огляд стану поверхні роз'єму «кришка-корпус»</t>
      </text>
    </comment>
    <comment authorId="0" ref="J356">
      <text>
        <t xml:space="preserve">======
ID#AAACHfgsshE
RoPM    (2026-09-23 10:38:49)
огляд ущільнюючих поверхонь виймальних частин</t>
      </text>
    </comment>
    <comment authorId="0" ref="D26">
      <text>
        <t xml:space="preserve">======
ID#AAACHfgssmQ
RoPM    (2026-09-23 10:38:49)
контроль сумарного осьового розбігу ротора</t>
      </text>
    </comment>
    <comment authorId="0" ref="F26">
      <text>
        <t xml:space="preserve">======
ID#AAACHfgssxk
RoPM    (2026-09-23 10:38:49)
контроль сумарного осьового розбігу ротора</t>
      </text>
    </comment>
    <comment authorId="0" ref="H26">
      <text>
        <t xml:space="preserve">======
ID#AAACHfgsshM
RoPM    (2026-09-23 10:38:49)
контроль сумарного осьового розбігу ротора</t>
      </text>
    </comment>
    <comment authorId="0" ref="J26">
      <text>
        <t xml:space="preserve">======
ID#AAACHfgss3I
RoPM    (2026-09-23 10:38:49)
контроль сумарного осьового розбігу ротора</t>
      </text>
    </comment>
    <comment authorId="0" ref="D390">
      <text>
        <t xml:space="preserve">======
ID#AAACHfgssv8
RoPM    (2026-09-23 10:38:49)
Виконати виміри проміжку між остовом і поверхнею «Б» втулки робочого циліндра</t>
      </text>
    </comment>
    <comment authorId="0" ref="D324">
      <text>
        <t xml:space="preserve">======
ID#AAACHfgssqg
RoPM    (2026-09-23 10:38:49)
огляд внутрішньої поверхні корпусу</t>
      </text>
    </comment>
    <comment authorId="0" ref="F390">
      <text>
        <t xml:space="preserve">======
ID#AAACHfgsslk
RoPM    (2026-09-23 10:38:49)
Виконати виміри проміжку між остовом і поверхнею «Д» втулки робочого циліндра</t>
      </text>
    </comment>
    <comment authorId="0" ref="H390">
      <text>
        <t xml:space="preserve">======
ID#AAACHfgssr0
RoPM    (2026-09-23 10:38:49)
Виконати виміри проміжку між остовом і поверхнею «Е» втулки робочого циліндра</t>
      </text>
    </comment>
    <comment authorId="0" ref="D258">
      <text>
        <t xml:space="preserve">======
ID#AAACHfgssno
RoPM    (2026-09-23 10:38:49)
огляд внутрішньої поверхні корпусу</t>
      </text>
    </comment>
    <comment authorId="0" ref="F324">
      <text>
        <t xml:space="preserve">======
ID#AAACHfgsskI
RoPM    (2026-09-23 10:38:49)
огляд ущільнюючих поверхонь корпусу</t>
      </text>
    </comment>
    <comment authorId="0" ref="J390">
      <text>
        <t xml:space="preserve">======
ID#AAACHfgss0o
RoPM    (2026-09-23 10:38:49)
Виконати виміри проміжку між втулкою і сорочкою по поверхні «В» втулки робочого циліндра</t>
      </text>
    </comment>
    <comment authorId="0" ref="F258">
      <text>
        <t xml:space="preserve">======
ID#AAACHfgssmU
RoPM    (2026-09-23 10:38:49)
огляд ущільнюючих поверхонь корпусу</t>
      </text>
    </comment>
    <comment authorId="0" ref="H324">
      <text>
        <t xml:space="preserve">======
ID#AAACHfgsskM
RoPM    (2026-09-23 10:38:49)
огляд стану поверхонь роз'єму «кришка-корпус»</t>
      </text>
    </comment>
    <comment authorId="0" ref="D192">
      <text>
        <t xml:space="preserve">======
ID#AAACHfgssj0
Огляд ущільнюючих поверхонь    (2026-09-23 10:38:49)
Люк-лазу</t>
      </text>
    </comment>
    <comment authorId="0" ref="H258">
      <text>
        <t xml:space="preserve">======
ID#AAACHfgssoQ
RoPM    (2026-09-23 10:38:49)
огляд поверхонь роз'єму «кришка-корпус»</t>
      </text>
    </comment>
    <comment authorId="0" ref="D126">
      <text>
        <t xml:space="preserve">======
ID#AAACHfgsssg
RoPM    (2026-09-23 10:38:49)
контроль масляних проміжків у підшипникових вузлах</t>
      </text>
    </comment>
    <comment authorId="0" ref="J324">
      <text>
        <t xml:space="preserve">======
ID#AAACHfgssxI
RoPM    (2026-09-23 10:38:49)
огляд ущільнюючих поверхонь виймальних частин</t>
      </text>
    </comment>
    <comment authorId="0" ref="D93">
      <text>
        <t xml:space="preserve">======
ID#AAACHfgssm4
RoPM    (2026-09-23 10:38:49)
контроль масляних проміжків у підшипникових вузлах</t>
      </text>
    </comment>
    <comment authorId="0" ref="J258">
      <text>
        <t xml:space="preserve">======
ID#AAACHfgssz8
RoPM    (2026-09-23 10:38:49)
огляд ущільнюючих поверхонь виймальних частин</t>
      </text>
    </comment>
    <comment authorId="0" ref="F126">
      <text>
        <t xml:space="preserve">======
ID#AAACHfgssrU
RoPM    (2026-09-23 10:38:49)
контроль центрування агрегату</t>
      </text>
    </comment>
    <comment authorId="0" ref="D60">
      <text>
        <t xml:space="preserve">======
ID#AAACHfgsskA
RoPM    (2026-09-23 10:38:49)
контроль осьового розбігу ротора</t>
      </text>
    </comment>
    <comment authorId="0" ref="F93">
      <text>
        <t xml:space="preserve">======
ID#AAACHfgssk8
RoPM    (2026-09-23 10:38:49)
контроль центрування агрегату</t>
      </text>
    </comment>
    <comment authorId="0" ref="F60">
      <text>
        <t xml:space="preserve">======
ID#AAACHfgssug
RoPM    (2026-09-23 10:38:49)
контроль масляних проміжків у підшипникових вузлах</t>
      </text>
    </comment>
    <comment authorId="0" ref="D292">
      <text>
        <t xml:space="preserve">======
ID#AAACHfgssiY
RoPM    (2026-09-23 10:38:49)
огляд внутрішньої поверхні корпусу</t>
      </text>
    </comment>
    <comment authorId="0" ref="F292">
      <text>
        <t xml:space="preserve">======
ID#AAACHfgsshY
RoPM    (2026-09-23 10:38:49)
огляд шибера (диска) і ущільнюючої поверхні корпусу</t>
      </text>
    </comment>
    <comment authorId="0" ref="H292">
      <text>
        <t xml:space="preserve">======
ID#AAACHfgssuY
RoPM    (2026-09-23 10:38:49)
огляд стану поверхні роз'єму «кришка-корпус»</t>
      </text>
    </comment>
    <comment authorId="0" ref="J292">
      <text>
        <t xml:space="preserve">======
ID#AAACHfgss5w
RoPM    (2026-09-23 10:38:49)
огляд ущільнюючих поверхонь виймальних частин</t>
      </text>
    </comment>
    <comment authorId="0" ref="D392">
      <text>
        <t xml:space="preserve">======
ID#AAACHfgssqs
RoPM    (2026-09-23 10:38:49)
Провести виміри осьового проміжку турбокомпресора. При збільшенні осьового проміжку більше допустимого замінити
носовий підшипник</t>
      </text>
    </comment>
    <comment authorId="0" ref="F392">
      <text>
        <t xml:space="preserve">======
ID#AAACHfgssp4
Провести    (2026-09-23 10:38:49)
- огляд форсунок на чистоту;
- перевірку тиску початкуупорскування форсунок на стенді</t>
      </text>
    </comment>
    <comment authorId="0" ref="H392">
      <text>
        <t xml:space="preserve">======
ID#AAACHfgssgk
RoPM    (2026-09-23 10:38:49)
Перевірити кути випередження подачі палива</t>
      </text>
    </comment>
    <comment authorId="0" ref="J392">
      <text>
        <t xml:space="preserve">======
ID#AAACHfgss2g
RoPM    (2026-09-23 10:38:49)
Провести центрування дизеля з генератором</t>
      </text>
    </comment>
    <comment authorId="0" ref="D161">
      <text>
        <t xml:space="preserve">======
ID#AAACHfgss0k
RoPM    (2026-09-23 10:38:49)
Контроль встановлення переліжок НП-2 перед ущільненням люка гарячого колектору I-го контуру</t>
      </text>
    </comment>
    <comment authorId="0" ref="L392">
      <text>
        <t xml:space="preserve">======
ID#AAACHfgss2U
RoPM    (2026-09-23 10:38:49)
Провести перевірку герметичності внутрішнього контуру охолодження</t>
      </text>
    </comment>
    <comment authorId="0" ref="F161">
      <text>
        <t xml:space="preserve">======
ID#AAACHfgssrg
RoPM    (2026-09-23 10:38:49)
Контроль показників глибиноміра індикаторного при вимірі положення стрижнів шпильок М60 у вільному стані перед ущільненням люка гарячого колектору I-го контуру</t>
      </text>
    </comment>
    <comment authorId="0" ref="N392">
      <text>
        <t xml:space="preserve">======
ID#AAACHfgssmY
RoPM    (2026-09-23 10:38:49)
Перевірити герметичність пускової системи</t>
      </text>
    </comment>
    <comment authorId="0" ref="H161">
      <text>
        <t xml:space="preserve">======
ID#AAACHfgssqw
RoPM    (2026-09-23 10:38:49)
Контроль витяжки шпильок М60 люка гарячого колектору I-го контуру, після випробування МПП</t>
      </text>
    </comment>
    <comment authorId="0" ref="P392">
      <text>
        <t xml:space="preserve">======
ID#AAACHfgss44
RoPM    (2026-09-23 10:38:49)
Виконати всі роботи, передбачені ТР</t>
      </text>
    </comment>
    <comment authorId="0" ref="J161">
      <text>
        <t xml:space="preserve">======
ID#AAACHfgssnI
RoPM    (2026-09-23 10:38:49)
Контроль встановлення пере ліжок НП-2 перед ущільненням люка гарячого колектору II-го контуру</t>
      </text>
    </comment>
    <comment authorId="0" ref="R392">
      <text>
        <t xml:space="preserve">======
ID#AAACHfgssh4
RoPM    (2026-09-23 10:38:49)
Провести виміри головних пускових клапанів
пневмосистеми</t>
      </text>
    </comment>
    <comment authorId="0" ref="L161">
      <text>
        <t xml:space="preserve">======
ID#AAACHfgsswo
RoPM    (2026-09-23 10:38:49)
Контроль показників глибиноміра індикаторного при вимірі положення стрижнів шпильок М52 у вільному стані перед ущільненням люка гарячого колектору II-го контуру</t>
      </text>
    </comment>
    <comment authorId="0" ref="T392">
      <text>
        <t xml:space="preserve">======
ID#AAACHfgsshQ
RoPM    (2026-09-23 10:38:49)
Виконати виміри поршнів</t>
      </text>
    </comment>
    <comment authorId="0" ref="N161">
      <text>
        <t xml:space="preserve">======
ID#AAACHfgsstQ
RoPM    (2026-09-23 10:38:49)
Контроль витяжки шпильок М52 люка гарячого колектору II-го контуру, після випробування МПП</t>
      </text>
    </comment>
    <comment authorId="0" ref="V392">
      <text>
        <t xml:space="preserve">======
ID#AAACHfgssuo
RoPM    (2026-09-23 10:38:49)
Виконати виміри проміжку між кільцем і канавкою поршнів (зазор α)</t>
      </text>
    </comment>
    <comment authorId="0" ref="P161">
      <text>
        <t xml:space="preserve">======
ID#AAACHfgssio
RoPM    (2026-09-23 10:38:49)
Контроль встановлення переліжок НП-2 люк-лазу боку Е</t>
      </text>
    </comment>
    <comment authorId="0" ref="R161">
      <text>
        <t xml:space="preserve">======
ID#AAACHfgssgg
RoPM    (2026-09-23 10:38:49)
Контроль показників глибиноміра індикаторного при вимірі положення стрижнів шпильок М-48 у вільному стані перед ущільненням люк-лазу боку E</t>
      </text>
    </comment>
    <comment authorId="0" ref="T161">
      <text>
        <t xml:space="preserve">======
ID#AAACHfgssyk
RoPM    (2026-09-23 10:38:49)
Контроль витяжки шпильок М48, люк-лазу боку Е після випробування МПП</t>
      </text>
    </comment>
    <comment authorId="0" ref="D360">
      <text>
        <t xml:space="preserve">======
ID#AAACHfgsss4
RoPM    (2026-09-23 10:38:49)
огляд внутрішньої поверхні корпусу</t>
      </text>
    </comment>
    <comment authorId="0" ref="F360">
      <text>
        <t xml:space="preserve">======
ID#AAACHfgssvw
RoPM    (2026-09-23 10:38:49)
огляд шибера (диска) і ущільнюючої поверхні корпусу</t>
      </text>
    </comment>
    <comment authorId="0" ref="H360">
      <text>
        <t xml:space="preserve">======
ID#AAACHfgss04
RoPM    (2026-09-23 10:38:49)
огляд стану поверхні роз'єму «кришка-корпус»</t>
      </text>
    </comment>
    <comment authorId="0" ref="D195">
      <text>
        <t xml:space="preserve">======
ID#AAACHfgsshw
Огляд ущільнюючих поверхонь    (2026-09-23 10:38:49)
люк-лазу деаераційної колонки "А"</t>
      </text>
    </comment>
    <comment authorId="0" ref="J360">
      <text>
        <t xml:space="preserve">======
ID#AAACHfgssvc
RoPM    (2026-09-23 10:38:49)
огляд ущільнюючих поверхонь виймальних частин</t>
      </text>
    </comment>
    <comment authorId="0" ref="D162">
      <text>
        <t xml:space="preserve">======
ID#AAACHfgssts
RoPM    (2026-09-23 10:38:49)
Контроль встановлення переліжок НП-2 перед ущільненням люка холодного колектору I-го контуру</t>
      </text>
    </comment>
    <comment authorId="0" ref="F195">
      <text>
        <t xml:space="preserve">======
ID#AAACHfgsspE
Огляд ущільнюючих поверхонь    (2026-09-23 10:38:49)
люк-лазу деаераційної колонки "Б"</t>
      </text>
    </comment>
    <comment authorId="0" ref="F162">
      <text>
        <t xml:space="preserve">======
ID#AAACHfgsstU
RoPM    (2026-09-23 10:38:49)
Контроль показників глибиноміра індикаторного при вимірі положення стрижнів шпильок М60 у вільному стані перед ущільненням люка холодного колектору I-го контуру</t>
      </text>
    </comment>
    <comment authorId="0" ref="H195">
      <text>
        <t xml:space="preserve">======
ID#AAACHfgssuk
Огляд ущільнюючих поверхонь    (2026-09-23 10:38:49)
люк-лазу деаераторного баку</t>
      </text>
    </comment>
    <comment authorId="0" ref="H162">
      <text>
        <t xml:space="preserve">======
ID#AAACHfgssjw
RoPM    (2026-09-23 10:38:49)
Контроль витяжки шпильок М60 люка холодного колектору I-го контуру, після випробування МПП</t>
      </text>
    </comment>
    <comment authorId="0" ref="J162">
      <text>
        <t xml:space="preserve">======
ID#AAACHfgssvY
RoPM    (2026-09-23 10:38:49)
Контроль встановлення НП-2 переліжок перед ущільненням люка холодного колектору II-го контуру</t>
      </text>
    </comment>
    <comment authorId="0" ref="L162">
      <text>
        <t xml:space="preserve">======
ID#AAACHfgsshI
RoPM    (2026-09-23 10:38:49)
Контроль показників глибиноміра індикаторного при вимірі положення стрижнів шпильок М52 у вільному стані перед ущільненням люка холодного колектору II-го контуру</t>
      </text>
    </comment>
    <comment authorId="0" ref="N162">
      <text>
        <t xml:space="preserve">======
ID#AAACHfgss1M
RoPM    (2026-09-23 10:38:49)
Контроль витяжки шпильок М52 люка холодного колектору II-го контуру, після випробування МПП</t>
      </text>
    </comment>
    <comment authorId="0" ref="P162">
      <text>
        <t xml:space="preserve">======
ID#AAACHfgsstI
RoPM    (2026-09-23 10:38:49)
Контроль встановлення переліжок НП-2 люк-лазу боку F</t>
      </text>
    </comment>
    <comment authorId="0" ref="R162">
      <text>
        <t xml:space="preserve">======
ID#AAACHfgssyg
RoPM    (2026-09-23 10:38:49)
Контроль показників глибиноміра індикаторного при вимірі положення стрижнів шпильок М48 у вільному стані перед ущільненням люк-лазу боку F</t>
      </text>
    </comment>
    <comment authorId="0" ref="T162">
      <text>
        <t xml:space="preserve">======
ID#AAACHfgssrs
RoPM    (2026-09-23 10:38:49)
Контроль витяжки шпильок М48, люк-лазу боку F після випробування МПП</t>
      </text>
    </comment>
    <comment authorId="0" ref="D394">
      <text>
        <t xml:space="preserve">======
ID#AAACHfgss0w
RoPM    (2026-09-23 10:38:49)
Виконати виміри проміжків в замках поршневих кілець</t>
      </text>
    </comment>
    <comment authorId="0" ref="F394">
      <text>
        <t xml:space="preserve">======
ID#AAACHfgsszo
RoPM    (2026-09-23 10:38:49)
Виконати виміри корінних і шатунних шийок верхніх колінчастих валів і шатунних шийок нижніх колінчастих валів</t>
      </text>
    </comment>
    <comment authorId="0" ref="D328">
      <text>
        <t xml:space="preserve">======
ID#AAACHfgssjM
RoPM    (2026-09-23 10:38:49)
огляд внутрішньої поверхні корпусу</t>
      </text>
    </comment>
    <comment authorId="0" ref="D295">
      <text>
        <t xml:space="preserve">======
ID#AAACHfgss48
RoPM    (2026-09-23 10:38:49)
огляд внутрішньої поверхні корпусу</t>
      </text>
    </comment>
    <comment authorId="0" ref="H394">
      <text>
        <t xml:space="preserve">======
ID#AAACHfgsszU
RoPM    (2026-09-23 10:38:49)
Провести виміри масляногопроміжку в корінних і шатунних підшипниках верхніх колінчастих валів</t>
      </text>
    </comment>
    <comment authorId="0" ref="F328">
      <text>
        <t xml:space="preserve">======
ID#AAACHfgssw0
RoPM    (2026-09-23 10:38:49)
огляд шибера (диска) і ущільнюючої поверхні корпусу</t>
      </text>
    </comment>
    <comment authorId="0" ref="D229">
      <text>
        <t xml:space="preserve">======
ID#AAACHfgss00
RoPM    (2026-09-23 10:38:49)
огляд внутрішньої поверхні корпусу</t>
      </text>
    </comment>
    <comment authorId="0" ref="F295">
      <text>
        <t xml:space="preserve">======
ID#AAACHfgsswg
RoPM    (2026-09-23 10:38:49)
огляд шибера (диска) і ущільнюючої поверхні корпусу</t>
      </text>
    </comment>
    <comment authorId="0" ref="J394">
      <text>
        <t xml:space="preserve">======
ID#AAACHfgsszA
RoPM    (2026-09-23 10:38:49)
Провести виміри масляного проміжку в корінних і шатунних підшипниках нижніх колінчастих валів</t>
      </text>
    </comment>
    <comment authorId="0" ref="H328">
      <text>
        <t xml:space="preserve">======
ID#AAACHfgsskE
RoPM    (2026-09-23 10:38:49)
огляд стану поверхні роз'єму «кришка-корпус»</t>
      </text>
    </comment>
    <comment authorId="0" ref="H295">
      <text>
        <t xml:space="preserve">======
ID#AAACHfgss6Y
RoPM    (2026-09-23 10:38:49)
огляд стану поверхні роз'єму «кришка-корпус»</t>
      </text>
    </comment>
    <comment authorId="0" ref="F229">
      <text>
        <t xml:space="preserve">======
ID#AAACHfgssvU
RoPM    (2026-09-23 10:38:49)
огляд клапана і ущільнюючої поверхні корпусу</t>
      </text>
    </comment>
    <comment authorId="0" ref="L394">
      <text>
        <t xml:space="preserve">======
ID#AAACHfgss0g
RoPM    (2026-09-23 10:38:49)
Виконати виміри проміжків в головному підшипнику шатуна</t>
      </text>
    </comment>
    <comment authorId="0" ref="J328">
      <text>
        <t xml:space="preserve">======
ID#AAACHfgssww
RoPM    (2026-09-23 10:38:49)
огляд ущільнюючих поверхонь виймальних частин</t>
      </text>
    </comment>
    <comment authorId="0" ref="H229">
      <text>
        <t xml:space="preserve">======
ID#AAACHfgssuU
RoPM    (2026-09-23 10:38:49)
огляд стану поверхні роз'єму «кришка-корпус»</t>
      </text>
    </comment>
    <comment authorId="0" ref="J295">
      <text>
        <t xml:space="preserve">======
ID#AAACHfgssoo
RoPM    (2026-09-23 10:38:49)
огляд ущільнюючих поверхонь виймальних частин</t>
      </text>
    </comment>
    <comment authorId="0" ref="N394">
      <text>
        <t xml:space="preserve">======
ID#AAACHfgss0Q
RoPM    (2026-09-23 10:38:49)
Виконати виміри в упорному і кормовому підшипниках розподільних валів</t>
      </text>
    </comment>
    <comment authorId="0" ref="D64">
      <text>
        <t xml:space="preserve">======
ID#AAACHfgss1Q
RoPM    (2026-09-23 10:38:49)
контроль проміжків в ущільненнях проточної частини</t>
      </text>
    </comment>
    <comment authorId="0" ref="D31">
      <text>
        <t xml:space="preserve">======
ID#AAACHfgss34
RoPM    (2026-09-23 10:38:49)
контроль осьового розбігу ротора</t>
      </text>
    </comment>
    <comment authorId="0" ref="J229">
      <text>
        <t xml:space="preserve">======
ID#AAACHfgss3o
RoPM    (2026-09-23 10:38:49)
огляд ущільнюючих поверхонь виймальних частин</t>
      </text>
    </comment>
    <comment authorId="0" ref="F64">
      <text>
        <t xml:space="preserve">======
ID#AAACHfgss4w
RoPM    (2026-09-23 10:38:49)
контроль теплового проміжку барабан – колесо останньої ступені</t>
      </text>
    </comment>
    <comment authorId="0" ref="P394">
      <text>
        <t xml:space="preserve">======
ID#AAACHfgss6U
RoPM    (2026-09-23 10:38:49)
Виконати виміри висоти камери стиснення</t>
      </text>
    </comment>
    <comment authorId="0" ref="F31">
      <text>
        <t xml:space="preserve">======
ID#AAACHfgsssU
RoPM    (2026-09-23 10:38:49)
контроль масляних проміжків у підшипникових вузлах</t>
      </text>
    </comment>
    <comment authorId="0" ref="H64">
      <text>
        <t xml:space="preserve">======
ID#AAACHfgssxM
RoPM    (2026-09-23 10:38:49)
контроль осьового розбігу ротора</t>
      </text>
    </comment>
    <comment authorId="0" ref="R394">
      <text>
        <t xml:space="preserve">======
ID#AAACHfgsssQ
RoPM    (2026-09-23 10:38:49)
Виконати всі роботи, передбачені ТР, СР</t>
      </text>
    </comment>
    <comment authorId="0" ref="H31">
      <text>
        <t xml:space="preserve">======
ID#AAACHfgssl0
RoPM    (2026-09-23 10:38:49)
контроль центрування агрегату</t>
      </text>
    </comment>
    <comment authorId="0" ref="T394">
      <text>
        <t xml:space="preserve">======
ID#AAACHfgss0E
RoPM    (2026-09-23 10:38:49)
Виконати виміри проміжку між вкладишем і «постіллю» корінних і шатунних вкладишів</t>
      </text>
    </comment>
    <comment authorId="0" ref="J64">
      <text>
        <t xml:space="preserve">======
ID#AAACHfgsszY
RoPM    (2026-09-23 10:38:49)
контроль центрування агрегату</t>
      </text>
    </comment>
    <comment authorId="0" ref="V394">
      <text>
        <t xml:space="preserve">======
ID#AAACHfgsslc
RoPM    (2026-09-23 10:38:49)
Виконати виміри проміжку між поверхнею «А» втулки робочого циліндра і поршнем</t>
      </text>
    </comment>
    <comment authorId="0" ref="D98">
      <text>
        <t xml:space="preserve">======
ID#AAACHfgsssk
RoPM    (2026-09-23 10:38:49)
контроль теплового проміжку підшипника</t>
      </text>
    </comment>
    <comment authorId="0" ref="F98">
      <text>
        <t xml:space="preserve">======
ID#AAACHfgss20
RoPM    (2026-09-23 10:38:49)
контроль центрування агрегату</t>
      </text>
    </comment>
    <comment authorId="0" ref="D396">
      <text>
        <t xml:space="preserve">======
ID#AAACHfgss1k
RoPM    (2026-09-23 10:38:49)
Виконати виміри проміжку між остовом і поверхнею «Б» втулки робочого циліндра</t>
      </text>
    </comment>
    <comment authorId="0" ref="D363">
      <text>
        <t xml:space="preserve">======
ID#AAACHfgssr4
RoPM    (2026-09-23 10:38:49)
Огляд втулки різьбової</t>
      </text>
    </comment>
    <comment authorId="0" ref="F396">
      <text>
        <t xml:space="preserve">======
ID#AAACHfgss3A
RoPM    (2026-09-23 10:38:49)
Виконати виміри проміжку між остовом і поверхнею «Д» втулки робочого циліндра</t>
      </text>
    </comment>
    <comment authorId="0" ref="H396">
      <text>
        <t xml:space="preserve">======
ID#AAACHfgssss
RoPM    (2026-09-23 10:38:49)
Виконати виміри проміжку між остовом і поверхнею «Е» втулки робочого циліндра</t>
      </text>
    </comment>
    <comment authorId="0" ref="J396">
      <text>
        <t xml:space="preserve">======
ID#AAACHfgssvM
RoPM    (2026-09-23 10:38:49)
Виконати виміри проміжку між втулкою і сорочкою по поверхні «В» втулки робочого циліндра</t>
      </text>
    </comment>
    <comment authorId="0" ref="D298">
      <text>
        <t xml:space="preserve">======
ID#AAACHfgssiE
RoPM    (2026-09-23 10:38:49)
огляд внутрішньої поверхні корпусу</t>
      </text>
    </comment>
    <comment authorId="0" ref="F298">
      <text>
        <t xml:space="preserve">======
ID#AAACHfgss6Q
RoPM    (2026-09-23 10:38:49)
огляд ущільнюючих поверхонь корпусу</t>
      </text>
    </comment>
    <comment authorId="0" ref="H298">
      <text>
        <t xml:space="preserve">======
ID#AAACHfgsspU
RoPM    (2026-09-23 10:38:49)
огляд стану поверхонь роз'єму «кришка-корпус»</t>
      </text>
    </comment>
    <comment authorId="0" ref="D133">
      <text>
        <t xml:space="preserve">======
ID#AAACHfgssjk
RoPM    (2026-09-23 10:38:49)
контроль биття і вертикальності осі валопроводу</t>
      </text>
    </comment>
  </commentList>
  <extLst>
    <ext uri="GoogleSheetsCustomDataVersion2">
      <go:sheetsCustomData xmlns:go="http://customooxmlschemas.google.com/" r:id="rId1" roundtripDataSignature="AMtx7mgc0Yxj7WbdcqyghnqWougVCaMq3Q=="/>
    </ext>
  </extLst>
</comments>
</file>

<file path=xl/sharedStrings.xml><?xml version="1.0" encoding="utf-8"?>
<sst xmlns="http://schemas.openxmlformats.org/spreadsheetml/2006/main" count="513" uniqueCount="401">
  <si>
    <t>Насоси</t>
  </si>
  <si>
    <t>Посудини</t>
  </si>
  <si>
    <t>Арматура</t>
  </si>
  <si>
    <t>Дизелі</t>
  </si>
  <si>
    <t>Реактор</t>
  </si>
  <si>
    <t>Діаграма</t>
  </si>
  <si>
    <r>
      <rPr>
        <rFont val="Times New Roman"/>
        <b/>
        <color theme="1"/>
        <sz val="12.0"/>
      </rPr>
      <t xml:space="preserve">      Сьогодні прийнято</t>
    </r>
    <r>
      <rPr>
        <rFont val="Times New Roman"/>
        <b/>
        <color theme="1"/>
        <sz val="11.0"/>
      </rPr>
      <t xml:space="preserve"> </t>
    </r>
  </si>
  <si>
    <t>к.о.</t>
  </si>
  <si>
    <t xml:space="preserve">Персональні коди працівників </t>
  </si>
  <si>
    <t>КР</t>
  </si>
  <si>
    <t>ПР</t>
  </si>
  <si>
    <t>№       п/п</t>
  </si>
  <si>
    <t>Найменування обладнання</t>
  </si>
  <si>
    <t xml:space="preserve">Вид ремо-нту </t>
  </si>
  <si>
    <t>Шифр конПРольних операцій/дата виконання/персональний код</t>
  </si>
  <si>
    <t>Примітки</t>
  </si>
  <si>
    <t>ТО</t>
  </si>
  <si>
    <t>СР</t>
  </si>
  <si>
    <t>НАСОСИ</t>
  </si>
  <si>
    <t>РЦ-2</t>
  </si>
  <si>
    <t>Главный циркуля- ционный насос тип ГЦН-195М</t>
  </si>
  <si>
    <t xml:space="preserve"> </t>
  </si>
  <si>
    <t>3YD10D01</t>
  </si>
  <si>
    <t>3YD20D01</t>
  </si>
  <si>
    <t>3YD30D01</t>
  </si>
  <si>
    <t>3YD40D01</t>
  </si>
  <si>
    <t>Насос подачи бора высокого давления тип ПТ6/160С</t>
  </si>
  <si>
    <t>3ТQ14D01</t>
  </si>
  <si>
    <t>3ТQ24D01</t>
  </si>
  <si>
    <t>3ТQ34D01</t>
  </si>
  <si>
    <t>Аварийный питательный насос тип ПЭА 150-85</t>
  </si>
  <si>
    <t>3TX10D01</t>
  </si>
  <si>
    <t>3TX20D01</t>
  </si>
  <si>
    <t>3TX30D01</t>
  </si>
  <si>
    <t>Подпиточный насос  тип ЦН 60-180</t>
  </si>
  <si>
    <t>3ТК21D02</t>
  </si>
  <si>
    <t>3ТК22D02</t>
  </si>
  <si>
    <t>3ТК23D02</t>
  </si>
  <si>
    <t>Насос аварійного впорскування бору ЦН 150-110</t>
  </si>
  <si>
    <t>3ТQ13D01</t>
  </si>
  <si>
    <t>3ТQ23D01</t>
  </si>
  <si>
    <t>3ТQ33D01</t>
  </si>
  <si>
    <t>Предвключенный насос тип АХ 90/49-К-2Г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</si>
  <si>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ТК21D01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</si>
  <si>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ТК22D01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</si>
  <si>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ТК23D01</t>
    </r>
  </si>
  <si>
    <t>Насос аварийного расхолаживания тип ЦНР 800-230</t>
  </si>
  <si>
    <t>3ТQ12D01</t>
  </si>
  <si>
    <t>3ТQ22D01</t>
  </si>
  <si>
    <t>3ТQ32D01</t>
  </si>
  <si>
    <t>Насос спринклерный тип ЦНСА 700-140</t>
  </si>
  <si>
    <t>3ТQ11D01</t>
  </si>
  <si>
    <t>3ТQ21D01</t>
  </si>
  <si>
    <t>3ТQ31D01</t>
  </si>
  <si>
    <t>ТЦ-2</t>
  </si>
  <si>
    <t>Питательный насос тип ПТА 3750-75</t>
  </si>
  <si>
    <t>3RL41D01</t>
  </si>
  <si>
    <t>3RL42D01</t>
  </si>
  <si>
    <t>Предвключенный питательный насос тип ПТА-3800-20-1</t>
  </si>
  <si>
    <t>3RL31D01</t>
  </si>
  <si>
    <t>3RL32D01</t>
  </si>
  <si>
    <t>Вспомогательный питательный насос тип ПЭА 150-85</t>
  </si>
  <si>
    <t>3RL51D01</t>
  </si>
  <si>
    <t>3RL52D01</t>
  </si>
  <si>
    <t>Конденсатный насос I ступени тип КсВА 1500-120</t>
  </si>
  <si>
    <t>3RМ11D01</t>
  </si>
  <si>
    <t>3RМ12D01</t>
  </si>
  <si>
    <t>3RМ13D01</t>
  </si>
  <si>
    <t>Конденсатный насос II ступени тип КсВА 1000-190</t>
  </si>
  <si>
    <t>3RМ61D01</t>
  </si>
  <si>
    <t>3RМ62D01</t>
  </si>
  <si>
    <t>3RМ63D01</t>
  </si>
  <si>
    <t>3RМ64D01</t>
  </si>
  <si>
    <t>3RМ65D01</t>
  </si>
  <si>
    <t>Насос откачки сепарата тип СПП КсВА 900-180</t>
  </si>
  <si>
    <t>3RВ31D01</t>
  </si>
  <si>
    <t>3RВ32D01</t>
  </si>
  <si>
    <t>Подъемный насос охлаждения масла системы смазки тип Д 2000-100</t>
  </si>
  <si>
    <t>3VC31D01</t>
  </si>
  <si>
    <t>3VC32D01</t>
  </si>
  <si>
    <t>Подъемный насос эжекторов тип Д 3200-75</t>
  </si>
  <si>
    <t>3VC81D01</t>
  </si>
  <si>
    <t>3VC82D01</t>
  </si>
  <si>
    <t>3VC83D01</t>
  </si>
  <si>
    <t>Насос промконтура охлаждения водорода генератора и воздуховозбудителей тип Д 2500-62</t>
  </si>
  <si>
    <t>3VG11D01</t>
  </si>
  <si>
    <t>3VG12D01</t>
  </si>
  <si>
    <t>Подъемный насос техводы гр.”Б” на поПРебление реакторного отделения тип НКУ - 250</t>
  </si>
  <si>
    <t>3VВ81D01</t>
  </si>
  <si>
    <t>3VВ82D01</t>
  </si>
  <si>
    <t>3VВ83D01</t>
  </si>
  <si>
    <t>Насос конденсатный ТПН тип КС 125 - 55</t>
  </si>
  <si>
    <t>3RW51D11</t>
  </si>
  <si>
    <t>3RW51D21</t>
  </si>
  <si>
    <t>3RW52D11</t>
  </si>
  <si>
    <t>3RW52D21</t>
  </si>
  <si>
    <t>Конденсатный гидротурбинный насос тип КГТН 850 - 400</t>
  </si>
  <si>
    <t>3RN82D01</t>
  </si>
  <si>
    <t>Маслонасос системы УВГ ЦНСМ 38-132</t>
  </si>
  <si>
    <t>3SU11D01</t>
  </si>
  <si>
    <t>3SU12D01</t>
  </si>
  <si>
    <t>3SU13D01</t>
  </si>
  <si>
    <t>Маслонасос системы регулирования турбины НВР 50-36/72</t>
  </si>
  <si>
    <t>3SЕ81D01</t>
  </si>
  <si>
    <t>3SЕ82D01</t>
  </si>
  <si>
    <t>Маслонасос системы смазки подшипников турбины и ТПН тип 12КМ-15в</t>
  </si>
  <si>
    <t>3SС11D01</t>
  </si>
  <si>
    <t>3SС12D01</t>
  </si>
  <si>
    <t>3SС13D01</t>
  </si>
  <si>
    <t>3SС14D01</t>
  </si>
  <si>
    <t>Насос охлаждения статора генератора тип Х 280/72-К-СД</t>
  </si>
  <si>
    <t>3SS11D01</t>
  </si>
  <si>
    <t>3SS12D01</t>
  </si>
  <si>
    <t>Маслонасос системы регулирования ТПН тип НК 200-120</t>
  </si>
  <si>
    <t>3SС31D41A</t>
  </si>
  <si>
    <t>3SС31D42A</t>
  </si>
  <si>
    <t>3SС32D41A</t>
  </si>
  <si>
    <t>3SС32D42A</t>
  </si>
  <si>
    <t>ГТЦ</t>
  </si>
  <si>
    <t>Циркуляционный насос тип ОПВ2-185ЭГ</t>
  </si>
  <si>
    <t>3VC10D01</t>
  </si>
  <si>
    <t>3VC10D02</t>
  </si>
  <si>
    <t>3VC10D03</t>
  </si>
  <si>
    <t>3VC10D04</t>
  </si>
  <si>
    <t>Насос градирни тип 170 ДПВ-12/22ЭГ</t>
  </si>
  <si>
    <t>3ЦН-1</t>
  </si>
  <si>
    <t>3ЦН-2</t>
  </si>
  <si>
    <t>3ЦН-3</t>
  </si>
  <si>
    <t>3ЦН-4</t>
  </si>
  <si>
    <t xml:space="preserve"> ПОСУДИНИ</t>
  </si>
  <si>
    <t>Компенсатор давления, КД</t>
  </si>
  <si>
    <t>3YP10В01</t>
  </si>
  <si>
    <t>3YТ11В01</t>
  </si>
  <si>
    <t>3YТ12В01</t>
  </si>
  <si>
    <t>3YТ13В01</t>
  </si>
  <si>
    <t>3YТ14В01</t>
  </si>
  <si>
    <t>ФильПРа СВО-1 тип АФМВТ-1,0-16</t>
  </si>
  <si>
    <t>3ТС10N01</t>
  </si>
  <si>
    <t>3ТС20N01</t>
  </si>
  <si>
    <t>3ТС30N01</t>
  </si>
  <si>
    <t>3ТС40N01</t>
  </si>
  <si>
    <t>Парогенератор тип ПГВ-1000М</t>
  </si>
  <si>
    <t>I-I</t>
  </si>
  <si>
    <t>I-II</t>
  </si>
  <si>
    <t>I-III</t>
  </si>
  <si>
    <t>II-I</t>
  </si>
  <si>
    <t>II-II</t>
  </si>
  <si>
    <t>II-III</t>
  </si>
  <si>
    <t>III-I</t>
  </si>
  <si>
    <t>III-II</t>
  </si>
  <si>
    <t>III-III</t>
  </si>
  <si>
    <t>Колектор</t>
  </si>
  <si>
    <t>3YB10W01</t>
  </si>
  <si>
    <t>Гарячий</t>
  </si>
  <si>
    <t>Холодний</t>
  </si>
  <si>
    <t>3YB20W01</t>
  </si>
  <si>
    <t>3YB30W01</t>
  </si>
  <si>
    <t>3YB40W01</t>
  </si>
  <si>
    <t>Подогреватели низкого давления тип ПН-3200-30-16-1А (2А)</t>
  </si>
  <si>
    <r>
      <rPr>
        <rFont val="Times New Roman"/>
        <b/>
        <color theme="1"/>
        <sz val="11.0"/>
      </rPr>
      <t xml:space="preserve">3RD40W01 </t>
    </r>
    <r>
      <rPr>
        <rFont val="Times New Roman"/>
        <b/>
        <color theme="1"/>
        <sz val="9.0"/>
      </rPr>
      <t>(ПНД-5)</t>
    </r>
  </si>
  <si>
    <r>
      <rPr>
        <rFont val="Times New Roman"/>
        <b/>
        <color theme="1"/>
        <sz val="11.0"/>
      </rPr>
      <t xml:space="preserve">3RH50W01 </t>
    </r>
    <r>
      <rPr>
        <rFont val="Times New Roman"/>
        <b/>
        <color theme="1"/>
        <sz val="9.0"/>
      </rPr>
      <t>(ПНД-4)</t>
    </r>
  </si>
  <si>
    <r>
      <rPr>
        <rFont val="Times New Roman"/>
        <b/>
        <color theme="1"/>
        <sz val="11.0"/>
      </rPr>
      <t xml:space="preserve">3RH60W01 </t>
    </r>
    <r>
      <rPr>
        <rFont val="Times New Roman"/>
        <b/>
        <color theme="1"/>
        <sz val="9.0"/>
      </rPr>
      <t>(ПНД-3)</t>
    </r>
  </si>
  <si>
    <t>Подогреватели высокого давления тип ПВ-2500-97-18А (28А)</t>
  </si>
  <si>
    <r>
      <rPr>
        <rFont val="Times New Roman"/>
        <b/>
        <color theme="1"/>
        <sz val="11.0"/>
      </rPr>
      <t xml:space="preserve">3RD11W01 </t>
    </r>
    <r>
      <rPr>
        <rFont val="Times New Roman"/>
        <b/>
        <color theme="1"/>
        <sz val="9.0"/>
      </rPr>
      <t>(ПВД-7А)</t>
    </r>
  </si>
  <si>
    <r>
      <rPr>
        <rFont val="Times New Roman"/>
        <b/>
        <color theme="1"/>
        <sz val="11.0"/>
      </rPr>
      <t xml:space="preserve">3RD21W01 </t>
    </r>
    <r>
      <rPr>
        <rFont val="Times New Roman"/>
        <b/>
        <color theme="1"/>
        <sz val="9.0"/>
      </rPr>
      <t>(ПВД-6А)</t>
    </r>
  </si>
  <si>
    <r>
      <rPr>
        <rFont val="Times New Roman"/>
        <b/>
        <color theme="1"/>
        <sz val="11.0"/>
      </rPr>
      <t xml:space="preserve">3RD12W01 </t>
    </r>
    <r>
      <rPr>
        <rFont val="Times New Roman"/>
        <b/>
        <color theme="1"/>
        <sz val="9.0"/>
      </rPr>
      <t>(ПВД-7Б)</t>
    </r>
  </si>
  <si>
    <r>
      <rPr>
        <rFont val="Times New Roman"/>
        <b/>
        <color theme="1"/>
        <sz val="11.0"/>
      </rPr>
      <t xml:space="preserve">3RD22W01 </t>
    </r>
    <r>
      <rPr>
        <rFont val="Times New Roman"/>
        <b/>
        <color theme="1"/>
        <sz val="9.0"/>
      </rPr>
      <t>(ПВД-6Б)</t>
    </r>
  </si>
  <si>
    <t>Сепаратор-пароперегреватель тип СПП-1000-1</t>
  </si>
  <si>
    <t>3RВ11W01</t>
  </si>
  <si>
    <t>3RВ12W01</t>
  </si>
  <si>
    <t>3RВ13W01</t>
  </si>
  <si>
    <t>3RВ14W01</t>
  </si>
  <si>
    <t>Сепаратосборник с/сб</t>
  </si>
  <si>
    <t>3RВ 20 В01</t>
  </si>
  <si>
    <t>Конденсатосборник к/сб</t>
  </si>
  <si>
    <t>3RN70В01</t>
  </si>
  <si>
    <t>Деаэратор тип ДП-3200 (2Х1600)-185А</t>
  </si>
  <si>
    <t>3RL21В01</t>
  </si>
  <si>
    <t xml:space="preserve">  </t>
  </si>
  <si>
    <t>3RL22B01</t>
  </si>
  <si>
    <t>АРМАТУРА</t>
  </si>
  <si>
    <t xml:space="preserve"> РЦ-2</t>
  </si>
  <si>
    <t>Задвижки последние  по ходу пит. воды на ПГ тип 1080-400-Э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</si>
  <si>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TX41S02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</si>
  <si>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TX42S02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</si>
  <si>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TX43S02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</si>
  <si>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TX44S02</t>
    </r>
  </si>
  <si>
    <t>Задвижки на впрыске в КО тип  Pos.1.1.5/Permador 703-225 DN 125/125</t>
  </si>
  <si>
    <t>3YP11S02</t>
  </si>
  <si>
    <t>3YP12S02</t>
  </si>
  <si>
    <t>Задвижки на впрыске в КО тип  Pos.1.1.6/Permador 703-225 DN 125/125</t>
  </si>
  <si>
    <t>3YP11S01</t>
  </si>
  <si>
    <t>3YP12S01</t>
  </si>
  <si>
    <t>Задвижки на впрыске в КО тип Pos.1.1.7/Absperrvtntil 140-526 DN 100</t>
  </si>
  <si>
    <t>3YP13S03</t>
  </si>
  <si>
    <t>Задвижки на впрыске в КО тип Pos.4.1.1/Stelventil 346-426 DN 100</t>
  </si>
  <si>
    <t>3YP13S02</t>
  </si>
  <si>
    <t>ИК ПК КО тип VS66-25.50-25</t>
  </si>
  <si>
    <t>3YP21S04</t>
  </si>
  <si>
    <t>3YP21S03</t>
  </si>
  <si>
    <t>3YP22S04</t>
  </si>
  <si>
    <t>3YP22S03</t>
  </si>
  <si>
    <t>3YP23S04</t>
  </si>
  <si>
    <t>3YP23S03</t>
  </si>
  <si>
    <t>ЭМК КО, тип Pos.1.8/VСА 1.320.25.25.112*  Pos.1.9/ETF2.320.25-00.33BO</t>
  </si>
  <si>
    <t>3YP21S08</t>
  </si>
  <si>
    <t>3YP21S09*</t>
  </si>
  <si>
    <t>ЭПК КД тип VCA1 c NICO4000</t>
  </si>
  <si>
    <t>3YP22S08</t>
  </si>
  <si>
    <t>3YP23S08</t>
  </si>
  <si>
    <t>3YP22S09</t>
  </si>
  <si>
    <t>3YP23S09</t>
  </si>
  <si>
    <t>ГПК КД, тип VS99.61.320.100K150</t>
  </si>
  <si>
    <t>3YP21S01</t>
  </si>
  <si>
    <t>3YP22S01</t>
  </si>
  <si>
    <t>3YP23S01</t>
  </si>
  <si>
    <t>ПК кол-ра расхолаживания САОЗ  тип  Р55189-150</t>
  </si>
  <si>
    <t>3TQ40S08</t>
  </si>
  <si>
    <t>3TQ40S09</t>
  </si>
  <si>
    <t>ИПУ гидроемкостей САОЗ тип Pos.7.2.1/Sin 3115-H.DN 25*25</t>
  </si>
  <si>
    <t>3YT11S09</t>
  </si>
  <si>
    <t>3YT11S10</t>
  </si>
  <si>
    <t>3YT12S09</t>
  </si>
  <si>
    <t>3YT12S10</t>
  </si>
  <si>
    <t>3YT13S09</t>
  </si>
  <si>
    <t>3YT13S10</t>
  </si>
  <si>
    <t>3YT14S09</t>
  </si>
  <si>
    <t>3YT14S10</t>
  </si>
  <si>
    <t>ИПУ  ПГ тип  M.S.R.V. 076.0365.000/B</t>
  </si>
  <si>
    <t>3TX50S03</t>
  </si>
  <si>
    <t>3TX50S04</t>
  </si>
  <si>
    <t>3TX60S03</t>
  </si>
  <si>
    <t>3TX60S04</t>
  </si>
  <si>
    <t>3TX70S03</t>
  </si>
  <si>
    <t>3TX70S04</t>
  </si>
  <si>
    <t>3TX80S03</t>
  </si>
  <si>
    <t>3TX80S04</t>
  </si>
  <si>
    <t>БРУ-А тип 960-300/350-Э-Э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</si>
  <si>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TX50S05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</si>
  <si>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TX60S05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</si>
  <si>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TX70S05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</si>
  <si>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TX80S05</t>
    </r>
  </si>
  <si>
    <t>БЗОК на выходе пара из ПГ  тип Pos.1.2.8/Eldidor DN 600/500</t>
  </si>
  <si>
    <t>3ТХ50S06</t>
  </si>
  <si>
    <t>3ТХ60S06</t>
  </si>
  <si>
    <t>3ТХ70S06</t>
  </si>
  <si>
    <t>3ТХ80S06</t>
  </si>
  <si>
    <t>Клапана регулирующие, тип И68051-500-02, И68052-250 (ОсмоПР втулки резьбовой)</t>
  </si>
  <si>
    <r>
      <rPr>
        <rFont val="Pragmatica"/>
        <b/>
        <color theme="1"/>
        <sz val="11.0"/>
      </rPr>
      <t>3VF</t>
    </r>
    <r>
      <rPr>
        <rFont val="Pragmatica"/>
        <b/>
        <color theme="1"/>
        <sz val="11.0"/>
      </rPr>
      <t>40</t>
    </r>
    <r>
      <rPr>
        <rFont val="Pragmatica"/>
        <b/>
        <color theme="1"/>
        <sz val="11.0"/>
      </rPr>
      <t>S05</t>
    </r>
  </si>
  <si>
    <t>18380-15-11</t>
  </si>
  <si>
    <r>
      <rPr>
        <rFont val="Pragmatica"/>
        <b/>
        <color theme="1"/>
        <sz val="11.0"/>
      </rPr>
      <t>3VF</t>
    </r>
    <r>
      <rPr>
        <rFont val="Pragmatica"/>
        <b/>
        <color theme="1"/>
        <sz val="11.0"/>
      </rPr>
      <t>50</t>
    </r>
    <r>
      <rPr>
        <rFont val="Pragmatica"/>
        <b/>
        <color theme="1"/>
        <sz val="11.0"/>
      </rPr>
      <t>S05</t>
    </r>
  </si>
  <si>
    <t>18380-15-1</t>
  </si>
  <si>
    <r>
      <rPr>
        <rFont val="Pragmatica"/>
        <b/>
        <color theme="1"/>
        <sz val="11.0"/>
      </rPr>
      <t>3VF</t>
    </r>
    <r>
      <rPr>
        <rFont val="Pragmatica"/>
        <b/>
        <color theme="1"/>
        <sz val="11.0"/>
      </rPr>
      <t>60</t>
    </r>
    <r>
      <rPr>
        <rFont val="Pragmatica"/>
        <b/>
        <color theme="1"/>
        <sz val="11.0"/>
      </rPr>
      <t>S05</t>
    </r>
  </si>
  <si>
    <r>
      <rPr>
        <rFont val="Pragmatica"/>
        <b/>
        <color theme="1"/>
        <sz val="11.0"/>
      </rPr>
      <t>3T</t>
    </r>
    <r>
      <rPr>
        <rFont val="Times New Roman"/>
        <b/>
        <color theme="1"/>
        <sz val="11.0"/>
      </rPr>
      <t>Q</t>
    </r>
    <r>
      <rPr>
        <rFont val="Pragmatica"/>
        <b/>
        <color theme="1"/>
        <sz val="11.0"/>
      </rPr>
      <t>41S03</t>
    </r>
  </si>
  <si>
    <r>
      <rPr>
        <rFont val="Pragmatica"/>
        <b/>
        <color theme="1"/>
        <sz val="11.0"/>
      </rPr>
      <t>3T</t>
    </r>
    <r>
      <rPr>
        <rFont val="Times New Roman"/>
        <b/>
        <color theme="1"/>
        <sz val="11.0"/>
      </rPr>
      <t>Q</t>
    </r>
    <r>
      <rPr>
        <rFont val="Pragmatica"/>
        <b/>
        <color theme="1"/>
        <sz val="11.0"/>
      </rPr>
      <t>41S04</t>
    </r>
  </si>
  <si>
    <r>
      <rPr>
        <rFont val="Pragmatica"/>
        <b/>
        <color theme="1"/>
        <sz val="11.0"/>
      </rPr>
      <t>3T</t>
    </r>
    <r>
      <rPr>
        <rFont val="Times New Roman"/>
        <b/>
        <color theme="1"/>
        <sz val="11.0"/>
      </rPr>
      <t>Q</t>
    </r>
    <r>
      <rPr>
        <rFont val="Pragmatica"/>
        <b/>
        <color theme="1"/>
        <sz val="11.0"/>
      </rPr>
      <t>42S03</t>
    </r>
  </si>
  <si>
    <r>
      <rPr>
        <rFont val="Pragmatica"/>
        <b/>
        <color theme="1"/>
        <sz val="11.0"/>
      </rPr>
      <t>3T</t>
    </r>
    <r>
      <rPr>
        <rFont val="Times New Roman"/>
        <b/>
        <color theme="1"/>
        <sz val="11.0"/>
      </rPr>
      <t>Q</t>
    </r>
    <r>
      <rPr>
        <rFont val="Pragmatica"/>
        <b/>
        <color theme="1"/>
        <sz val="11.0"/>
      </rPr>
      <t>42S04</t>
    </r>
  </si>
  <si>
    <r>
      <rPr>
        <rFont val="Pragmatica"/>
        <b/>
        <color theme="1"/>
        <sz val="11.0"/>
      </rPr>
      <t>3T</t>
    </r>
    <r>
      <rPr>
        <rFont val="Times New Roman"/>
        <b/>
        <color theme="1"/>
        <sz val="11.0"/>
      </rPr>
      <t>Q</t>
    </r>
    <r>
      <rPr>
        <rFont val="Pragmatica"/>
        <b/>
        <color theme="1"/>
        <sz val="11.0"/>
      </rPr>
      <t>43S03</t>
    </r>
  </si>
  <si>
    <r>
      <rPr>
        <rFont val="Pragmatica"/>
        <b/>
        <color theme="1"/>
        <sz val="11.0"/>
      </rPr>
      <t>3T</t>
    </r>
    <r>
      <rPr>
        <rFont val="Times New Roman"/>
        <b/>
        <color theme="1"/>
        <sz val="11.0"/>
      </rPr>
      <t>Q</t>
    </r>
    <r>
      <rPr>
        <rFont val="Pragmatica"/>
        <b/>
        <color theme="1"/>
        <sz val="11.0"/>
      </rPr>
      <t>43S04</t>
    </r>
  </si>
  <si>
    <t>Рег. уровня в конденсаторе турбины тип И68051-500</t>
  </si>
  <si>
    <t>3RM40S02</t>
  </si>
  <si>
    <t>Рег. уровня в конденсаторе турбины тип И68052-250</t>
  </si>
  <si>
    <t>3RM40S06</t>
  </si>
  <si>
    <t>Задвижки до и после РУК тип ПТ13065-600</t>
  </si>
  <si>
    <t>3RМ40S01</t>
  </si>
  <si>
    <t>3RМ40S03</t>
  </si>
  <si>
    <t>Задвижки на всасе ТПН-1,2  тип ПТ13065-800</t>
  </si>
  <si>
    <t>3RL31S05</t>
  </si>
  <si>
    <t>3RL32S05</t>
  </si>
  <si>
    <t>Задвижки на напоре ТПН-1,2  тип 973-500-Э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</si>
  <si>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RL41S02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</si>
  <si>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RL42S02</t>
    </r>
  </si>
  <si>
    <t>Задвижки рециркуляции ТПН-1,2 тип 1012-150-Э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</si>
  <si>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RL41S03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</si>
  <si>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RL41S04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</si>
  <si>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RL42S03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</si>
  <si>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RL42S04</t>
    </r>
  </si>
  <si>
    <t>Задвижки на всасе ВПЭН-1,2 тип ПТ26273-150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</si>
  <si>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RL51S01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</si>
  <si>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RL52S01</t>
    </r>
  </si>
  <si>
    <t>Задвижки на напоре ВПЭН-1,2 тип 1012-150-Э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</si>
  <si>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RL51S04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</si>
  <si>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RL52S04</t>
    </r>
  </si>
  <si>
    <t>Задвижки на байпасе напорной задвижки ВПЭН-1,2 тип 1010-100-Э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</si>
  <si>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RL51S05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</si>
  <si>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RL52S05</t>
    </r>
  </si>
  <si>
    <t>Рег. уровня в ПГ (основной) тип СКА 0034.00.00.400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</si>
  <si>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RL71S02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</si>
  <si>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RL72S02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</si>
  <si>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RL73S02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</si>
  <si>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RL74S02</t>
    </r>
  </si>
  <si>
    <r>
      <rPr>
        <rFont val="Times New Roman"/>
        <color rgb="FF000000"/>
        <sz val="14.0"/>
      </rPr>
      <t>Рег. уровня в ПГ (байпасн.) тип НОМ-К0026.100.140-02.А-Э (</t>
    </r>
    <r>
      <rPr>
        <rFont val="Times New Roman"/>
        <b/>
        <color rgb="FF000000"/>
        <sz val="14.0"/>
      </rPr>
      <t>958-100-Є</t>
    </r>
    <r>
      <rPr>
        <rFont val="Times New Roman"/>
        <color rgb="FF000000"/>
        <sz val="14.0"/>
      </rPr>
      <t>)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</si>
  <si>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RL71S04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</si>
  <si>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RL72S04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</si>
  <si>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RL73S04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</si>
  <si>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RL74S04</t>
    </r>
  </si>
  <si>
    <t>БРУК-К тип 960-300/350-Э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</si>
  <si>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RC11S01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</si>
  <si>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RC11S02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</si>
  <si>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RC12S01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</si>
  <si>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RC12S02</t>
    </r>
  </si>
  <si>
    <t>Главные паровые задвижки (ГПЗ) тип 973-600-Э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</si>
  <si>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RA11S01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</si>
  <si>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RA12S01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</si>
  <si>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RA13S01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</si>
  <si>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RA14S01</t>
    </r>
  </si>
  <si>
    <t>Задвижки на байпасе ГПЗ-1,2,3,4 тип 1012-150-Э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</si>
  <si>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RА12S04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</si>
  <si>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RА13S04</t>
    </r>
  </si>
  <si>
    <t>Задвижки на байпасе ГПЗ-1,2,3,4 тип 959-150-Э</t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</si>
  <si>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RА12S05</t>
    </r>
  </si>
  <si>
    <r>
      <rPr>
        <rFont val="Times New Roman"/>
        <b/>
        <color theme="1"/>
        <sz val="11.0"/>
      </rPr>
      <t>3</t>
    </r>
    <r>
      <rPr>
        <rFont val="Pragmatica"/>
        <b/>
        <color theme="1"/>
        <sz val="11.0"/>
      </rPr>
      <t>RА13S05</t>
    </r>
  </si>
  <si>
    <t>Клапана регулирующие, тип  И68052-250</t>
  </si>
  <si>
    <r>
      <rPr>
        <rFont val="Pragmatica"/>
        <b/>
        <color theme="1"/>
        <sz val="11.0"/>
      </rPr>
      <t>3RM</t>
    </r>
    <r>
      <rPr>
        <rFont val="Pragmatica"/>
        <b/>
        <color theme="1"/>
        <sz val="11.0"/>
      </rPr>
      <t>72S02*</t>
    </r>
  </si>
  <si>
    <r>
      <rPr>
        <rFont val="Times New Roman"/>
        <color rgb="FF000000"/>
        <sz val="14.0"/>
      </rPr>
      <t xml:space="preserve">Клапана регулирующие, тип И68051-500-02, И68052-250* </t>
    </r>
    <r>
      <rPr>
        <rFont val="Times New Roman"/>
        <b/>
        <color rgb="FF000000"/>
        <sz val="14.0"/>
      </rPr>
      <t>(Осморт втулки резьбовой)</t>
    </r>
  </si>
  <si>
    <r>
      <rPr>
        <rFont val="Pragmatica"/>
        <b/>
        <color theme="1"/>
        <sz val="11.0"/>
      </rPr>
      <t>3RM</t>
    </r>
    <r>
      <rPr>
        <rFont val="Times New Roman"/>
        <b/>
        <color theme="1"/>
        <sz val="11.0"/>
      </rPr>
      <t>4</t>
    </r>
    <r>
      <rPr>
        <rFont val="Pragmatica"/>
        <b/>
        <color theme="1"/>
        <sz val="11.0"/>
      </rPr>
      <t>0</t>
    </r>
    <r>
      <rPr>
        <rFont val="Pragmatica"/>
        <b/>
        <color theme="1"/>
        <sz val="11.0"/>
      </rPr>
      <t>S02</t>
    </r>
  </si>
  <si>
    <r>
      <rPr>
        <rFont val="Pragmatica"/>
        <b/>
        <color theme="1"/>
        <sz val="11.0"/>
      </rPr>
      <t>3RM</t>
    </r>
    <r>
      <rPr>
        <rFont val="Pragmatica"/>
        <b/>
        <color theme="1"/>
        <sz val="11.0"/>
      </rPr>
      <t>40S06*</t>
    </r>
  </si>
  <si>
    <r>
      <rPr>
        <rFont val="Pragmatica"/>
        <b/>
        <color theme="1"/>
        <sz val="11.0"/>
      </rPr>
      <t>3RM</t>
    </r>
    <r>
      <rPr>
        <rFont val="Pragmatica"/>
        <b/>
        <color theme="1"/>
        <sz val="11.0"/>
      </rPr>
      <t>72S02*</t>
    </r>
  </si>
  <si>
    <t>ДИЗЕЛІ</t>
  </si>
  <si>
    <t>ЦЗС</t>
  </si>
  <si>
    <t>ДГ-31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</si>
  <si>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</si>
  <si>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t>1.2</t>
  </si>
  <si>
    <r>
      <rPr>
        <rFont val="Times New Roman"/>
        <b/>
        <color rgb="FF000000"/>
        <sz val="11.0"/>
      </rPr>
      <t>1.3</t>
    </r>
    <r>
      <rPr>
        <rFont val="Times New Roman"/>
        <b/>
        <color rgb="FFC0C0C0"/>
        <sz val="11.0"/>
      </rPr>
      <t>.</t>
    </r>
  </si>
  <si>
    <t>1.4</t>
  </si>
  <si>
    <t>1.5</t>
  </si>
  <si>
    <t>1.6</t>
  </si>
  <si>
    <t>2.1</t>
  </si>
  <si>
    <t>2.2</t>
  </si>
  <si>
    <t>2.3</t>
  </si>
  <si>
    <t>2.4</t>
  </si>
  <si>
    <t xml:space="preserve">Д 78Г     </t>
  </si>
  <si>
    <t>2.5</t>
  </si>
  <si>
    <t>2.6</t>
  </si>
  <si>
    <t>2.7</t>
  </si>
  <si>
    <t>2.8</t>
  </si>
  <si>
    <t>2.9</t>
  </si>
  <si>
    <t>2.10</t>
  </si>
  <si>
    <t>2.11</t>
  </si>
  <si>
    <t>3.1</t>
  </si>
  <si>
    <t>3.2</t>
  </si>
  <si>
    <t>3.3</t>
  </si>
  <si>
    <t>3.4</t>
  </si>
  <si>
    <t>3.5</t>
  </si>
  <si>
    <t>3.6</t>
  </si>
  <si>
    <t>3.7</t>
  </si>
  <si>
    <t>ДГ-32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</si>
  <si>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</si>
  <si>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1.3</t>
    </r>
    <r>
      <rPr>
        <rFont val="Times New Roman"/>
        <b/>
        <color rgb="FFC0C0C0"/>
        <sz val="11.0"/>
      </rPr>
      <t>.</t>
    </r>
  </si>
  <si>
    <t>ДГ-33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</si>
  <si>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</si>
  <si>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1.3</t>
    </r>
    <r>
      <rPr>
        <rFont val="Times New Roman"/>
        <b/>
        <color rgb="FFC0C0C0"/>
        <sz val="11.0"/>
      </rPr>
      <t>.</t>
    </r>
  </si>
  <si>
    <t>ДГ-44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</si>
  <si>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</si>
  <si>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1.3</t>
    </r>
    <r>
      <rPr>
        <rFont val="Times New Roman"/>
        <b/>
        <color rgb="FFC0C0C0"/>
        <sz val="11.0"/>
      </rPr>
      <t>.</t>
    </r>
  </si>
  <si>
    <t>ДГ-45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</si>
  <si>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</si>
  <si>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1.3</t>
    </r>
    <r>
      <rPr>
        <rFont val="Times New Roman"/>
        <b/>
        <color rgb="FFC0C0C0"/>
        <sz val="11.0"/>
      </rPr>
      <t>.</t>
    </r>
  </si>
  <si>
    <t xml:space="preserve">РЕАКТОР </t>
  </si>
  <si>
    <t>ВВЕР-1000</t>
  </si>
  <si>
    <t>01-1</t>
  </si>
  <si>
    <t>01-2</t>
  </si>
  <si>
    <t>01-3</t>
  </si>
  <si>
    <t>01-4</t>
  </si>
  <si>
    <t>01-5</t>
  </si>
  <si>
    <t>01-6</t>
  </si>
  <si>
    <t>02-1</t>
  </si>
  <si>
    <t>02-2</t>
  </si>
  <si>
    <t>02-3</t>
  </si>
  <si>
    <t>02-4</t>
  </si>
  <si>
    <t>В-320   
3YC00B01</t>
  </si>
  <si>
    <t>02-5</t>
  </si>
  <si>
    <t>02-6</t>
  </si>
  <si>
    <t>02-7</t>
  </si>
  <si>
    <t>02-8</t>
  </si>
  <si>
    <t>02-9</t>
  </si>
  <si>
    <t>02-10</t>
  </si>
  <si>
    <t>02-11</t>
  </si>
  <si>
    <t>02-12</t>
  </si>
  <si>
    <t>02-13</t>
  </si>
  <si>
    <t>03-01</t>
  </si>
  <si>
    <t>03-02</t>
  </si>
  <si>
    <t>03-03</t>
  </si>
  <si>
    <t>03-04</t>
  </si>
  <si>
    <t>03-05</t>
  </si>
  <si>
    <t>03-06</t>
  </si>
  <si>
    <t>03-07</t>
  </si>
  <si>
    <t>03-08</t>
  </si>
  <si>
    <t>03-09</t>
  </si>
  <si>
    <t>ПОСУДИНИ</t>
  </si>
  <si>
    <t>РЕАКТОР</t>
  </si>
  <si>
    <t>Пос.</t>
  </si>
  <si>
    <t>Диз.</t>
  </si>
  <si>
    <t>Прийнято К.О.</t>
  </si>
  <si>
    <t>Савчук Ю. А.</t>
  </si>
  <si>
    <t>Мушик В.Ф.</t>
  </si>
  <si>
    <t>Оніщук В.Ю.</t>
  </si>
  <si>
    <t>Сидорчук С.В.</t>
  </si>
  <si>
    <t>Радчук І.С.</t>
  </si>
  <si>
    <t>Рошук П. М.</t>
  </si>
  <si>
    <t>Дацький Д.П.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</si>
</sst>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4">
    <font>
      <sz val="10.0"/>
      <color rgb="FF000000"/>
      <name val="Calibri"/>
      <scheme val="minor"/>
    </font>
    <font>
      <sz val="10.0"/>
      <color theme="1"/>
      <name val="Times New Roman"/>
    </font>
    <font>
      <sz val="12.0"/>
      <color theme="1"/>
      <name val="Times New Roman"/>
    </font>
    <font>
      <sz val="16.0"/>
      <color rgb="FF800080"/>
      <name val="Times New Roman"/>
    </font>
    <font>
      <u/>
      <sz val="14.0"/>
      <color rgb="FF0000FF"/>
      <name val="Arial"/>
    </font>
    <font>
      <sz val="14.0"/>
      <color rgb="FF0000FF"/>
      <name val="Times New Roman"/>
    </font>
    <font>
      <u/>
      <sz val="14.0"/>
      <color rgb="FF0000FF"/>
      <name val="Arial"/>
    </font>
    <font/>
    <font>
      <b/>
      <sz val="12.0"/>
      <color theme="1"/>
      <name val="Times New Roman"/>
    </font>
    <font>
      <b/>
      <sz val="16.0"/>
      <color rgb="FFFF0000"/>
      <name val="Times New Roman"/>
    </font>
    <font>
      <b/>
      <sz val="14.0"/>
      <color rgb="FF993300"/>
      <name val="Times New Roman"/>
    </font>
    <font>
      <b/>
      <sz val="14.0"/>
      <color rgb="FFFF0000"/>
      <name val="Times New Roman"/>
    </font>
    <font>
      <b/>
      <sz val="14.0"/>
      <color theme="0"/>
      <name val="Times New Roman"/>
    </font>
    <font>
      <b/>
      <sz val="10.0"/>
      <color theme="0"/>
      <name val="Times New Roman"/>
    </font>
    <font>
      <sz val="10.0"/>
      <color rgb="FFFF0000"/>
      <name val="Times New Roman"/>
    </font>
    <font>
      <b/>
      <sz val="11.0"/>
      <color rgb="FF000000"/>
      <name val="Times New Roman"/>
    </font>
    <font>
      <b/>
      <sz val="12.0"/>
      <color rgb="FF000000"/>
      <name val="Times New Roman"/>
    </font>
    <font>
      <sz val="10.0"/>
      <color theme="0"/>
      <name val="Times New Roman"/>
    </font>
    <font>
      <b/>
      <sz val="14.0"/>
      <color rgb="FF000000"/>
      <name val="Times New Roman"/>
    </font>
    <font>
      <sz val="11.0"/>
      <color rgb="FF000000"/>
      <name val="Times New Roman"/>
    </font>
    <font>
      <sz val="12.0"/>
      <color rgb="FF000000"/>
      <name val="Times New Roman"/>
    </font>
    <font>
      <u/>
      <sz val="14.0"/>
      <color rgb="FFFF0000"/>
      <name val="Times New Roman"/>
    </font>
    <font>
      <b/>
      <sz val="18.0"/>
      <color rgb="FF000000"/>
      <name val="Times New Roman"/>
    </font>
    <font>
      <sz val="14.0"/>
      <color rgb="FF000000"/>
      <name val="Times New Roman"/>
    </font>
    <font>
      <b/>
      <sz val="11.0"/>
      <color theme="1"/>
      <name val="Times New Roman"/>
    </font>
    <font>
      <b/>
      <i/>
      <sz val="11.0"/>
      <color rgb="FF000000"/>
      <name val="Times New Roman"/>
    </font>
    <font>
      <sz val="10.0"/>
      <color rgb="FF000000"/>
      <name val="Times New Roman"/>
    </font>
    <font>
      <sz val="10.0"/>
      <color rgb="FF969696"/>
      <name val="Times New Roman"/>
    </font>
    <font>
      <sz val="10.0"/>
      <color theme="1"/>
      <name val="Arial"/>
    </font>
    <font>
      <b/>
      <sz val="11.0"/>
      <color theme="1"/>
      <name val="Pragmatica"/>
    </font>
    <font>
      <sz val="14.0"/>
      <color theme="1"/>
      <name val="Times New Roman"/>
    </font>
    <font>
      <sz val="11.0"/>
      <color theme="1"/>
      <name val="Times New Roman"/>
    </font>
    <font>
      <b/>
      <i/>
      <sz val="11.0"/>
      <color theme="1"/>
      <name val="Times New Roman"/>
    </font>
    <font>
      <b/>
      <sz val="10.0"/>
      <color theme="1"/>
      <name val="Arial"/>
    </font>
    <font>
      <b/>
      <sz val="10.0"/>
      <color theme="1"/>
      <name val="Times New Roman"/>
    </font>
    <font>
      <b/>
      <sz val="10.0"/>
      <color rgb="FFFF0000"/>
      <name val="Arial"/>
    </font>
    <font>
      <sz val="10.0"/>
      <color rgb="FF0000FF"/>
      <name val="Arial"/>
    </font>
    <font>
      <b/>
      <sz val="10.0"/>
      <color rgb="FF0000FF"/>
      <name val="Times New Roman"/>
    </font>
    <font>
      <i/>
      <sz val="12.0"/>
      <color theme="1"/>
      <name val="Arial"/>
    </font>
    <font>
      <i/>
      <sz val="12.0"/>
      <color theme="1"/>
      <name val="Times New Roman"/>
    </font>
    <font>
      <b/>
      <i/>
      <sz val="12.0"/>
      <color theme="1"/>
      <name val="Arial"/>
    </font>
    <font>
      <i/>
      <sz val="12.0"/>
      <color rgb="FF969696"/>
      <name val="Times New Roman"/>
    </font>
    <font>
      <sz val="10.0"/>
      <color rgb="FFFFFFFF"/>
      <name val="Arial"/>
    </font>
    <font>
      <sz val="10.0"/>
      <color rgb="FF969696"/>
      <name val="Arial"/>
    </font>
  </fonts>
  <fills count="10">
    <fill>
      <patternFill patternType="none"/>
    </fill>
    <fill>
      <patternFill patternType="lightGray"/>
    </fill>
    <fill>
      <patternFill patternType="solid">
        <fgColor rgb="FFCCFFCC"/>
        <bgColor rgb="FFCCFFCC"/>
      </patternFill>
    </fill>
    <fill>
      <patternFill patternType="solid">
        <fgColor rgb="FF99CCFF"/>
        <bgColor rgb="FF99CCFF"/>
      </patternFill>
    </fill>
    <fill>
      <patternFill patternType="solid">
        <fgColor rgb="FFFF99CC"/>
        <bgColor rgb="FFFF99CC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F8080"/>
        <bgColor rgb="FFFF8080"/>
      </patternFill>
    </fill>
    <fill>
      <patternFill patternType="solid">
        <fgColor rgb="FFCCCCFF"/>
        <bgColor rgb="FFCCCCFF"/>
      </patternFill>
    </fill>
    <fill>
      <patternFill patternType="solid">
        <fgColor rgb="FFC0C0C0"/>
        <bgColor rgb="FFC0C0C0"/>
      </patternFill>
    </fill>
  </fills>
  <borders count="107">
    <border/>
    <border>
      <left/>
      <right/>
      <top/>
      <bottom/>
    </border>
    <border>
      <left/>
      <top/>
      <bottom style="thick">
        <color rgb="FF333333"/>
      </bottom>
    </border>
    <border>
      <right/>
      <top/>
      <bottom style="thick">
        <color rgb="FF333333"/>
      </bottom>
    </border>
    <border>
      <left style="thick">
        <color rgb="FF333333"/>
      </left>
      <top/>
      <bottom style="thick">
        <color rgb="FF333333"/>
      </bottom>
    </border>
    <border>
      <top/>
      <bottom style="thick">
        <color rgb="FF333333"/>
      </bottom>
    </border>
    <border>
      <right style="thick">
        <color rgb="FF333333"/>
      </right>
      <top/>
      <bottom style="thick">
        <color rgb="FF333333"/>
      </bottom>
    </border>
    <border>
      <left style="thick">
        <color rgb="FF333333"/>
      </left>
    </border>
    <border>
      <left style="thick">
        <color rgb="FF333333"/>
      </left>
      <right style="thick">
        <color rgb="FF333333"/>
      </right>
      <top style="thick">
        <color rgb="FF333333"/>
      </top>
      <bottom style="thick">
        <color rgb="FF333333"/>
      </bottom>
    </border>
    <border>
      <left style="thick">
        <color rgb="FF333333"/>
      </left>
      <right style="thick">
        <color rgb="FF333333"/>
      </right>
      <top style="thick">
        <color rgb="FF333333"/>
      </top>
    </border>
    <border>
      <left style="thick">
        <color rgb="FF333333"/>
      </left>
      <top style="thick">
        <color rgb="FF333333"/>
      </top>
      <bottom style="thick">
        <color rgb="FF333333"/>
      </bottom>
    </border>
    <border>
      <top style="thick">
        <color rgb="FF333333"/>
      </top>
      <bottom style="thick">
        <color rgb="FF333333"/>
      </bottom>
    </border>
    <border>
      <right style="thick">
        <color rgb="FF333333"/>
      </right>
      <top style="thick">
        <color rgb="FF333333"/>
      </top>
      <bottom style="thick">
        <color rgb="FF333333"/>
      </bottom>
    </border>
    <border>
      <left style="thick">
        <color rgb="FF333333"/>
      </left>
      <right style="thick">
        <color rgb="FF333333"/>
      </right>
      <bottom style="thick">
        <color rgb="FF333333"/>
      </bottom>
    </border>
    <border>
      <left style="thick">
        <color rgb="FF333333"/>
      </left>
      <right/>
      <top style="thick">
        <color rgb="FF333333"/>
      </top>
      <bottom style="thick">
        <color rgb="FF333333"/>
      </bottom>
    </border>
    <border>
      <left style="thick">
        <color rgb="FF000000"/>
      </left>
      <top style="thick">
        <color rgb="FF333333"/>
      </top>
      <bottom style="thick">
        <color rgb="FF000000"/>
      </bottom>
    </border>
    <border>
      <top style="thick">
        <color rgb="FF333333"/>
      </top>
      <bottom style="thick">
        <color rgb="FF000000"/>
      </bottom>
    </border>
    <border>
      <right style="thick">
        <color rgb="FF000000"/>
      </right>
      <top style="thick">
        <color rgb="FF333333"/>
      </top>
      <bottom style="thick">
        <color rgb="FF000000"/>
      </bottom>
    </border>
    <border>
      <left style="thick">
        <color rgb="FF000000"/>
      </left>
      <top style="thick">
        <color rgb="FF000000"/>
      </top>
      <bottom style="thick">
        <color rgb="FF000000"/>
      </bottom>
    </border>
    <border>
      <top style="thick">
        <color rgb="FF000000"/>
      </top>
      <bottom style="thick">
        <color rgb="FF000000"/>
      </bottom>
    </border>
    <border>
      <right style="thick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</border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  <right style="thick">
        <color rgb="FF000000"/>
      </right>
      <bottom style="thick">
        <color rgb="FF000000"/>
      </bottom>
    </border>
    <border>
      <left style="thick">
        <color rgb="FF000000"/>
      </left>
      <bottom style="thick">
        <color rgb="FF000000"/>
      </bottom>
    </border>
    <border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bottom style="thick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  <bottom/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thick">
        <color rgb="FF000000"/>
      </left>
      <right style="thin">
        <color rgb="FF000000"/>
      </right>
      <bottom style="thick">
        <color rgb="FF000000"/>
      </bottom>
    </border>
    <border>
      <left style="thick">
        <color rgb="FF000000"/>
      </left>
      <right style="thin">
        <color rgb="FF000000"/>
      </right>
      <top/>
      <bottom style="thick">
        <color rgb="FF000000"/>
      </bottom>
    </border>
    <border>
      <left style="thin">
        <color rgb="FF000000"/>
      </left>
      <right style="thick">
        <color rgb="FF000000"/>
      </right>
      <top/>
      <bottom style="thick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</border>
    <border>
      <left/>
      <right style="thick">
        <color rgb="FF000000"/>
      </right>
      <top/>
      <bottom/>
    </border>
    <border>
      <left/>
      <right style="thick">
        <color rgb="FF000000"/>
      </right>
      <top style="thick">
        <color rgb="FF000000"/>
      </top>
      <bottom/>
    </border>
    <border>
      <left/>
      <right style="thick">
        <color rgb="FF000000"/>
      </right>
      <top/>
      <bottom style="thick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</border>
    <border>
      <left style="thin">
        <color rgb="FF000000"/>
      </left>
      <right style="thick">
        <color rgb="FF000000"/>
      </right>
      <top style="thick">
        <color rgb="FF000000"/>
      </top>
      <bottom/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</border>
    <border>
      <left/>
      <right style="thick">
        <color rgb="FF000000"/>
      </right>
      <top style="thin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thin">
        <color rgb="FF000000"/>
      </top>
      <bottom style="thick">
        <color rgb="FF000000"/>
      </bottom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</border>
    <border>
      <left/>
      <right style="thick">
        <color rgb="FF000000"/>
      </right>
      <top style="thick">
        <color rgb="FF000000"/>
      </top>
      <bottom style="thin">
        <color rgb="FF000000"/>
      </bottom>
    </border>
    <border>
      <left style="thin">
        <color rgb="FF000000"/>
      </left>
      <top style="thick">
        <color rgb="FF000000"/>
      </top>
      <bottom style="thick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</border>
    <border>
      <left style="thin">
        <color rgb="FF000000"/>
      </left>
      <bottom style="thick">
        <color rgb="FF000000"/>
      </bottom>
    </border>
    <border>
      <left style="medium">
        <color rgb="FF000000"/>
      </left>
      <right style="medium">
        <color rgb="FF000000"/>
      </right>
      <bottom style="thick">
        <color rgb="FF000000"/>
      </bottom>
    </border>
    <border>
      <left style="thick">
        <color rgb="FF000000"/>
      </left>
      <right style="thick">
        <color rgb="FF000000"/>
      </right>
      <top/>
      <bottom style="thick">
        <color rgb="FF000000"/>
      </bottom>
    </border>
    <border>
      <left style="thick">
        <color rgb="FF000000"/>
      </left>
      <right style="thick">
        <color rgb="FF000000"/>
      </right>
      <top style="medium">
        <color rgb="FF000000"/>
      </top>
      <bottom style="thick">
        <color rgb="FF000000"/>
      </bottom>
    </border>
    <border>
      <left style="thin">
        <color rgb="FF000000"/>
      </left>
      <right/>
      <top/>
      <bottom style="thick">
        <color rgb="FF000000"/>
      </bottom>
    </border>
    <border>
      <left/>
      <right style="thick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ck">
        <color rgb="FF000000"/>
      </right>
      <bottom style="medium">
        <color rgb="FF000000"/>
      </bottom>
    </border>
    <border>
      <left style="thick">
        <color rgb="FF000000"/>
      </left>
      <right style="thick">
        <color rgb="FF000000"/>
      </right>
    </border>
    <border>
      <left style="thick">
        <color rgb="FF000000"/>
      </left>
    </border>
    <border>
      <right style="thick">
        <color rgb="FF000000"/>
      </right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top style="thick">
        <color rgb="FF000000"/>
      </top>
      <bottom style="thin">
        <color rgb="FF000000"/>
      </bottom>
    </border>
    <border>
      <right style="thick">
        <color rgb="FF000000"/>
      </right>
      <top style="thick">
        <color rgb="FF000000"/>
      </top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right style="thick">
        <color rgb="FF000000"/>
      </right>
    </border>
    <border>
      <left style="thick">
        <color rgb="FF000000"/>
      </left>
      <right style="thin">
        <color rgb="FF000000"/>
      </right>
    </border>
    <border>
      <left style="thick">
        <color rgb="FF000000"/>
      </left>
      <right style="thin">
        <color rgb="FF000000"/>
      </right>
      <top/>
      <bottom/>
    </border>
    <border>
      <left style="thin">
        <color rgb="FF000000"/>
      </left>
      <right style="thick">
        <color rgb="FF000000"/>
      </right>
      <top/>
      <bottom/>
    </border>
    <border>
      <left/>
      <right style="thin">
        <color rgb="FF000000"/>
      </right>
      <top/>
      <bottom/>
    </border>
    <border>
      <left style="thick">
        <color rgb="FF333333"/>
      </left>
      <right style="thick">
        <color rgb="FF333333"/>
      </right>
      <top style="thick">
        <color rgb="FF333333"/>
      </top>
      <bottom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right style="thin">
        <color rgb="FF000000"/>
      </right>
      <top style="thin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</border>
    <border>
      <left/>
      <top style="thick">
        <color rgb="FF000000"/>
      </top>
      <bottom style="thin">
        <color rgb="FF000000"/>
      </bottom>
    </border>
    <border>
      <left style="thick">
        <color rgb="FF000000"/>
      </left>
      <right style="thick">
        <color rgb="FF000000"/>
      </right>
      <top/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FFFFFF"/>
      </righ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FFFFFF"/>
      </left>
      <right style="thin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FFFFFF"/>
      </left>
      <bottom style="thin">
        <color rgb="FF000000"/>
      </bottom>
    </border>
    <border>
      <left style="thin">
        <color rgb="FFFFFFFF"/>
      </left>
      <right style="thin">
        <color rgb="FFFFFFFF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FFFFFF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FFFFFF"/>
      </left>
      <top style="thin">
        <color rgb="FF000000"/>
      </top>
      <bottom style="thin">
        <color rgb="FF000000"/>
      </bottom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top style="thin">
        <color rgb="FF000000"/>
      </top>
      <bottom style="thin">
        <color rgb="FF000000"/>
      </bottom>
    </border>
    <border>
      <top style="thin">
        <color rgb="FF000000"/>
      </top>
    </border>
  </borders>
  <cellStyleXfs count="1">
    <xf borderId="0" fillId="0" fontId="0" numFmtId="0" applyAlignment="1" applyFont="1"/>
  </cellStyleXfs>
  <cellXfs count="228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2" fontId="2" numFmtId="0" xfId="0" applyBorder="1" applyFill="1" applyFont="1"/>
    <xf borderId="1" fillId="3" fontId="3" numFmtId="0" xfId="0" applyBorder="1" applyFill="1" applyFont="1"/>
    <xf borderId="1" fillId="3" fontId="4" numFmtId="0" xfId="0" applyAlignment="1" applyBorder="1" applyFill="1" applyFont="1">
      <alignment vertical="center"/>
    </xf>
    <xf borderId="1" fillId="3" fontId="5" numFmtId="0" xfId="0" applyAlignment="1" applyBorder="1" applyFill="1" applyFont="1">
      <alignment vertical="center"/>
    </xf>
    <xf borderId="2" fillId="4" fontId="6" numFmtId="0" xfId="0" applyAlignment="1" applyBorder="1" applyFill="1" applyFont="1">
      <alignment horizontal="center" vertical="center"/>
    </xf>
    <xf borderId="3" fillId="0" fontId="7" numFmtId="0" xfId="0" applyBorder="1" applyFont="1"/>
    <xf borderId="1" fillId="2" fontId="8" numFmtId="0" xfId="0" applyBorder="1" applyFill="1" applyFont="1"/>
    <xf borderId="1" fillId="2" fontId="9" numFmtId="0" xfId="0" applyAlignment="1" applyBorder="1" applyFill="1" applyFont="1">
      <alignment horizontal="center"/>
    </xf>
    <xf borderId="4" fillId="2" fontId="10" numFmtId="0" xfId="0" applyAlignment="1" applyBorder="1" applyFill="1" applyFont="1">
      <alignment vertical="center"/>
    </xf>
    <xf borderId="5" fillId="0" fontId="7" numFmtId="0" xfId="0" applyBorder="1" applyFont="1"/>
    <xf borderId="6" fillId="0" fontId="7" numFmtId="0" xfId="0" applyBorder="1" applyFont="1"/>
    <xf borderId="7" fillId="0" fontId="11" numFmtId="0" xfId="0" applyAlignment="1" applyBorder="1" applyFont="1">
      <alignment vertical="center"/>
    </xf>
    <xf borderId="0" fillId="0" fontId="12" numFmtId="0" xfId="0" applyAlignment="1" applyFont="1">
      <alignment vertical="center"/>
    </xf>
    <xf borderId="0" fillId="0" fontId="13" numFmtId="0" xfId="0" applyFont="1"/>
    <xf borderId="0" fillId="0" fontId="14" numFmtId="0" xfId="0" applyFont="1"/>
    <xf borderId="8" fillId="5" fontId="15" numFmtId="0" xfId="0" applyBorder="1" applyFill="1" applyFont="1"/>
    <xf borderId="8" fillId="5" fontId="16" numFmtId="0" xfId="0" applyBorder="1" applyFill="1" applyFont="1"/>
    <xf borderId="8" fillId="5" fontId="15" numFmtId="0" xfId="0" applyAlignment="1" applyBorder="1" applyFill="1" applyFont="1">
      <alignment horizontal="center"/>
    </xf>
    <xf borderId="7" fillId="0" fontId="11" numFmtId="0" xfId="0" applyBorder="1" applyFont="1"/>
    <xf borderId="0" fillId="0" fontId="12" numFmtId="0" xfId="0" applyFont="1"/>
    <xf borderId="0" fillId="0" fontId="17" numFmtId="0" xfId="0" applyFont="1"/>
    <xf borderId="9" fillId="5" fontId="15" numFmtId="0" xfId="0" applyAlignment="1" applyBorder="1" applyFill="1" applyFont="1">
      <alignment horizontal="center" shrinkToFit="0" vertical="center" wrapText="1"/>
    </xf>
    <xf borderId="9" fillId="5" fontId="16" numFmtId="0" xfId="0" applyAlignment="1" applyBorder="1" applyFill="1" applyFont="1">
      <alignment horizontal="center" shrinkToFit="0" vertical="center" wrapText="1"/>
    </xf>
    <xf borderId="9" fillId="5" fontId="15" numFmtId="0" xfId="0" applyAlignment="1" applyBorder="1" applyFill="1" applyFont="1">
      <alignment horizontal="center" shrinkToFit="0" vertical="top" wrapText="1"/>
    </xf>
    <xf borderId="10" fillId="5" fontId="15" numFmtId="0" xfId="0" applyAlignment="1" applyBorder="1" applyFill="1" applyFont="1">
      <alignment horizontal="center" shrinkToFit="0" wrapText="1"/>
    </xf>
    <xf borderId="11" fillId="0" fontId="7" numFmtId="0" xfId="0" applyBorder="1" applyFont="1"/>
    <xf borderId="12" fillId="0" fontId="7" numFmtId="0" xfId="0" applyBorder="1" applyFont="1"/>
    <xf borderId="8" fillId="5" fontId="15" numFmtId="0" xfId="0" applyAlignment="1" applyBorder="1" applyFill="1" applyFont="1">
      <alignment horizontal="center" shrinkToFit="0" wrapText="1"/>
    </xf>
    <xf borderId="13" fillId="0" fontId="7" numFmtId="0" xfId="0" applyBorder="1" applyFont="1"/>
    <xf borderId="10" fillId="5" fontId="18" numFmtId="0" xfId="0" applyAlignment="1" applyBorder="1" applyFill="1" applyFont="1">
      <alignment horizontal="center" shrinkToFit="0" vertical="center" wrapText="1"/>
    </xf>
    <xf borderId="14" fillId="5" fontId="18" numFmtId="0" xfId="0" applyAlignment="1" applyBorder="1" applyFill="1" applyFont="1">
      <alignment horizontal="center" shrinkToFit="0" vertical="center" wrapText="1"/>
    </xf>
    <xf borderId="8" fillId="5" fontId="19" numFmtId="0" xfId="0" applyAlignment="1" applyBorder="1" applyFill="1" applyFont="1">
      <alignment horizontal="center" shrinkToFit="0" vertical="center" wrapText="1"/>
    </xf>
    <xf borderId="8" fillId="5" fontId="20" numFmtId="0" xfId="0" applyAlignment="1" applyBorder="1" applyFill="1" applyFont="1">
      <alignment horizontal="center" shrinkToFit="0" vertical="center" wrapText="1"/>
    </xf>
    <xf borderId="10" fillId="5" fontId="19" numFmtId="0" xfId="0" applyAlignment="1" applyBorder="1" applyFill="1" applyFont="1">
      <alignment horizontal="center" shrinkToFit="0" vertical="center" wrapText="1"/>
    </xf>
    <xf borderId="0" fillId="0" fontId="21" numFmtId="0" xfId="0" applyFont="1"/>
    <xf borderId="15" fillId="0" fontId="22" numFmtId="0" xfId="0" applyAlignment="1" applyBorder="1" applyFont="1">
      <alignment horizontal="center" shrinkToFit="0" vertical="center" wrapText="1"/>
    </xf>
    <xf borderId="16" fillId="0" fontId="7" numFmtId="0" xfId="0" applyBorder="1" applyFont="1"/>
    <xf borderId="17" fillId="0" fontId="7" numFmtId="0" xfId="0" applyBorder="1" applyFont="1"/>
    <xf borderId="18" fillId="0" fontId="18" numFmtId="0" xfId="0" applyAlignment="1" applyBorder="1" applyFont="1">
      <alignment horizontal="center" shrinkToFit="0" vertical="center" wrapText="1"/>
    </xf>
    <xf borderId="19" fillId="0" fontId="7" numFmtId="0" xfId="0" applyBorder="1" applyFont="1"/>
    <xf borderId="20" fillId="0" fontId="7" numFmtId="0" xfId="0" applyBorder="1" applyFont="1"/>
    <xf borderId="21" fillId="0" fontId="16" numFmtId="0" xfId="0" applyAlignment="1" applyBorder="1" applyFont="1">
      <alignment horizontal="center" shrinkToFit="0" vertical="center" wrapText="1"/>
    </xf>
    <xf borderId="22" fillId="0" fontId="23" numFmtId="0" xfId="0" applyAlignment="1" applyBorder="1" applyFont="1">
      <alignment shrinkToFit="0" vertical="center" wrapText="1"/>
    </xf>
    <xf borderId="23" fillId="0" fontId="7" numFmtId="0" xfId="0" applyBorder="1" applyFont="1"/>
    <xf borderId="24" fillId="0" fontId="7" numFmtId="0" xfId="0" applyBorder="1" applyFont="1"/>
    <xf borderId="25" fillId="0" fontId="7" numFmtId="0" xfId="0" applyBorder="1" applyFont="1"/>
    <xf borderId="26" fillId="0" fontId="7" numFmtId="0" xfId="0" applyBorder="1" applyFont="1"/>
    <xf borderId="27" fillId="0" fontId="7" numFmtId="0" xfId="0" applyBorder="1" applyFont="1"/>
    <xf borderId="28" fillId="0" fontId="7" numFmtId="0" xfId="0" applyBorder="1" applyFont="1"/>
    <xf borderId="25" fillId="0" fontId="19" numFmtId="0" xfId="0" applyAlignment="1" applyBorder="1" applyFont="1">
      <alignment shrinkToFit="0" vertical="center" wrapText="1"/>
    </xf>
    <xf borderId="29" fillId="0" fontId="24" numFmtId="0" xfId="0" applyAlignment="1" applyBorder="1" applyFont="1">
      <alignment shrinkToFit="0" vertical="top" wrapText="1"/>
    </xf>
    <xf borderId="28" fillId="0" fontId="19" numFmtId="0" xfId="0" applyAlignment="1" applyBorder="1" applyFont="1">
      <alignment horizontal="center" shrinkToFit="0" vertical="center" wrapText="1"/>
    </xf>
    <xf borderId="30" fillId="0" fontId="19" numFmtId="14" xfId="0" applyAlignment="1" applyBorder="1" applyFont="1" applyNumberFormat="1">
      <alignment shrinkToFit="0" vertical="center" wrapText="1"/>
    </xf>
    <xf borderId="31" fillId="0" fontId="25" numFmtId="0" xfId="0" applyAlignment="1" applyBorder="1" applyFont="1">
      <alignment horizontal="center" shrinkToFit="0" vertical="center" wrapText="1"/>
    </xf>
    <xf borderId="31" fillId="0" fontId="25" numFmtId="1" xfId="0" applyAlignment="1" applyBorder="1" applyFont="1" applyNumberFormat="1">
      <alignment horizontal="center" shrinkToFit="0" vertical="center" wrapText="1"/>
    </xf>
    <xf borderId="31" fillId="6" fontId="25" numFmtId="0" xfId="0" applyAlignment="1" applyBorder="1" applyFill="1" applyFont="1">
      <alignment horizontal="center" shrinkToFit="0" vertical="center" wrapText="1"/>
    </xf>
    <xf borderId="32" fillId="0" fontId="25" numFmtId="0" xfId="0" applyAlignment="1" applyBorder="1" applyFont="1">
      <alignment horizontal="center" shrinkToFit="0" vertical="center" wrapText="1"/>
    </xf>
    <xf borderId="30" fillId="0" fontId="19" numFmtId="1" xfId="0" applyAlignment="1" applyBorder="1" applyFont="1" applyNumberFormat="1">
      <alignment horizontal="center" shrinkToFit="0" vertical="center" wrapText="1"/>
    </xf>
    <xf borderId="33" fillId="0" fontId="25" numFmtId="0" xfId="0" applyAlignment="1" applyBorder="1" applyFont="1">
      <alignment horizontal="center" shrinkToFit="0" vertical="center" wrapText="1"/>
    </xf>
    <xf borderId="33" fillId="6" fontId="15" numFmtId="0" xfId="0" applyAlignment="1" applyBorder="1" applyFill="1" applyFont="1">
      <alignment horizontal="center" shrinkToFit="0" wrapText="1"/>
    </xf>
    <xf borderId="34" fillId="0" fontId="24" numFmtId="0" xfId="0" applyAlignment="1" applyBorder="1" applyFont="1">
      <alignment shrinkToFit="0" vertical="top" wrapText="1"/>
    </xf>
    <xf borderId="35" fillId="0" fontId="19" numFmtId="14" xfId="0" applyAlignment="1" applyBorder="1" applyFont="1" applyNumberFormat="1">
      <alignment shrinkToFit="0" vertical="center" wrapText="1"/>
    </xf>
    <xf borderId="36" fillId="0" fontId="19" numFmtId="0" xfId="0" applyAlignment="1" applyBorder="1" applyFont="1">
      <alignment shrinkToFit="0" vertical="center" wrapText="1"/>
    </xf>
    <xf borderId="30" fillId="0" fontId="19" numFmtId="1" xfId="0" applyAlignment="1" applyBorder="1" applyFont="1" applyNumberFormat="1">
      <alignment shrinkToFit="0" vertical="center" wrapText="1"/>
    </xf>
    <xf borderId="37" fillId="0" fontId="25" numFmtId="0" xfId="0" applyAlignment="1" applyBorder="1" applyFont="1">
      <alignment horizontal="center" shrinkToFit="0" vertical="center" wrapText="1"/>
    </xf>
    <xf borderId="35" fillId="0" fontId="19" numFmtId="0" xfId="0" applyAlignment="1" applyBorder="1" applyFont="1">
      <alignment shrinkToFit="0" vertical="center" wrapText="1"/>
    </xf>
    <xf borderId="36" fillId="6" fontId="19" numFmtId="0" xfId="0" applyAlignment="1" applyBorder="1" applyFill="1" applyFont="1">
      <alignment shrinkToFit="0" vertical="center" wrapText="1"/>
    </xf>
    <xf borderId="37" fillId="6" fontId="25" numFmtId="0" xfId="0" applyAlignment="1" applyBorder="1" applyFill="1" applyFont="1">
      <alignment horizontal="center" shrinkToFit="0" vertical="center" wrapText="1"/>
    </xf>
    <xf borderId="38" fillId="0" fontId="25" numFmtId="0" xfId="0" applyAlignment="1" applyBorder="1" applyFont="1">
      <alignment horizontal="center" shrinkToFit="0" vertical="center" wrapText="1"/>
    </xf>
    <xf borderId="0" fillId="0" fontId="26" numFmtId="0" xfId="0" applyFont="1"/>
    <xf borderId="0" fillId="0" fontId="27" numFmtId="0" xfId="0" applyFont="1"/>
    <xf borderId="0" fillId="0" fontId="1" numFmtId="0" xfId="0" applyFont="1"/>
    <xf borderId="36" fillId="6" fontId="19" numFmtId="14" xfId="0" applyAlignment="1" applyBorder="1" applyFill="1" applyFont="1" applyNumberFormat="1">
      <alignment shrinkToFit="0" vertical="center" wrapText="1"/>
    </xf>
    <xf borderId="39" fillId="0" fontId="25" numFmtId="0" xfId="0" applyAlignment="1" applyBorder="1" applyFont="1">
      <alignment horizontal="center" shrinkToFit="0" vertical="center" wrapText="1"/>
    </xf>
    <xf borderId="30" fillId="0" fontId="19" numFmtId="0" xfId="0" applyAlignment="1" applyBorder="1" applyFont="1">
      <alignment shrinkToFit="0" vertical="center" wrapText="1"/>
    </xf>
    <xf borderId="40" fillId="0" fontId="25" numFmtId="0" xfId="0" applyAlignment="1" applyBorder="1" applyFont="1">
      <alignment horizontal="center" shrinkToFit="0" vertical="center" wrapText="1"/>
    </xf>
    <xf borderId="36" fillId="0" fontId="19" numFmtId="14" xfId="0" applyAlignment="1" applyBorder="1" applyFont="1" applyNumberFormat="1">
      <alignment shrinkToFit="0" vertical="center" wrapText="1"/>
    </xf>
    <xf borderId="38" fillId="0" fontId="19" numFmtId="0" xfId="0" applyAlignment="1" applyBorder="1" applyFont="1">
      <alignment shrinkToFit="0" vertical="center" wrapText="1"/>
    </xf>
    <xf borderId="30" fillId="0" fontId="26" numFmtId="14" xfId="0" applyAlignment="1" applyBorder="1" applyFont="1" applyNumberFormat="1">
      <alignment shrinkToFit="0" vertical="center" wrapText="1"/>
    </xf>
    <xf borderId="35" fillId="0" fontId="19" numFmtId="14" xfId="0" applyAlignment="1" applyBorder="1" applyFont="1" applyNumberFormat="1">
      <alignment horizontal="center" shrinkToFit="0" vertical="center" wrapText="1"/>
    </xf>
    <xf borderId="30" fillId="0" fontId="19" numFmtId="14" xfId="0" applyAlignment="1" applyBorder="1" applyFont="1" applyNumberFormat="1">
      <alignment horizontal="center" shrinkToFit="0" vertical="center" wrapText="1"/>
    </xf>
    <xf borderId="32" fillId="0" fontId="25" numFmtId="1" xfId="0" applyAlignment="1" applyBorder="1" applyFont="1" applyNumberFormat="1">
      <alignment horizontal="center" shrinkToFit="0" vertical="center" wrapText="1"/>
    </xf>
    <xf borderId="41" fillId="0" fontId="25" numFmtId="0" xfId="0" applyAlignment="1" applyBorder="1" applyFont="1">
      <alignment horizontal="center" shrinkToFit="0" vertical="center" wrapText="1"/>
    </xf>
    <xf borderId="38" fillId="6" fontId="15" numFmtId="0" xfId="0" applyAlignment="1" applyBorder="1" applyFill="1" applyFont="1">
      <alignment horizontal="center" shrinkToFit="0" wrapText="1"/>
    </xf>
    <xf borderId="37" fillId="6" fontId="25" numFmtId="1" xfId="0" applyAlignment="1" applyBorder="1" applyFill="1" applyFont="1" applyNumberFormat="1">
      <alignment horizontal="center" shrinkToFit="0" vertical="center" wrapText="1"/>
    </xf>
    <xf borderId="38" fillId="0" fontId="24" numFmtId="0" xfId="0" applyBorder="1" applyFont="1"/>
    <xf borderId="31" fillId="6" fontId="25" numFmtId="1" xfId="0" applyAlignment="1" applyBorder="1" applyFill="1" applyFont="1" applyNumberFormat="1">
      <alignment horizontal="center" shrinkToFit="0" vertical="center" wrapText="1"/>
    </xf>
    <xf borderId="18" fillId="0" fontId="22" numFmtId="0" xfId="0" applyAlignment="1" applyBorder="1" applyFont="1">
      <alignment horizontal="center" shrinkToFit="0" vertical="center" wrapText="1"/>
    </xf>
    <xf borderId="18" fillId="0" fontId="16" numFmtId="0" xfId="0" applyAlignment="1" applyBorder="1" applyFont="1">
      <alignment horizontal="center" shrinkToFit="0" vertical="center" wrapText="1"/>
    </xf>
    <xf borderId="0" fillId="0" fontId="24" numFmtId="0" xfId="0" applyFont="1"/>
    <xf borderId="25" fillId="0" fontId="16" numFmtId="0" xfId="0" applyAlignment="1" applyBorder="1" applyFont="1">
      <alignment horizontal="center" shrinkToFit="0" vertical="center" wrapText="1"/>
    </xf>
    <xf borderId="18" fillId="0" fontId="19" numFmtId="0" xfId="0" applyAlignment="1" applyBorder="1" applyFont="1">
      <alignment shrinkToFit="0" vertical="center" wrapText="1"/>
    </xf>
    <xf borderId="18" fillId="0" fontId="20" numFmtId="0" xfId="0" applyAlignment="1" applyBorder="1" applyFont="1">
      <alignment shrinkToFit="0" vertical="center" wrapText="1"/>
    </xf>
    <xf borderId="18" fillId="5" fontId="18" numFmtId="14" xfId="0" applyAlignment="1" applyBorder="1" applyFill="1" applyFont="1" applyNumberFormat="1">
      <alignment horizontal="center" shrinkToFit="0" vertical="center" wrapText="1"/>
    </xf>
    <xf borderId="18" fillId="0" fontId="19" numFmtId="14" xfId="0" applyAlignment="1" applyBorder="1" applyFont="1" applyNumberFormat="1">
      <alignment horizontal="center" shrinkToFit="0" vertical="center" wrapText="1"/>
    </xf>
    <xf borderId="40" fillId="0" fontId="19" numFmtId="14" xfId="0" applyAlignment="1" applyBorder="1" applyFont="1" applyNumberFormat="1">
      <alignment horizontal="center" shrinkToFit="0" vertical="center" wrapText="1"/>
    </xf>
    <xf borderId="33" fillId="5" fontId="15" numFmtId="0" xfId="0" applyAlignment="1" applyBorder="1" applyFill="1" applyFont="1">
      <alignment horizontal="center" vertical="center"/>
    </xf>
    <xf borderId="21" fillId="0" fontId="19" numFmtId="0" xfId="0" applyAlignment="1" applyBorder="1" applyFont="1">
      <alignment horizontal="center" shrinkToFit="0" vertical="center" wrapText="1"/>
    </xf>
    <xf borderId="21" fillId="0" fontId="16" numFmtId="0" xfId="0" applyAlignment="1" applyBorder="1" applyFont="1">
      <alignment horizontal="left" shrinkToFit="0" vertical="center" wrapText="1"/>
    </xf>
    <xf borderId="42" fillId="0" fontId="19" numFmtId="14" xfId="0" applyAlignment="1" applyBorder="1" applyFont="1" applyNumberFormat="1">
      <alignment shrinkToFit="0" vertical="center" wrapText="1"/>
    </xf>
    <xf borderId="43" fillId="0" fontId="25" numFmtId="0" xfId="0" applyAlignment="1" applyBorder="1" applyFont="1">
      <alignment horizontal="center" shrinkToFit="0" vertical="center" wrapText="1"/>
    </xf>
    <xf borderId="44" fillId="0" fontId="25" numFmtId="0" xfId="0" applyAlignment="1" applyBorder="1" applyFont="1">
      <alignment horizontal="center" shrinkToFit="0" vertical="center" wrapText="1"/>
    </xf>
    <xf borderId="45" fillId="7" fontId="19" numFmtId="0" xfId="0" applyAlignment="1" applyBorder="1" applyFill="1" applyFont="1">
      <alignment horizontal="center" shrinkToFit="0" wrapText="1"/>
    </xf>
    <xf borderId="46" fillId="0" fontId="25" numFmtId="0" xfId="0" applyAlignment="1" applyBorder="1" applyFont="1">
      <alignment horizontal="center" shrinkToFit="0" vertical="center" wrapText="1"/>
    </xf>
    <xf borderId="47" fillId="0" fontId="25" numFmtId="0" xfId="0" applyAlignment="1" applyBorder="1" applyFont="1">
      <alignment horizontal="center" shrinkToFit="0" vertical="center" wrapText="1"/>
    </xf>
    <xf borderId="48" fillId="8" fontId="19" numFmtId="0" xfId="0" applyAlignment="1" applyBorder="1" applyFill="1" applyFont="1">
      <alignment horizontal="center" shrinkToFit="0" wrapText="1"/>
    </xf>
    <xf borderId="49" fillId="0" fontId="19" numFmtId="14" xfId="0" applyAlignment="1" applyBorder="1" applyFont="1" applyNumberFormat="1">
      <alignment shrinkToFit="0" vertical="center" wrapText="1"/>
    </xf>
    <xf borderId="50" fillId="0" fontId="25" numFmtId="0" xfId="0" applyAlignment="1" applyBorder="1" applyFont="1">
      <alignment horizontal="center" shrinkToFit="0" vertical="center" wrapText="1"/>
    </xf>
    <xf borderId="42" fillId="0" fontId="19" numFmtId="0" xfId="0" applyAlignment="1" applyBorder="1" applyFont="1">
      <alignment shrinkToFit="0" vertical="center" wrapText="1"/>
    </xf>
    <xf borderId="51" fillId="0" fontId="25" numFmtId="0" xfId="0" applyAlignment="1" applyBorder="1" applyFont="1">
      <alignment horizontal="center" shrinkToFit="0" vertical="center" wrapText="1"/>
    </xf>
    <xf borderId="49" fillId="0" fontId="19" numFmtId="0" xfId="0" applyAlignment="1" applyBorder="1" applyFont="1">
      <alignment shrinkToFit="0" vertical="center" wrapText="1"/>
    </xf>
    <xf borderId="52" fillId="0" fontId="25" numFmtId="0" xfId="0" applyAlignment="1" applyBorder="1" applyFont="1">
      <alignment horizontal="center" shrinkToFit="0" vertical="center" wrapText="1"/>
    </xf>
    <xf borderId="53" fillId="0" fontId="19" numFmtId="14" xfId="0" applyAlignment="1" applyBorder="1" applyFont="1" applyNumberFormat="1">
      <alignment shrinkToFit="0" vertical="center" wrapText="1"/>
    </xf>
    <xf borderId="20" fillId="0" fontId="25" numFmtId="0" xfId="0" applyAlignment="1" applyBorder="1" applyFont="1">
      <alignment horizontal="center" shrinkToFit="0" vertical="center" wrapText="1"/>
    </xf>
    <xf borderId="54" fillId="0" fontId="25" numFmtId="0" xfId="0" applyAlignment="1" applyBorder="1" applyFont="1">
      <alignment horizontal="center" shrinkToFit="0" vertical="center" wrapText="1"/>
    </xf>
    <xf borderId="55" fillId="0" fontId="19" numFmtId="14" xfId="0" applyAlignment="1" applyBorder="1" applyFont="1" applyNumberFormat="1">
      <alignment shrinkToFit="0" vertical="center" wrapText="1"/>
    </xf>
    <xf borderId="28" fillId="0" fontId="25" numFmtId="0" xfId="0" applyAlignment="1" applyBorder="1" applyFont="1">
      <alignment horizontal="center" shrinkToFit="0" vertical="center" wrapText="1"/>
    </xf>
    <xf borderId="34" fillId="0" fontId="19" numFmtId="14" xfId="0" applyAlignment="1" applyBorder="1" applyFont="1" applyNumberFormat="1">
      <alignment shrinkToFit="0" vertical="center" wrapText="1"/>
    </xf>
    <xf borderId="23" fillId="0" fontId="28" numFmtId="0" xfId="0" applyAlignment="1" applyBorder="1" applyFont="1">
      <alignment shrinkToFit="0" vertical="center" wrapText="1"/>
    </xf>
    <xf borderId="21" fillId="6" fontId="15" numFmtId="0" xfId="0" applyAlignment="1" applyBorder="1" applyFill="1" applyFont="1">
      <alignment horizontal="center" shrinkToFit="0" wrapText="1"/>
    </xf>
    <xf borderId="27" fillId="0" fontId="28" numFmtId="0" xfId="0" applyAlignment="1" applyBorder="1" applyFont="1">
      <alignment shrinkToFit="0" vertical="center" wrapText="1"/>
    </xf>
    <xf borderId="38" fillId="6" fontId="25" numFmtId="0" xfId="0" applyAlignment="1" applyBorder="1" applyFill="1" applyFont="1">
      <alignment horizontal="center" shrinkToFit="0" vertical="center" wrapText="1"/>
    </xf>
    <xf borderId="56" fillId="6" fontId="25" numFmtId="0" xfId="0" applyAlignment="1" applyBorder="1" applyFill="1" applyFont="1">
      <alignment horizontal="center" shrinkToFit="0" vertical="center" wrapText="1"/>
    </xf>
    <xf borderId="34" fillId="0" fontId="8" numFmtId="0" xfId="0" applyAlignment="1" applyBorder="1" applyFont="1">
      <alignment shrinkToFit="0" vertical="center" wrapText="1"/>
    </xf>
    <xf borderId="57" fillId="0" fontId="8" numFmtId="0" xfId="0" applyBorder="1" applyFont="1"/>
    <xf borderId="29" fillId="0" fontId="29" numFmtId="0" xfId="0" applyAlignment="1" applyBorder="1" applyFont="1">
      <alignment shrinkToFit="0" vertical="top" wrapText="1"/>
    </xf>
    <xf borderId="34" fillId="0" fontId="29" numFmtId="0" xfId="0" applyAlignment="1" applyBorder="1" applyFont="1">
      <alignment shrinkToFit="0" vertical="top" wrapText="1"/>
    </xf>
    <xf borderId="58" fillId="0" fontId="25" numFmtId="0" xfId="0" applyAlignment="1" applyBorder="1" applyFont="1">
      <alignment horizontal="center" shrinkToFit="0" vertical="center" wrapText="1"/>
    </xf>
    <xf borderId="29" fillId="0" fontId="25" numFmtId="0" xfId="0" applyAlignment="1" applyBorder="1" applyFont="1">
      <alignment horizontal="center" shrinkToFit="0" vertical="center" wrapText="1"/>
    </xf>
    <xf borderId="59" fillId="6" fontId="15" numFmtId="0" xfId="0" applyAlignment="1" applyBorder="1" applyFill="1" applyFont="1">
      <alignment horizontal="center" shrinkToFit="0" wrapText="1"/>
    </xf>
    <xf borderId="40" fillId="6" fontId="15" numFmtId="0" xfId="0" applyAlignment="1" applyBorder="1" applyFill="1" applyFont="1">
      <alignment horizontal="center" shrinkToFit="0" wrapText="1"/>
    </xf>
    <xf borderId="22" fillId="0" fontId="23" numFmtId="11" xfId="0" applyAlignment="1" applyBorder="1" applyFont="1" applyNumberFormat="1">
      <alignment shrinkToFit="0" vertical="center" wrapText="1"/>
    </xf>
    <xf borderId="29" fillId="0" fontId="8" numFmtId="0" xfId="0" applyAlignment="1" applyBorder="1" applyFont="1">
      <alignment shrinkToFit="0" vertical="center" wrapText="1"/>
    </xf>
    <xf borderId="59" fillId="0" fontId="25" numFmtId="0" xfId="0" applyAlignment="1" applyBorder="1" applyFont="1">
      <alignment horizontal="center" shrinkToFit="0" vertical="center" wrapText="1"/>
    </xf>
    <xf borderId="22" fillId="0" fontId="30" numFmtId="0" xfId="0" applyAlignment="1" applyBorder="1" applyFont="1">
      <alignment shrinkToFit="0" vertical="center" wrapText="1"/>
    </xf>
    <xf borderId="60" fillId="0" fontId="18" numFmtId="0" xfId="0" applyAlignment="1" applyBorder="1" applyFont="1">
      <alignment horizontal="center" vertical="center"/>
    </xf>
    <xf borderId="61" fillId="0" fontId="7" numFmtId="0" xfId="0" applyBorder="1" applyFont="1"/>
    <xf borderId="62" fillId="0" fontId="7" numFmtId="0" xfId="0" applyBorder="1" applyFont="1"/>
    <xf borderId="63" fillId="0" fontId="16" numFmtId="0" xfId="0" applyAlignment="1" applyBorder="1" applyFont="1">
      <alignment horizontal="center" shrinkToFit="0" vertical="center" wrapText="1"/>
    </xf>
    <xf borderId="64" fillId="0" fontId="23" numFmtId="0" xfId="0" applyAlignment="1" applyBorder="1" applyFont="1">
      <alignment shrinkToFit="0" vertical="center" wrapText="1"/>
    </xf>
    <xf borderId="65" fillId="0" fontId="7" numFmtId="0" xfId="0" applyBorder="1" applyFont="1"/>
    <xf borderId="66" fillId="0" fontId="29" numFmtId="0" xfId="0" applyBorder="1" applyFont="1"/>
    <xf borderId="8" fillId="6" fontId="16" numFmtId="0" xfId="0" applyAlignment="1" applyBorder="1" applyFill="1" applyFont="1">
      <alignment horizontal="center" shrinkToFit="0" vertical="center" wrapText="1"/>
    </xf>
    <xf borderId="67" fillId="9" fontId="15" numFmtId="0" xfId="0" applyAlignment="1" applyBorder="1" applyFill="1" applyFont="1">
      <alignment horizontal="center" shrinkToFit="0" vertical="center" wrapText="1"/>
    </xf>
    <xf borderId="68" fillId="0" fontId="7" numFmtId="0" xfId="0" applyBorder="1" applyFont="1"/>
    <xf borderId="67" fillId="9" fontId="15" numFmtId="49" xfId="0" applyAlignment="1" applyBorder="1" applyFill="1" applyFont="1" applyNumberFormat="1">
      <alignment horizontal="center" shrinkToFit="0" vertical="center" wrapText="1"/>
    </xf>
    <xf borderId="59" fillId="9" fontId="15" numFmtId="0" xfId="0" applyAlignment="1" applyBorder="1" applyFill="1" applyFont="1">
      <alignment horizontal="center" shrinkToFit="0" vertical="center" wrapText="1"/>
    </xf>
    <xf borderId="38" fillId="6" fontId="19" numFmtId="0" xfId="0" applyAlignment="1" applyBorder="1" applyFill="1" applyFont="1">
      <alignment horizontal="center" shrinkToFit="0" wrapText="1"/>
    </xf>
    <xf borderId="21" fillId="0" fontId="23" numFmtId="0" xfId="0" applyAlignment="1" applyBorder="1" applyFont="1">
      <alignment horizontal="center" shrinkToFit="0" vertical="center" wrapText="1"/>
    </xf>
    <xf borderId="69" fillId="0" fontId="19" numFmtId="14" xfId="0" applyAlignment="1" applyBorder="1" applyFont="1" applyNumberFormat="1">
      <alignment shrinkToFit="0" vertical="center" wrapText="1"/>
    </xf>
    <xf borderId="70" fillId="0" fontId="25" numFmtId="0" xfId="0" applyAlignment="1" applyBorder="1" applyFont="1">
      <alignment horizontal="center" shrinkToFit="0" vertical="center" wrapText="1"/>
    </xf>
    <xf borderId="71" fillId="0" fontId="19" numFmtId="14" xfId="0" applyAlignment="1" applyBorder="1" applyFont="1" applyNumberFormat="1">
      <alignment shrinkToFit="0" vertical="center" wrapText="1"/>
    </xf>
    <xf borderId="72" fillId="6" fontId="19" numFmtId="14" xfId="0" applyAlignment="1" applyBorder="1" applyFill="1" applyFont="1" applyNumberFormat="1">
      <alignment shrinkToFit="0" vertical="center" wrapText="1"/>
    </xf>
    <xf borderId="73" fillId="6" fontId="25" numFmtId="0" xfId="0" applyAlignment="1" applyBorder="1" applyFill="1" applyFont="1">
      <alignment horizontal="center" shrinkToFit="0" vertical="center" wrapText="1"/>
    </xf>
    <xf borderId="63" fillId="0" fontId="7" numFmtId="0" xfId="0" applyBorder="1" applyFont="1"/>
    <xf borderId="40" fillId="0" fontId="19" numFmtId="0" xfId="0" applyAlignment="1" applyBorder="1" applyFont="1">
      <alignment shrinkToFit="0" vertical="center" wrapText="1"/>
    </xf>
    <xf borderId="74" fillId="6" fontId="19" numFmtId="14" xfId="0" applyAlignment="1" applyBorder="1" applyFill="1" applyFont="1" applyNumberFormat="1">
      <alignment shrinkToFit="0" vertical="center" wrapText="1"/>
    </xf>
    <xf borderId="39" fillId="0" fontId="19" numFmtId="0" xfId="0" applyAlignment="1" applyBorder="1" applyFont="1">
      <alignment shrinkToFit="0" vertical="center" wrapText="1"/>
    </xf>
    <xf borderId="33" fillId="6" fontId="19" numFmtId="0" xfId="0" applyAlignment="1" applyBorder="1" applyFill="1" applyFont="1">
      <alignment horizontal="center" shrinkToFit="0" wrapText="1"/>
    </xf>
    <xf borderId="22" fillId="6" fontId="19" numFmtId="0" xfId="0" applyAlignment="1" applyBorder="1" applyFill="1" applyFont="1">
      <alignment shrinkToFit="0" vertical="center" wrapText="1"/>
    </xf>
    <xf borderId="75" fillId="6" fontId="16" numFmtId="0" xfId="0" applyAlignment="1" applyBorder="1" applyFill="1" applyFont="1">
      <alignment horizontal="center" shrinkToFit="0" vertical="center" wrapText="1"/>
    </xf>
    <xf borderId="22" fillId="0" fontId="16" numFmtId="0" xfId="0" applyAlignment="1" applyBorder="1" applyFont="1">
      <alignment horizontal="center" shrinkToFit="0" vertical="center" wrapText="1"/>
    </xf>
    <xf borderId="21" fillId="0" fontId="19" numFmtId="0" xfId="0" applyAlignment="1" applyBorder="1" applyFont="1">
      <alignment shrinkToFit="0" vertical="center" wrapText="1"/>
    </xf>
    <xf borderId="76" fillId="0" fontId="19" numFmtId="0" xfId="0" applyAlignment="1" applyBorder="1" applyFont="1">
      <alignment shrinkToFit="0" vertical="center" wrapText="1"/>
    </xf>
    <xf borderId="38" fillId="5" fontId="15" numFmtId="0" xfId="0" applyAlignment="1" applyBorder="1" applyFill="1" applyFont="1">
      <alignment horizontal="center"/>
    </xf>
    <xf borderId="77" fillId="0" fontId="23" numFmtId="0" xfId="0" applyAlignment="1" applyBorder="1" applyFont="1">
      <alignment horizontal="center" shrinkToFit="0" vertical="center" wrapText="1"/>
    </xf>
    <xf borderId="77" fillId="0" fontId="16" numFmtId="0" xfId="0" applyAlignment="1" applyBorder="1" applyFont="1">
      <alignment horizontal="center" shrinkToFit="0" vertical="center" wrapText="1"/>
    </xf>
    <xf borderId="77" fillId="0" fontId="19" numFmtId="0" xfId="0" applyAlignment="1" applyBorder="1" applyFont="1">
      <alignment horizontal="center" shrinkToFit="0" vertical="center" wrapText="1"/>
    </xf>
    <xf borderId="78" fillId="0" fontId="19" numFmtId="14" xfId="0" applyAlignment="1" applyBorder="1" applyFont="1" applyNumberFormat="1">
      <alignment shrinkToFit="0" vertical="center" wrapText="1"/>
    </xf>
    <xf borderId="79" fillId="0" fontId="19" numFmtId="0" xfId="0" applyAlignment="1" applyBorder="1" applyFont="1">
      <alignment shrinkToFit="0" vertical="center" wrapText="1"/>
    </xf>
    <xf borderId="80" fillId="0" fontId="7" numFmtId="0" xfId="0" applyBorder="1" applyFont="1"/>
    <xf borderId="81" fillId="9" fontId="15" numFmtId="49" xfId="0" applyAlignment="1" applyBorder="1" applyFill="1" applyFont="1" applyNumberFormat="1">
      <alignment horizontal="center" shrinkToFit="0" vertical="center" wrapText="1"/>
    </xf>
    <xf borderId="82" fillId="0" fontId="19" numFmtId="0" xfId="0" applyAlignment="1" applyBorder="1" applyFont="1">
      <alignment shrinkToFit="0" vertical="center" wrapText="1"/>
    </xf>
    <xf borderId="76" fillId="6" fontId="19" numFmtId="0" xfId="0" applyAlignment="1" applyBorder="1" applyFill="1" applyFont="1">
      <alignment horizontal="center" shrinkToFit="0" wrapText="1"/>
    </xf>
    <xf borderId="49" fillId="0" fontId="28" numFmtId="14" xfId="0" applyAlignment="1" applyBorder="1" applyFont="1" applyNumberFormat="1">
      <alignment shrinkToFit="0" vertical="center" wrapText="1"/>
    </xf>
    <xf borderId="34" fillId="0" fontId="7" numFmtId="0" xfId="0" applyBorder="1" applyFont="1"/>
    <xf borderId="0" fillId="0" fontId="2" numFmtId="0" xfId="0" applyFont="1"/>
    <xf borderId="0" fillId="0" fontId="1" numFmtId="0" xfId="0" applyAlignment="1" applyFont="1">
      <alignment horizontal="center"/>
    </xf>
    <xf borderId="0" fillId="0" fontId="31" numFmtId="14" xfId="0" applyAlignment="1" applyFont="1" applyNumberFormat="1">
      <alignment shrinkToFit="0" vertical="center" wrapText="1"/>
    </xf>
    <xf borderId="0" fillId="0" fontId="32" numFmtId="0" xfId="0" applyAlignment="1" applyFont="1">
      <alignment horizontal="center" shrinkToFit="0" vertical="center" wrapText="1"/>
    </xf>
    <xf borderId="83" fillId="0" fontId="33" numFmtId="0" xfId="0" applyAlignment="1" applyBorder="1" applyFont="1">
      <alignment horizontal="center"/>
    </xf>
    <xf borderId="84" fillId="0" fontId="33" numFmtId="0" xfId="0" applyBorder="1" applyFont="1"/>
    <xf borderId="85" fillId="0" fontId="7" numFmtId="0" xfId="0" applyBorder="1" applyFont="1"/>
    <xf borderId="86" fillId="0" fontId="33" numFmtId="0" xfId="0" applyAlignment="1" applyBorder="1" applyFont="1">
      <alignment horizontal="center" vertical="center"/>
    </xf>
    <xf borderId="86" fillId="0" fontId="33" numFmtId="0" xfId="0" applyAlignment="1" applyBorder="1" applyFont="1">
      <alignment horizontal="center"/>
    </xf>
    <xf borderId="87" fillId="0" fontId="7" numFmtId="0" xfId="0" applyBorder="1" applyFont="1"/>
    <xf borderId="88" fillId="0" fontId="33" numFmtId="0" xfId="0" applyAlignment="1" applyBorder="1" applyFont="1">
      <alignment horizontal="center"/>
    </xf>
    <xf borderId="89" fillId="0" fontId="34" numFmtId="0" xfId="0" applyBorder="1" applyFont="1"/>
    <xf borderId="90" fillId="0" fontId="1" numFmtId="0" xfId="0" applyBorder="1" applyFont="1"/>
    <xf borderId="91" fillId="0" fontId="35" numFmtId="0" xfId="0" applyAlignment="1" applyBorder="1" applyFont="1">
      <alignment vertical="center"/>
    </xf>
    <xf borderId="92" fillId="0" fontId="1" numFmtId="0" xfId="0" applyBorder="1" applyFont="1"/>
    <xf borderId="89" fillId="0" fontId="35" numFmtId="0" xfId="0" applyAlignment="1" applyBorder="1" applyFont="1">
      <alignment vertical="center"/>
    </xf>
    <xf borderId="93" fillId="0" fontId="1" numFmtId="0" xfId="0" applyBorder="1" applyFont="1"/>
    <xf borderId="94" fillId="0" fontId="1" numFmtId="0" xfId="0" applyBorder="1" applyFont="1"/>
    <xf borderId="95" fillId="0" fontId="1" numFmtId="0" xfId="0" applyBorder="1" applyFont="1"/>
    <xf borderId="96" fillId="0" fontId="1" numFmtId="0" xfId="0" applyBorder="1" applyFont="1"/>
    <xf borderId="92" fillId="0" fontId="28" numFmtId="0" xfId="0" applyBorder="1" applyFont="1"/>
    <xf borderId="97" fillId="0" fontId="36" numFmtId="0" xfId="0" applyBorder="1" applyFont="1"/>
    <xf borderId="97" fillId="0" fontId="37" numFmtId="0" xfId="0" applyBorder="1" applyFont="1"/>
    <xf borderId="97" fillId="0" fontId="33" numFmtId="0" xfId="0" applyAlignment="1" applyBorder="1" applyFont="1">
      <alignment horizontal="center"/>
    </xf>
    <xf borderId="98" fillId="0" fontId="34" numFmtId="0" xfId="0" applyBorder="1" applyFont="1"/>
    <xf borderId="99" fillId="0" fontId="1" numFmtId="0" xfId="0" applyBorder="1" applyFont="1"/>
    <xf borderId="100" fillId="0" fontId="35" numFmtId="0" xfId="0" applyAlignment="1" applyBorder="1" applyFont="1">
      <alignment vertical="center"/>
    </xf>
    <xf borderId="101" fillId="0" fontId="1" numFmtId="0" xfId="0" applyBorder="1" applyFont="1"/>
    <xf borderId="102" fillId="0" fontId="1" numFmtId="0" xfId="0" applyBorder="1" applyFont="1"/>
    <xf borderId="103" fillId="0" fontId="1" numFmtId="0" xfId="0" applyBorder="1" applyFont="1"/>
    <xf borderId="101" fillId="0" fontId="28" numFmtId="0" xfId="0" applyBorder="1" applyFont="1"/>
    <xf borderId="104" fillId="0" fontId="1" numFmtId="0" xfId="0" applyBorder="1" applyFont="1"/>
    <xf borderId="98" fillId="0" fontId="35" numFmtId="0" xfId="0" applyAlignment="1" applyBorder="1" applyFont="1">
      <alignment vertical="center"/>
    </xf>
    <xf borderId="105" fillId="0" fontId="1" numFmtId="0" xfId="0" applyBorder="1" applyFont="1"/>
    <xf borderId="100" fillId="0" fontId="34" numFmtId="0" xfId="0" applyBorder="1" applyFont="1"/>
    <xf borderId="99" fillId="0" fontId="28" numFmtId="0" xfId="0" applyBorder="1" applyFont="1"/>
    <xf borderId="0" fillId="0" fontId="38" numFmtId="0" xfId="0" applyFont="1"/>
    <xf borderId="0" fillId="0" fontId="39" numFmtId="0" xfId="0" applyFont="1"/>
    <xf borderId="106" fillId="0" fontId="38" numFmtId="0" xfId="0" applyBorder="1" applyFont="1"/>
    <xf borderId="0" fillId="0" fontId="40" numFmtId="0" xfId="0" applyFont="1"/>
    <xf borderId="0" fillId="0" fontId="41" numFmtId="0" xfId="0" applyFont="1"/>
    <xf borderId="0" fillId="0" fontId="33" numFmtId="0" xfId="0" applyAlignment="1" applyFont="1">
      <alignment horizontal="center"/>
    </xf>
    <xf borderId="0" fillId="0" fontId="34" numFmtId="0" xfId="0" applyFont="1"/>
    <xf borderId="0" fillId="0" fontId="33" numFmtId="0" xfId="0" applyAlignment="1" applyFont="1">
      <alignment horizontal="center" vertical="center"/>
    </xf>
    <xf borderId="0" fillId="0" fontId="28" numFmtId="0" xfId="0" applyFont="1"/>
    <xf borderId="0" fillId="0" fontId="28" numFmtId="0" xfId="0" applyAlignment="1" applyFont="1">
      <alignment horizontal="center"/>
    </xf>
    <xf borderId="0" fillId="0" fontId="42" numFmtId="0" xfId="0" applyFont="1"/>
    <xf borderId="0" fillId="0" fontId="43" numFmtId="14" xfId="0" applyFont="1" applyNumberFormat="1"/>
    <xf borderId="0" fillId="0" fontId="43" numFmtId="0" xfId="0" applyFont="1"/>
    <xf borderId="0" fillId="0" fontId="35" numFmtId="0" xfId="0" applyAlignment="1" applyFont="1">
      <alignment vertical="center"/>
    </xf>
  </cellXfs>
  <cellStyles count="1">
    <cellStyle xfId="0" name="Normal" builtinId="0"/>
  </cellStyles>
  <dxfs count="2">
    <dxf>
      <font>
        <b/>
      </font>
      <fill>
        <patternFill patternType="none"/>
      </fill>
      <border/>
    </dxf>
    <dxf>
      <font>
        <b/>
        <color rgb="FFFF0000"/>
      </font>
      <fill>
        <patternFill patternType="none"/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200">
                <a:solidFill>
                  <a:srgbClr val="000000"/>
                </a:solidFill>
                <a:latin typeface="Arimo"/>
              </a:defRPr>
            </a:pPr>
            <a:r>
              <a:rPr b="0" i="0" sz="1200">
                <a:solidFill>
                  <a:srgbClr val="000000"/>
                </a:solidFill>
                <a:latin typeface="Arimo"/>
              </a:rPr>
              <a:t>Кількість контрольних операцій по даті ППР-2026 блок №3</a:t>
            </a:r>
          </a:p>
        </c:rich>
      </c:tx>
      <c:layout>
        <c:manualLayout>
          <c:xMode val="edge"/>
          <c:yMode val="edge"/>
          <c:x val="0.33150919474796936"/>
          <c:y val="0.028673884514435696"/>
        </c:manualLayout>
      </c:layout>
      <c:overlay val="0"/>
    </c:title>
    <c:plotArea>
      <c:layout>
        <c:manualLayout>
          <c:xMode val="edge"/>
          <c:yMode val="edge"/>
          <c:x val="0.02777779530152017"/>
          <c:y val="0.08181830287982789"/>
          <c:w val="0.9541349688452393"/>
          <c:h val="0.666667653094894"/>
        </c:manualLayout>
      </c:layout>
      <c:lineChart>
        <c:varyColors val="0"/>
        <c:ser>
          <c:idx val="0"/>
          <c:order val="0"/>
          <c:spPr>
            <a:ln cmpd="sng" w="38100">
              <a:solidFill>
                <a:srgbClr val="800080">
                  <a:alpha val="100000"/>
                </a:srgbClr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80">
                  <a:alpha val="100000"/>
                </a:srgbClr>
              </a:solidFill>
              <a:ln cmpd="sng">
                <a:solidFill>
                  <a:srgbClr val="800080">
                    <a:alpha val="100000"/>
                  </a:srgbClr>
                </a:solidFill>
              </a:ln>
            </c:spPr>
          </c:marker>
          <c:cat>
            <c:strRef>
              <c:f>'Таблиця'!$AA$421:$AA$517</c:f>
            </c:strRef>
          </c:cat>
          <c:val>
            <c:numRef>
              <c:f>'Таблиця'!$AB$421:$AB$517</c:f>
              <c:numCache/>
            </c:numRef>
          </c:val>
          <c:smooth val="0"/>
        </c:ser>
        <c:axId val="907886977"/>
        <c:axId val="877274966"/>
      </c:lineChart>
      <c:catAx>
        <c:axId val="9078869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dd/mm/yyyy" sourceLinked="0"/>
        <c:majorTickMark val="out"/>
        <c:minorTickMark val="none"/>
        <c:spPr/>
        <c:txPr>
          <a:bodyPr rot="-5400000"/>
          <a:lstStyle/>
          <a:p>
            <a:pPr lvl="0">
              <a:defRPr b="0" i="0" sz="1000">
                <a:solidFill>
                  <a:srgbClr val="000000"/>
                </a:solidFill>
                <a:latin typeface="Arimo"/>
              </a:defRPr>
            </a:pPr>
          </a:p>
        </c:txPr>
        <c:crossAx val="877274966"/>
      </c:catAx>
      <c:valAx>
        <c:axId val="87727496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 rot="0"/>
          <a:lstStyle/>
          <a:p>
            <a:pPr lvl="0">
              <a:defRPr b="0" i="0" sz="1300">
                <a:solidFill>
                  <a:srgbClr val="000000"/>
                </a:solidFill>
                <a:latin typeface="Arimo"/>
              </a:defRPr>
            </a:pPr>
          </a:p>
        </c:txPr>
        <c:crossAx val="907886977"/>
      </c:valAx>
      <c:spPr>
        <a:solidFill>
          <a:srgbClr val="339966"/>
        </a:solidFill>
      </c:spPr>
    </c:plotArea>
    <c:plotVisOnly val="1"/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421</xdr:row>
      <xdr:rowOff>38100</xdr:rowOff>
    </xdr:from>
    <xdr:ext cx="14992350" cy="7772400"/>
    <xdr:graphicFrame>
      <xdr:nvGraphicFramePr>
        <xdr:cNvPr id="192879218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2">
    <tabColor rgb="FF008000"/>
    <pageSetUpPr/>
  </sheetPr>
  <sheetViews>
    <sheetView workbookViewId="0">
      <pane ySplit="5.0" topLeftCell="A6" activePane="bottomLeft" state="frozen"/>
      <selection activeCell="B7" sqref="B7" pane="bottomLeft"/>
    </sheetView>
  </sheetViews>
  <sheetFormatPr customHeight="1" defaultColWidth="14.43" defaultRowHeight="15.0"/>
  <cols>
    <col customWidth="1" min="1" max="1" width="11.29"/>
    <col customWidth="1" min="2" max="2" width="20.0"/>
    <col customWidth="1" min="3" max="3" width="6.71"/>
    <col customWidth="1" min="4" max="4" width="11.43"/>
    <col customWidth="1" min="5" max="5" width="4.71"/>
    <col customWidth="1" min="6" max="6" width="11.43"/>
    <col customWidth="1" min="7" max="7" width="4.71"/>
    <col customWidth="1" min="8" max="8" width="11.43"/>
    <col customWidth="1" min="9" max="9" width="5.43"/>
    <col customWidth="1" min="10" max="10" width="10.86"/>
    <col customWidth="1" min="11" max="11" width="4.71"/>
    <col customWidth="1" min="12" max="12" width="11.0"/>
    <col customWidth="1" min="13" max="13" width="4.71"/>
    <col customWidth="1" min="14" max="14" width="11.0"/>
    <col customWidth="1" min="15" max="15" width="4.71"/>
    <col customWidth="1" min="16" max="16" width="11.0"/>
    <col customWidth="1" min="17" max="17" width="4.71"/>
    <col customWidth="1" min="18" max="18" width="11.0"/>
    <col customWidth="1" min="19" max="19" width="4.71"/>
    <col customWidth="1" min="20" max="20" width="11.0"/>
    <col customWidth="1" min="21" max="21" width="5.71"/>
    <col customWidth="1" min="22" max="22" width="11.0"/>
    <col customWidth="1" min="23" max="23" width="4.71"/>
    <col customWidth="1" min="24" max="24" width="12.71"/>
    <col customWidth="1" min="25" max="25" width="14.14"/>
    <col customWidth="1" min="26" max="26" width="10.29"/>
    <col customWidth="1" min="27" max="27" width="13.14"/>
    <col customWidth="1" min="28" max="34" width="9.14"/>
  </cols>
  <sheetData>
    <row r="1" ht="29.25" customHeight="1">
      <c r="A1" s="1"/>
      <c r="B1" s="2"/>
      <c r="C1" s="3"/>
      <c r="D1" s="4" t="s">
        <v>0</v>
      </c>
      <c r="E1" s="5"/>
      <c r="F1" s="4" t="s">
        <v>1</v>
      </c>
      <c r="G1" s="5"/>
      <c r="H1" s="4" t="s">
        <v>2</v>
      </c>
      <c r="I1" s="5"/>
      <c r="J1" s="4" t="s">
        <v>3</v>
      </c>
      <c r="K1" s="5"/>
      <c r="L1" s="4" t="s">
        <v>4</v>
      </c>
      <c r="M1" s="5"/>
      <c r="N1" s="6" t="s">
        <v>5</v>
      </c>
      <c r="O1" s="7"/>
      <c r="P1" s="8" t="s">
        <v>6</v>
      </c>
      <c r="Q1" s="1"/>
      <c r="R1" s="1"/>
      <c r="S1" s="9">
        <f>COUNTIF(D10:Y405,TODAY())</f>
        <v>0</v>
      </c>
      <c r="T1" s="8" t="s">
        <v>7</v>
      </c>
      <c r="U1" s="10" t="s">
        <v>8</v>
      </c>
      <c r="V1" s="11"/>
      <c r="W1" s="11"/>
      <c r="X1" s="11"/>
      <c r="Y1" s="12"/>
      <c r="Z1" s="13"/>
      <c r="AA1" s="14"/>
      <c r="AB1" s="14"/>
      <c r="AC1" s="14"/>
      <c r="AD1" s="15" t="s">
        <v>9</v>
      </c>
      <c r="AE1" s="16"/>
      <c r="AF1" s="16"/>
      <c r="AG1" s="16"/>
      <c r="AH1" s="16"/>
    </row>
    <row r="2" ht="20.25" customHeight="1">
      <c r="A2" s="17"/>
      <c r="B2" s="18"/>
      <c r="C2" s="19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20"/>
      <c r="AA2" s="21"/>
      <c r="AB2" s="21"/>
      <c r="AC2" s="21"/>
      <c r="AD2" s="22" t="s">
        <v>10</v>
      </c>
      <c r="AE2" s="16"/>
      <c r="AF2" s="16"/>
      <c r="AG2" s="16"/>
      <c r="AH2" s="16"/>
    </row>
    <row r="3" ht="15.75" customHeight="1">
      <c r="A3" s="23" t="s">
        <v>11</v>
      </c>
      <c r="B3" s="24" t="s">
        <v>12</v>
      </c>
      <c r="C3" s="25" t="s">
        <v>13</v>
      </c>
      <c r="D3" s="26" t="s">
        <v>14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8"/>
      <c r="X3" s="29"/>
      <c r="Y3" s="29" t="s">
        <v>15</v>
      </c>
      <c r="Z3" s="20"/>
      <c r="AA3" s="22"/>
      <c r="AB3" s="22"/>
      <c r="AC3" s="22"/>
      <c r="AD3" s="22" t="s">
        <v>16</v>
      </c>
      <c r="AE3" s="16"/>
      <c r="AF3" s="16"/>
      <c r="AG3" s="16"/>
      <c r="AH3" s="16"/>
    </row>
    <row r="4" ht="31.5" customHeight="1">
      <c r="A4" s="30"/>
      <c r="B4" s="30"/>
      <c r="C4" s="30"/>
      <c r="D4" s="31" t="str">
        <f>ROMAN(1)</f>
        <v>I</v>
      </c>
      <c r="E4" s="28"/>
      <c r="F4" s="31" t="str">
        <f>ROMAN(2)</f>
        <v>II</v>
      </c>
      <c r="G4" s="28"/>
      <c r="H4" s="31" t="str">
        <f>ROMAN(3)</f>
        <v>III</v>
      </c>
      <c r="I4" s="28"/>
      <c r="J4" s="31" t="str">
        <f>ROMAN(4)</f>
        <v>IV</v>
      </c>
      <c r="K4" s="28"/>
      <c r="L4" s="31" t="str">
        <f>ROMAN(5)</f>
        <v>V</v>
      </c>
      <c r="M4" s="28"/>
      <c r="N4" s="31" t="str">
        <f>ROMAN(6)</f>
        <v>VI</v>
      </c>
      <c r="O4" s="28"/>
      <c r="P4" s="31" t="str">
        <f>ROMAN(7)</f>
        <v>VII</v>
      </c>
      <c r="Q4" s="28"/>
      <c r="R4" s="31" t="str">
        <f>ROMAN(8)</f>
        <v>VIII</v>
      </c>
      <c r="S4" s="28"/>
      <c r="T4" s="31" t="str">
        <f>ROMAN(9)</f>
        <v>IX</v>
      </c>
      <c r="U4" s="28"/>
      <c r="V4" s="31" t="str">
        <f>ROMAN(10)</f>
        <v>X</v>
      </c>
      <c r="W4" s="28"/>
      <c r="X4" s="32" t="str">
        <f>ROMAN(11)</f>
        <v>XI</v>
      </c>
      <c r="Y4" s="32"/>
      <c r="Z4" s="20"/>
      <c r="AA4" s="22"/>
      <c r="AB4" s="22"/>
      <c r="AC4" s="22"/>
      <c r="AD4" s="22" t="s">
        <v>17</v>
      </c>
      <c r="AE4" s="16"/>
      <c r="AF4" s="16"/>
      <c r="AG4" s="16"/>
      <c r="AH4" s="16"/>
    </row>
    <row r="5" ht="19.5" customHeight="1">
      <c r="A5" s="33">
        <v>1.0</v>
      </c>
      <c r="B5" s="34">
        <v>2.0</v>
      </c>
      <c r="C5" s="33">
        <v>3.0</v>
      </c>
      <c r="D5" s="35">
        <v>4.0</v>
      </c>
      <c r="E5" s="28"/>
      <c r="F5" s="35">
        <v>5.0</v>
      </c>
      <c r="G5" s="28"/>
      <c r="H5" s="35">
        <v>6.0</v>
      </c>
      <c r="I5" s="28"/>
      <c r="J5" s="35">
        <v>7.0</v>
      </c>
      <c r="K5" s="28"/>
      <c r="L5" s="35">
        <v>8.0</v>
      </c>
      <c r="M5" s="28"/>
      <c r="N5" s="35">
        <v>9.0</v>
      </c>
      <c r="O5" s="28"/>
      <c r="P5" s="35">
        <v>10.0</v>
      </c>
      <c r="Q5" s="28"/>
      <c r="R5" s="35">
        <v>11.0</v>
      </c>
      <c r="S5" s="28"/>
      <c r="T5" s="35">
        <v>12.0</v>
      </c>
      <c r="U5" s="28"/>
      <c r="V5" s="35">
        <v>13.0</v>
      </c>
      <c r="W5" s="28"/>
      <c r="X5" s="33">
        <v>13.0</v>
      </c>
      <c r="Y5" s="33"/>
      <c r="Z5" s="36"/>
      <c r="AA5" s="22"/>
      <c r="AB5" s="22"/>
      <c r="AC5" s="22"/>
      <c r="AD5" s="22"/>
      <c r="AE5" s="16"/>
      <c r="AF5" s="16"/>
      <c r="AG5" s="16"/>
      <c r="AH5" s="16"/>
    </row>
    <row r="6" ht="24.75" customHeight="1">
      <c r="A6" s="37" t="s">
        <v>18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9"/>
      <c r="Z6" s="16"/>
      <c r="AA6" s="16"/>
      <c r="AB6" s="16"/>
      <c r="AC6" s="16"/>
      <c r="AD6" s="16"/>
      <c r="AE6" s="16"/>
      <c r="AF6" s="16"/>
      <c r="AG6" s="16"/>
      <c r="AH6" s="16"/>
    </row>
    <row r="7" ht="22.5" customHeight="1">
      <c r="A7" s="40" t="s">
        <v>19</v>
      </c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2"/>
      <c r="Z7" s="16"/>
      <c r="AA7" s="16"/>
      <c r="AB7" s="16"/>
      <c r="AC7" s="16"/>
      <c r="AD7" s="16"/>
      <c r="AE7" s="16"/>
      <c r="AF7" s="16"/>
      <c r="AG7" s="16"/>
      <c r="AH7" s="16"/>
    </row>
    <row r="8" ht="13.5" customHeight="1">
      <c r="A8" s="43">
        <v>1.0</v>
      </c>
      <c r="B8" s="44" t="s">
        <v>20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6"/>
      <c r="Z8" s="16" t="s">
        <v>21</v>
      </c>
      <c r="AA8" s="16"/>
      <c r="AB8" s="16"/>
      <c r="AC8" s="16"/>
      <c r="AD8" s="16"/>
      <c r="AE8" s="16"/>
      <c r="AF8" s="16"/>
      <c r="AG8" s="16"/>
      <c r="AH8" s="16"/>
    </row>
    <row r="9" ht="13.5" customHeight="1">
      <c r="A9" s="47"/>
      <c r="B9" s="48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50"/>
      <c r="Z9" s="16"/>
      <c r="AA9" s="16"/>
      <c r="AB9" s="16"/>
      <c r="AC9" s="16"/>
      <c r="AD9" s="16"/>
      <c r="AE9" s="16"/>
      <c r="AF9" s="16"/>
      <c r="AG9" s="16"/>
      <c r="AH9" s="16"/>
    </row>
    <row r="10" ht="15.75" customHeight="1">
      <c r="A10" s="51"/>
      <c r="B10" s="52" t="s">
        <v>22</v>
      </c>
      <c r="C10" s="53"/>
      <c r="D10" s="54"/>
      <c r="E10" s="55"/>
      <c r="F10" s="54"/>
      <c r="G10" s="55"/>
      <c r="H10" s="54"/>
      <c r="I10" s="56"/>
      <c r="J10" s="54"/>
      <c r="K10" s="55"/>
      <c r="L10" s="54"/>
      <c r="M10" s="57"/>
      <c r="N10" s="54"/>
      <c r="O10" s="54"/>
      <c r="P10" s="54"/>
      <c r="Q10" s="58"/>
      <c r="R10" s="54"/>
      <c r="S10" s="59"/>
      <c r="T10" s="54"/>
      <c r="U10" s="59"/>
      <c r="V10" s="54"/>
      <c r="W10" s="55"/>
      <c r="X10" s="60"/>
      <c r="Y10" s="61"/>
      <c r="Z10" s="16"/>
      <c r="AA10" s="16"/>
      <c r="AB10" s="16"/>
      <c r="AC10" s="16"/>
      <c r="AD10" s="16"/>
      <c r="AE10" s="16"/>
      <c r="AF10" s="16"/>
      <c r="AG10" s="16"/>
      <c r="AH10" s="16"/>
    </row>
    <row r="11" ht="15.75" customHeight="1">
      <c r="A11" s="51"/>
      <c r="B11" s="62" t="s">
        <v>23</v>
      </c>
      <c r="C11" s="53"/>
      <c r="D11" s="63"/>
      <c r="E11" s="58"/>
      <c r="F11" s="54"/>
      <c r="G11" s="58"/>
      <c r="H11" s="63"/>
      <c r="I11" s="58"/>
      <c r="J11" s="63"/>
      <c r="K11" s="58"/>
      <c r="L11" s="64"/>
      <c r="M11" s="64"/>
      <c r="N11" s="64"/>
      <c r="O11" s="64"/>
      <c r="P11" s="54"/>
      <c r="Q11" s="58"/>
      <c r="R11" s="54"/>
      <c r="S11" s="65"/>
      <c r="T11" s="54"/>
      <c r="U11" s="65"/>
      <c r="V11" s="64"/>
      <c r="W11" s="66"/>
      <c r="X11" s="60"/>
      <c r="Y11" s="61"/>
      <c r="Z11" s="16"/>
      <c r="AA11" s="16"/>
      <c r="AB11" s="16"/>
      <c r="AC11" s="16"/>
      <c r="AD11" s="16"/>
      <c r="AE11" s="16"/>
      <c r="AF11" s="16"/>
      <c r="AG11" s="16"/>
      <c r="AH11" s="16"/>
    </row>
    <row r="12" ht="15.75" customHeight="1">
      <c r="A12" s="51"/>
      <c r="B12" s="62" t="s">
        <v>24</v>
      </c>
      <c r="C12" s="53"/>
      <c r="D12" s="67"/>
      <c r="E12" s="58"/>
      <c r="F12" s="67"/>
      <c r="G12" s="58"/>
      <c r="H12" s="63"/>
      <c r="I12" s="58"/>
      <c r="J12" s="63"/>
      <c r="K12" s="58"/>
      <c r="L12" s="68"/>
      <c r="M12" s="69"/>
      <c r="N12" s="54"/>
      <c r="O12" s="54"/>
      <c r="P12" s="54"/>
      <c r="Q12" s="54"/>
      <c r="R12" s="54"/>
      <c r="S12" s="65"/>
      <c r="T12" s="54"/>
      <c r="U12" s="65"/>
      <c r="V12" s="64"/>
      <c r="W12" s="66"/>
      <c r="X12" s="70"/>
      <c r="Y12" s="61"/>
      <c r="Z12" s="71"/>
      <c r="AA12" s="72"/>
      <c r="AB12" s="72"/>
      <c r="AC12" s="73"/>
      <c r="AD12" s="73"/>
      <c r="AE12" s="73"/>
      <c r="AF12" s="73"/>
      <c r="AG12" s="73"/>
      <c r="AH12" s="73"/>
    </row>
    <row r="13" ht="15.75" customHeight="1">
      <c r="A13" s="51"/>
      <c r="B13" s="62" t="s">
        <v>25</v>
      </c>
      <c r="C13" s="53"/>
      <c r="D13" s="63"/>
      <c r="E13" s="58"/>
      <c r="F13" s="63"/>
      <c r="G13" s="58"/>
      <c r="H13" s="63"/>
      <c r="I13" s="58"/>
      <c r="J13" s="63"/>
      <c r="K13" s="58"/>
      <c r="L13" s="74"/>
      <c r="M13" s="69"/>
      <c r="N13" s="54"/>
      <c r="O13" s="54"/>
      <c r="P13" s="54"/>
      <c r="Q13" s="54"/>
      <c r="R13" s="54"/>
      <c r="S13" s="65"/>
      <c r="T13" s="54"/>
      <c r="U13" s="65"/>
      <c r="V13" s="64"/>
      <c r="W13" s="66"/>
      <c r="X13" s="75"/>
      <c r="Y13" s="61"/>
      <c r="Z13" s="71"/>
      <c r="AA13" s="72"/>
      <c r="AB13" s="72"/>
      <c r="AC13" s="73"/>
      <c r="AD13" s="73"/>
      <c r="AE13" s="73"/>
      <c r="AF13" s="73"/>
      <c r="AG13" s="73"/>
      <c r="AH13" s="73"/>
    </row>
    <row r="14" ht="13.5" customHeight="1">
      <c r="A14" s="43">
        <v>2.0</v>
      </c>
      <c r="B14" s="44" t="s">
        <v>26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6"/>
      <c r="Z14" s="71"/>
      <c r="AA14" s="72"/>
      <c r="AB14" s="72"/>
      <c r="AC14" s="73"/>
      <c r="AD14" s="73"/>
      <c r="AE14" s="73"/>
      <c r="AF14" s="73"/>
      <c r="AG14" s="73"/>
      <c r="AH14" s="73"/>
    </row>
    <row r="15" ht="13.5" customHeight="1">
      <c r="A15" s="47"/>
      <c r="B15" s="48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50"/>
      <c r="Z15" s="71"/>
      <c r="AA15" s="72"/>
      <c r="AB15" s="72"/>
      <c r="AC15" s="73"/>
      <c r="AD15" s="73"/>
      <c r="AE15" s="73"/>
      <c r="AF15" s="73"/>
      <c r="AG15" s="73"/>
      <c r="AH15" s="73"/>
    </row>
    <row r="16" ht="15.75" customHeight="1">
      <c r="A16" s="51"/>
      <c r="B16" s="52" t="s">
        <v>27</v>
      </c>
      <c r="C16" s="53"/>
      <c r="D16" s="54"/>
      <c r="E16" s="55"/>
      <c r="F16" s="54"/>
      <c r="G16" s="55"/>
      <c r="H16" s="54"/>
      <c r="I16" s="56"/>
      <c r="J16" s="76"/>
      <c r="K16" s="55"/>
      <c r="L16" s="76"/>
      <c r="M16" s="55"/>
      <c r="N16" s="76"/>
      <c r="O16" s="55"/>
      <c r="P16" s="76"/>
      <c r="Q16" s="55"/>
      <c r="R16" s="76"/>
      <c r="S16" s="55"/>
      <c r="T16" s="76"/>
      <c r="U16" s="55"/>
      <c r="V16" s="54"/>
      <c r="W16" s="55"/>
      <c r="X16" s="77"/>
      <c r="Y16" s="61"/>
      <c r="Z16" s="71"/>
      <c r="AA16" s="72"/>
      <c r="AB16" s="72"/>
      <c r="AC16" s="73"/>
      <c r="AD16" s="73"/>
      <c r="AE16" s="73"/>
      <c r="AF16" s="73"/>
      <c r="AG16" s="73"/>
      <c r="AH16" s="73"/>
    </row>
    <row r="17" ht="15.75" customHeight="1">
      <c r="A17" s="51"/>
      <c r="B17" s="62" t="s">
        <v>28</v>
      </c>
      <c r="C17" s="53"/>
      <c r="D17" s="63"/>
      <c r="E17" s="58"/>
      <c r="F17" s="63"/>
      <c r="G17" s="58"/>
      <c r="H17" s="63"/>
      <c r="I17" s="58"/>
      <c r="J17" s="78"/>
      <c r="K17" s="66"/>
      <c r="L17" s="76"/>
      <c r="M17" s="55"/>
      <c r="N17" s="76"/>
      <c r="O17" s="55"/>
      <c r="P17" s="76"/>
      <c r="Q17" s="55"/>
      <c r="R17" s="76"/>
      <c r="S17" s="55"/>
      <c r="T17" s="76"/>
      <c r="U17" s="55"/>
      <c r="V17" s="54"/>
      <c r="W17" s="55"/>
      <c r="X17" s="77"/>
      <c r="Y17" s="61"/>
      <c r="Z17" s="71"/>
      <c r="AA17" s="72"/>
      <c r="AB17" s="72"/>
      <c r="AC17" s="73"/>
      <c r="AD17" s="73"/>
      <c r="AE17" s="73"/>
      <c r="AF17" s="73"/>
      <c r="AG17" s="73"/>
      <c r="AH17" s="73"/>
    </row>
    <row r="18" ht="15.0" customHeight="1">
      <c r="A18" s="79"/>
      <c r="B18" s="62" t="s">
        <v>29</v>
      </c>
      <c r="C18" s="53"/>
      <c r="D18" s="54"/>
      <c r="E18" s="55"/>
      <c r="F18" s="54"/>
      <c r="G18" s="55"/>
      <c r="H18" s="54"/>
      <c r="I18" s="55"/>
      <c r="J18" s="76"/>
      <c r="K18" s="55"/>
      <c r="L18" s="76"/>
      <c r="M18" s="55"/>
      <c r="N18" s="76"/>
      <c r="O18" s="55"/>
      <c r="P18" s="76"/>
      <c r="Q18" s="55"/>
      <c r="R18" s="76"/>
      <c r="S18" s="55"/>
      <c r="T18" s="76"/>
      <c r="U18" s="55"/>
      <c r="V18" s="54"/>
      <c r="W18" s="55"/>
      <c r="X18" s="77"/>
      <c r="Y18" s="61"/>
      <c r="Z18" s="71"/>
      <c r="AA18" s="72"/>
      <c r="AB18" s="72"/>
      <c r="AC18" s="73"/>
      <c r="AD18" s="73"/>
      <c r="AE18" s="73"/>
      <c r="AF18" s="73"/>
      <c r="AG18" s="73"/>
      <c r="AH18" s="73"/>
    </row>
    <row r="19" ht="13.5" customHeight="1">
      <c r="A19" s="43">
        <v>3.0</v>
      </c>
      <c r="B19" s="44" t="s">
        <v>30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6"/>
      <c r="Z19" s="71"/>
      <c r="AA19" s="72"/>
      <c r="AB19" s="72"/>
      <c r="AC19" s="73"/>
      <c r="AD19" s="73"/>
      <c r="AE19" s="73"/>
      <c r="AF19" s="73"/>
      <c r="AG19" s="73"/>
      <c r="AH19" s="73"/>
    </row>
    <row r="20" ht="13.5" customHeight="1">
      <c r="A20" s="47"/>
      <c r="B20" s="48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50"/>
      <c r="Z20" s="71"/>
      <c r="AA20" s="72"/>
      <c r="AB20" s="72"/>
      <c r="AC20" s="73"/>
      <c r="AD20" s="73"/>
      <c r="AE20" s="73"/>
      <c r="AF20" s="73"/>
      <c r="AG20" s="73"/>
      <c r="AH20" s="73"/>
    </row>
    <row r="21" ht="15.75" customHeight="1">
      <c r="A21" s="51"/>
      <c r="B21" s="52" t="s">
        <v>31</v>
      </c>
      <c r="C21" s="53"/>
      <c r="D21" s="54"/>
      <c r="E21" s="55"/>
      <c r="F21" s="54"/>
      <c r="G21" s="55"/>
      <c r="H21" s="54"/>
      <c r="I21" s="56"/>
      <c r="J21" s="76"/>
      <c r="K21" s="55"/>
      <c r="L21" s="76"/>
      <c r="M21" s="55"/>
      <c r="N21" s="76"/>
      <c r="O21" s="55"/>
      <c r="P21" s="76"/>
      <c r="Q21" s="55"/>
      <c r="R21" s="76"/>
      <c r="S21" s="55"/>
      <c r="T21" s="76"/>
      <c r="U21" s="55"/>
      <c r="V21" s="54"/>
      <c r="W21" s="55"/>
      <c r="X21" s="77"/>
      <c r="Y21" s="61"/>
      <c r="Z21" s="71"/>
      <c r="AA21" s="72"/>
      <c r="AB21" s="72"/>
      <c r="AC21" s="73"/>
      <c r="AD21" s="73"/>
      <c r="AE21" s="73"/>
      <c r="AF21" s="73"/>
      <c r="AG21" s="73"/>
      <c r="AH21" s="73"/>
    </row>
    <row r="22" ht="15.75" customHeight="1">
      <c r="A22" s="51"/>
      <c r="B22" s="62" t="s">
        <v>32</v>
      </c>
      <c r="C22" s="53"/>
      <c r="D22" s="80"/>
      <c r="E22" s="58"/>
      <c r="F22" s="63"/>
      <c r="G22" s="58"/>
      <c r="H22" s="63"/>
      <c r="I22" s="58"/>
      <c r="J22" s="76"/>
      <c r="K22" s="55"/>
      <c r="L22" s="76"/>
      <c r="M22" s="55"/>
      <c r="N22" s="76"/>
      <c r="O22" s="55"/>
      <c r="P22" s="76"/>
      <c r="Q22" s="55"/>
      <c r="R22" s="76"/>
      <c r="S22" s="55"/>
      <c r="T22" s="76"/>
      <c r="U22" s="55"/>
      <c r="V22" s="54"/>
      <c r="W22" s="55"/>
      <c r="X22" s="77"/>
      <c r="Y22" s="61"/>
      <c r="Z22" s="71"/>
      <c r="AA22" s="72"/>
      <c r="AB22" s="72"/>
      <c r="AC22" s="73"/>
      <c r="AD22" s="73"/>
      <c r="AE22" s="73"/>
      <c r="AF22" s="73"/>
      <c r="AG22" s="73"/>
      <c r="AH22" s="73"/>
    </row>
    <row r="23" ht="16.5" customHeight="1">
      <c r="A23" s="79"/>
      <c r="B23" s="62" t="s">
        <v>33</v>
      </c>
      <c r="C23" s="53"/>
      <c r="D23" s="54"/>
      <c r="E23" s="55"/>
      <c r="F23" s="54"/>
      <c r="G23" s="55"/>
      <c r="H23" s="54"/>
      <c r="I23" s="55"/>
      <c r="J23" s="76"/>
      <c r="K23" s="55"/>
      <c r="L23" s="76"/>
      <c r="M23" s="55"/>
      <c r="N23" s="76"/>
      <c r="O23" s="55"/>
      <c r="P23" s="76"/>
      <c r="Q23" s="55"/>
      <c r="R23" s="76"/>
      <c r="S23" s="55"/>
      <c r="T23" s="76"/>
      <c r="U23" s="55"/>
      <c r="V23" s="54"/>
      <c r="W23" s="55"/>
      <c r="X23" s="77"/>
      <c r="Y23" s="61"/>
      <c r="Z23" s="71"/>
      <c r="AA23" s="72"/>
      <c r="AB23" s="72"/>
      <c r="AC23" s="73"/>
      <c r="AD23" s="73"/>
      <c r="AE23" s="73"/>
      <c r="AF23" s="73"/>
      <c r="AG23" s="73"/>
      <c r="AH23" s="73"/>
    </row>
    <row r="24" ht="13.5" customHeight="1">
      <c r="A24" s="43">
        <v>4.0</v>
      </c>
      <c r="B24" s="44" t="s">
        <v>34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6"/>
      <c r="Z24" s="71"/>
      <c r="AA24" s="72"/>
      <c r="AB24" s="72"/>
      <c r="AC24" s="73"/>
      <c r="AD24" s="73"/>
      <c r="AE24" s="73"/>
      <c r="AF24" s="73"/>
      <c r="AG24" s="73"/>
      <c r="AH24" s="73"/>
    </row>
    <row r="25" ht="13.5" customHeight="1">
      <c r="A25" s="47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50"/>
      <c r="Z25" s="71"/>
      <c r="AA25" s="72"/>
      <c r="AB25" s="72"/>
      <c r="AC25" s="73"/>
      <c r="AD25" s="73"/>
      <c r="AE25" s="73"/>
      <c r="AF25" s="73"/>
      <c r="AG25" s="73"/>
      <c r="AH25" s="73"/>
    </row>
    <row r="26" ht="15.75" customHeight="1">
      <c r="A26" s="51"/>
      <c r="B26" s="52" t="s">
        <v>35</v>
      </c>
      <c r="C26" s="53"/>
      <c r="D26" s="54"/>
      <c r="E26" s="55"/>
      <c r="F26" s="54"/>
      <c r="G26" s="55"/>
      <c r="H26" s="54"/>
      <c r="I26" s="55"/>
      <c r="J26" s="54"/>
      <c r="K26" s="55"/>
      <c r="L26" s="76"/>
      <c r="M26" s="55"/>
      <c r="N26" s="76"/>
      <c r="O26" s="55"/>
      <c r="P26" s="76"/>
      <c r="Q26" s="55"/>
      <c r="R26" s="76"/>
      <c r="S26" s="55"/>
      <c r="T26" s="76"/>
      <c r="U26" s="55"/>
      <c r="V26" s="54"/>
      <c r="W26" s="55"/>
      <c r="X26" s="77"/>
      <c r="Y26" s="61"/>
      <c r="Z26" s="71"/>
      <c r="AA26" s="72"/>
      <c r="AB26" s="72"/>
      <c r="AC26" s="73"/>
      <c r="AD26" s="73"/>
      <c r="AE26" s="73"/>
      <c r="AF26" s="73"/>
      <c r="AG26" s="73"/>
      <c r="AH26" s="73"/>
    </row>
    <row r="27" ht="15.75" customHeight="1">
      <c r="A27" s="51"/>
      <c r="B27" s="62" t="s">
        <v>36</v>
      </c>
      <c r="C27" s="53"/>
      <c r="D27" s="54"/>
      <c r="E27" s="55"/>
      <c r="F27" s="81"/>
      <c r="G27" s="58"/>
      <c r="H27" s="81"/>
      <c r="I27" s="58"/>
      <c r="J27" s="81"/>
      <c r="K27" s="58"/>
      <c r="L27" s="76"/>
      <c r="M27" s="55"/>
      <c r="N27" s="76"/>
      <c r="O27" s="55"/>
      <c r="P27" s="76"/>
      <c r="Q27" s="55"/>
      <c r="R27" s="76"/>
      <c r="S27" s="55"/>
      <c r="T27" s="76"/>
      <c r="U27" s="55"/>
      <c r="V27" s="54"/>
      <c r="W27" s="55"/>
      <c r="X27" s="77"/>
      <c r="Y27" s="61"/>
      <c r="Z27" s="71"/>
      <c r="AA27" s="72"/>
      <c r="AB27" s="72"/>
      <c r="AC27" s="73"/>
      <c r="AD27" s="73"/>
      <c r="AE27" s="73"/>
      <c r="AF27" s="73"/>
      <c r="AG27" s="73"/>
      <c r="AH27" s="73"/>
    </row>
    <row r="28" ht="14.25" customHeight="1">
      <c r="A28" s="79"/>
      <c r="B28" s="62" t="s">
        <v>37</v>
      </c>
      <c r="C28" s="53"/>
      <c r="D28" s="82"/>
      <c r="E28" s="55"/>
      <c r="F28" s="82"/>
      <c r="G28" s="55"/>
      <c r="H28" s="82"/>
      <c r="I28" s="58"/>
      <c r="J28" s="82"/>
      <c r="K28" s="55"/>
      <c r="L28" s="76"/>
      <c r="M28" s="55"/>
      <c r="N28" s="76"/>
      <c r="O28" s="55"/>
      <c r="P28" s="76"/>
      <c r="Q28" s="55"/>
      <c r="R28" s="76"/>
      <c r="S28" s="55"/>
      <c r="T28" s="76"/>
      <c r="U28" s="55"/>
      <c r="V28" s="54"/>
      <c r="W28" s="55"/>
      <c r="X28" s="77"/>
      <c r="Y28" s="61"/>
      <c r="Z28" s="71"/>
      <c r="AA28" s="72"/>
      <c r="AB28" s="72"/>
      <c r="AC28" s="73"/>
      <c r="AD28" s="73"/>
      <c r="AE28" s="73"/>
      <c r="AF28" s="73"/>
      <c r="AG28" s="73"/>
      <c r="AH28" s="73"/>
    </row>
    <row r="29" ht="13.5" customHeight="1">
      <c r="A29" s="43">
        <v>5.0</v>
      </c>
      <c r="B29" s="44" t="s">
        <v>38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6"/>
      <c r="Z29" s="71"/>
      <c r="AA29" s="72"/>
      <c r="AB29" s="72"/>
      <c r="AC29" s="73"/>
      <c r="AD29" s="73"/>
      <c r="AE29" s="73"/>
      <c r="AF29" s="73"/>
      <c r="AG29" s="73"/>
      <c r="AH29" s="73"/>
    </row>
    <row r="30" ht="13.5" customHeight="1">
      <c r="A30" s="47"/>
      <c r="B30" s="48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50"/>
      <c r="Z30" s="71"/>
      <c r="AA30" s="72"/>
      <c r="AB30" s="72"/>
      <c r="AC30" s="73"/>
      <c r="AD30" s="73"/>
      <c r="AE30" s="73"/>
      <c r="AF30" s="73"/>
      <c r="AG30" s="73"/>
      <c r="AH30" s="73"/>
    </row>
    <row r="31" ht="18.0" customHeight="1">
      <c r="A31" s="51"/>
      <c r="B31" s="52" t="s">
        <v>39</v>
      </c>
      <c r="C31" s="53"/>
      <c r="D31" s="54"/>
      <c r="E31" s="55"/>
      <c r="F31" s="54"/>
      <c r="G31" s="55"/>
      <c r="H31" s="54"/>
      <c r="I31" s="55"/>
      <c r="J31" s="76"/>
      <c r="K31" s="55"/>
      <c r="L31" s="76"/>
      <c r="M31" s="55"/>
      <c r="N31" s="76"/>
      <c r="O31" s="55"/>
      <c r="P31" s="76"/>
      <c r="Q31" s="55"/>
      <c r="R31" s="76"/>
      <c r="S31" s="55"/>
      <c r="T31" s="76"/>
      <c r="U31" s="55"/>
      <c r="V31" s="54"/>
      <c r="W31" s="55"/>
      <c r="X31" s="77"/>
      <c r="Y31" s="61"/>
      <c r="Z31" s="71"/>
      <c r="AA31" s="72"/>
      <c r="AB31" s="72"/>
      <c r="AC31" s="73"/>
      <c r="AD31" s="73"/>
      <c r="AE31" s="73"/>
      <c r="AF31" s="73"/>
      <c r="AG31" s="73"/>
      <c r="AH31" s="73"/>
    </row>
    <row r="32" ht="17.25" customHeight="1">
      <c r="A32" s="51"/>
      <c r="B32" s="62" t="s">
        <v>40</v>
      </c>
      <c r="C32" s="53"/>
      <c r="D32" s="54"/>
      <c r="E32" s="58"/>
      <c r="F32" s="81"/>
      <c r="G32" s="58"/>
      <c r="H32" s="81"/>
      <c r="I32" s="58"/>
      <c r="J32" s="64"/>
      <c r="K32" s="66"/>
      <c r="L32" s="76"/>
      <c r="M32" s="55"/>
      <c r="N32" s="76"/>
      <c r="O32" s="55"/>
      <c r="P32" s="76"/>
      <c r="Q32" s="55"/>
      <c r="R32" s="76"/>
      <c r="S32" s="55"/>
      <c r="T32" s="76"/>
      <c r="U32" s="55"/>
      <c r="V32" s="54"/>
      <c r="W32" s="55"/>
      <c r="X32" s="77"/>
      <c r="Y32" s="61"/>
      <c r="Z32" s="71"/>
      <c r="AA32" s="72"/>
      <c r="AB32" s="72"/>
      <c r="AC32" s="73"/>
      <c r="AD32" s="73"/>
      <c r="AE32" s="73"/>
      <c r="AF32" s="73"/>
      <c r="AG32" s="73"/>
      <c r="AH32" s="73"/>
    </row>
    <row r="33" ht="16.5" customHeight="1">
      <c r="A33" s="79"/>
      <c r="B33" s="62" t="s">
        <v>41</v>
      </c>
      <c r="C33" s="53"/>
      <c r="D33" s="82"/>
      <c r="E33" s="55"/>
      <c r="F33" s="82"/>
      <c r="G33" s="55"/>
      <c r="H33" s="82"/>
      <c r="I33" s="55"/>
      <c r="J33" s="76"/>
      <c r="K33" s="55"/>
      <c r="L33" s="76"/>
      <c r="M33" s="55"/>
      <c r="N33" s="76"/>
      <c r="O33" s="55"/>
      <c r="P33" s="76"/>
      <c r="Q33" s="55"/>
      <c r="R33" s="76"/>
      <c r="S33" s="55"/>
      <c r="T33" s="76"/>
      <c r="U33" s="55"/>
      <c r="V33" s="54"/>
      <c r="W33" s="55"/>
      <c r="X33" s="77"/>
      <c r="Y33" s="61"/>
      <c r="Z33" s="71"/>
      <c r="AA33" s="72"/>
      <c r="AB33" s="72"/>
      <c r="AC33" s="73"/>
      <c r="AD33" s="73"/>
      <c r="AE33" s="73"/>
      <c r="AF33" s="73"/>
      <c r="AG33" s="73"/>
      <c r="AH33" s="73"/>
    </row>
    <row r="34" ht="13.5" customHeight="1">
      <c r="A34" s="43">
        <v>6.0</v>
      </c>
      <c r="B34" s="44" t="s">
        <v>42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6"/>
      <c r="Z34" s="71"/>
      <c r="AA34" s="72"/>
      <c r="AB34" s="72"/>
      <c r="AC34" s="73"/>
      <c r="AD34" s="73"/>
      <c r="AE34" s="73"/>
      <c r="AF34" s="73"/>
      <c r="AG34" s="73"/>
      <c r="AH34" s="73"/>
    </row>
    <row r="35" ht="13.5" customHeight="1">
      <c r="A35" s="47"/>
      <c r="B35" s="48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50"/>
      <c r="Z35" s="71"/>
      <c r="AA35" s="72"/>
      <c r="AB35" s="72"/>
      <c r="AC35" s="73"/>
      <c r="AD35" s="73"/>
      <c r="AE35" s="73"/>
      <c r="AF35" s="73"/>
      <c r="AG35" s="73"/>
      <c r="AH35" s="73"/>
    </row>
    <row r="36" ht="17.25" customHeight="1">
      <c r="A36" s="51"/>
      <c r="B36" s="52" t="s">
        <v>43</v>
      </c>
      <c r="C36" s="53"/>
      <c r="D36" s="54"/>
      <c r="E36" s="55"/>
      <c r="F36" s="54"/>
      <c r="G36" s="55"/>
      <c r="H36" s="76"/>
      <c r="I36" s="56"/>
      <c r="J36" s="76"/>
      <c r="K36" s="55"/>
      <c r="L36" s="76"/>
      <c r="M36" s="55"/>
      <c r="N36" s="76"/>
      <c r="O36" s="55"/>
      <c r="P36" s="76"/>
      <c r="Q36" s="55"/>
      <c r="R36" s="76"/>
      <c r="S36" s="55"/>
      <c r="T36" s="76"/>
      <c r="U36" s="55"/>
      <c r="V36" s="54"/>
      <c r="W36" s="55"/>
      <c r="X36" s="77"/>
      <c r="Y36" s="61"/>
      <c r="Z36" s="71"/>
      <c r="AA36" s="72"/>
      <c r="AB36" s="72"/>
      <c r="AC36" s="73"/>
      <c r="AD36" s="73"/>
      <c r="AE36" s="73"/>
      <c r="AF36" s="73"/>
      <c r="AG36" s="73"/>
      <c r="AH36" s="73"/>
    </row>
    <row r="37" ht="15.75" customHeight="1">
      <c r="A37" s="51"/>
      <c r="B37" s="62" t="s">
        <v>44</v>
      </c>
      <c r="C37" s="53"/>
      <c r="D37" s="63"/>
      <c r="E37" s="58"/>
      <c r="F37" s="78"/>
      <c r="G37" s="66"/>
      <c r="H37" s="64"/>
      <c r="I37" s="66"/>
      <c r="J37" s="64"/>
      <c r="K37" s="66"/>
      <c r="L37" s="76"/>
      <c r="M37" s="55"/>
      <c r="N37" s="76"/>
      <c r="O37" s="55"/>
      <c r="P37" s="76"/>
      <c r="Q37" s="55"/>
      <c r="R37" s="76"/>
      <c r="S37" s="55"/>
      <c r="T37" s="76"/>
      <c r="U37" s="55"/>
      <c r="V37" s="54"/>
      <c r="W37" s="55"/>
      <c r="X37" s="77"/>
      <c r="Y37" s="61"/>
      <c r="Z37" s="71"/>
      <c r="AA37" s="72"/>
      <c r="AB37" s="72"/>
      <c r="AC37" s="73"/>
      <c r="AD37" s="73"/>
      <c r="AE37" s="73"/>
      <c r="AF37" s="73"/>
      <c r="AG37" s="73"/>
      <c r="AH37" s="73"/>
    </row>
    <row r="38" ht="18.0" customHeight="1">
      <c r="A38" s="79"/>
      <c r="B38" s="62" t="s">
        <v>45</v>
      </c>
      <c r="C38" s="53"/>
      <c r="D38" s="54"/>
      <c r="E38" s="58"/>
      <c r="F38" s="76"/>
      <c r="G38" s="55"/>
      <c r="H38" s="76"/>
      <c r="I38" s="55"/>
      <c r="J38" s="76"/>
      <c r="K38" s="55"/>
      <c r="L38" s="76"/>
      <c r="M38" s="55"/>
      <c r="N38" s="76"/>
      <c r="O38" s="55"/>
      <c r="P38" s="76"/>
      <c r="Q38" s="55"/>
      <c r="R38" s="76"/>
      <c r="S38" s="55"/>
      <c r="T38" s="76"/>
      <c r="U38" s="55"/>
      <c r="V38" s="54"/>
      <c r="W38" s="55"/>
      <c r="X38" s="77"/>
      <c r="Y38" s="61"/>
      <c r="Z38" s="71"/>
      <c r="AA38" s="72"/>
      <c r="AB38" s="72"/>
      <c r="AC38" s="73"/>
      <c r="AD38" s="73"/>
      <c r="AE38" s="73"/>
      <c r="AF38" s="73"/>
      <c r="AG38" s="73"/>
      <c r="AH38" s="73"/>
    </row>
    <row r="39" ht="13.5" customHeight="1">
      <c r="A39" s="43">
        <v>7.0</v>
      </c>
      <c r="B39" s="44" t="s">
        <v>46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6"/>
      <c r="Z39" s="71"/>
      <c r="AA39" s="72"/>
      <c r="AB39" s="72"/>
      <c r="AC39" s="73"/>
      <c r="AD39" s="73"/>
      <c r="AE39" s="73"/>
      <c r="AF39" s="73"/>
      <c r="AG39" s="73"/>
      <c r="AH39" s="73"/>
    </row>
    <row r="40" ht="13.5" customHeight="1">
      <c r="A40" s="47"/>
      <c r="B40" s="48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50"/>
      <c r="Z40" s="71"/>
      <c r="AA40" s="72"/>
      <c r="AB40" s="72"/>
      <c r="AC40" s="73"/>
      <c r="AD40" s="73"/>
      <c r="AE40" s="73"/>
      <c r="AF40" s="73"/>
      <c r="AG40" s="73"/>
      <c r="AH40" s="73"/>
    </row>
    <row r="41" ht="15.75" customHeight="1">
      <c r="A41" s="51"/>
      <c r="B41" s="52" t="s">
        <v>47</v>
      </c>
      <c r="C41" s="53"/>
      <c r="D41" s="54"/>
      <c r="E41" s="55"/>
      <c r="F41" s="54"/>
      <c r="G41" s="55"/>
      <c r="H41" s="76"/>
      <c r="I41" s="56"/>
      <c r="J41" s="76"/>
      <c r="K41" s="55"/>
      <c r="L41" s="76"/>
      <c r="M41" s="55"/>
      <c r="N41" s="76"/>
      <c r="O41" s="55"/>
      <c r="P41" s="76"/>
      <c r="Q41" s="55"/>
      <c r="R41" s="76"/>
      <c r="S41" s="55"/>
      <c r="T41" s="76"/>
      <c r="U41" s="55"/>
      <c r="V41" s="54"/>
      <c r="W41" s="55"/>
      <c r="X41" s="77"/>
      <c r="Y41" s="61"/>
      <c r="Z41" s="71"/>
      <c r="AA41" s="72"/>
      <c r="AB41" s="72"/>
      <c r="AC41" s="73"/>
      <c r="AD41" s="73"/>
      <c r="AE41" s="73"/>
      <c r="AF41" s="73"/>
      <c r="AG41" s="73"/>
      <c r="AH41" s="73"/>
    </row>
    <row r="42" ht="15.0" customHeight="1">
      <c r="A42" s="51"/>
      <c r="B42" s="62" t="s">
        <v>48</v>
      </c>
      <c r="C42" s="53"/>
      <c r="D42" s="63"/>
      <c r="E42" s="58"/>
      <c r="F42" s="63"/>
      <c r="G42" s="58"/>
      <c r="H42" s="64"/>
      <c r="I42" s="66"/>
      <c r="J42" s="64"/>
      <c r="K42" s="66"/>
      <c r="L42" s="76"/>
      <c r="M42" s="55"/>
      <c r="N42" s="76"/>
      <c r="O42" s="55"/>
      <c r="P42" s="76"/>
      <c r="Q42" s="55"/>
      <c r="R42" s="76"/>
      <c r="S42" s="55"/>
      <c r="T42" s="76"/>
      <c r="U42" s="55"/>
      <c r="V42" s="54"/>
      <c r="W42" s="55"/>
      <c r="X42" s="77"/>
      <c r="Y42" s="61"/>
      <c r="Z42" s="71"/>
      <c r="AA42" s="72"/>
      <c r="AB42" s="72"/>
      <c r="AC42" s="73"/>
      <c r="AD42" s="73"/>
      <c r="AE42" s="73"/>
      <c r="AF42" s="73"/>
      <c r="AG42" s="73"/>
      <c r="AH42" s="73"/>
    </row>
    <row r="43" ht="15.0" customHeight="1">
      <c r="A43" s="79"/>
      <c r="B43" s="62" t="s">
        <v>49</v>
      </c>
      <c r="C43" s="53"/>
      <c r="D43" s="54"/>
      <c r="E43" s="55"/>
      <c r="F43" s="54"/>
      <c r="G43" s="55"/>
      <c r="H43" s="76"/>
      <c r="I43" s="55"/>
      <c r="J43" s="76"/>
      <c r="K43" s="55"/>
      <c r="L43" s="76"/>
      <c r="M43" s="55"/>
      <c r="N43" s="76"/>
      <c r="O43" s="55"/>
      <c r="P43" s="76"/>
      <c r="Q43" s="55"/>
      <c r="R43" s="76"/>
      <c r="S43" s="55"/>
      <c r="T43" s="76"/>
      <c r="U43" s="55"/>
      <c r="V43" s="54"/>
      <c r="W43" s="55"/>
      <c r="X43" s="77"/>
      <c r="Y43" s="61"/>
      <c r="Z43" s="71"/>
      <c r="AA43" s="72"/>
      <c r="AB43" s="72"/>
      <c r="AC43" s="73"/>
      <c r="AD43" s="73"/>
      <c r="AE43" s="73"/>
      <c r="AF43" s="73"/>
      <c r="AG43" s="73"/>
      <c r="AH43" s="73"/>
    </row>
    <row r="44" ht="13.5" customHeight="1">
      <c r="A44" s="43">
        <v>8.0</v>
      </c>
      <c r="B44" s="44" t="s">
        <v>50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6"/>
      <c r="Z44" s="71"/>
      <c r="AA44" s="72"/>
      <c r="AB44" s="72"/>
      <c r="AC44" s="73"/>
      <c r="AD44" s="73"/>
      <c r="AE44" s="73"/>
      <c r="AF44" s="73"/>
      <c r="AG44" s="73"/>
      <c r="AH44" s="73"/>
    </row>
    <row r="45" ht="13.5" customHeight="1">
      <c r="A45" s="47"/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50"/>
      <c r="Z45" s="71"/>
      <c r="AA45" s="72"/>
      <c r="AB45" s="72"/>
      <c r="AC45" s="73"/>
      <c r="AD45" s="73"/>
      <c r="AE45" s="73"/>
      <c r="AF45" s="73"/>
      <c r="AG45" s="73"/>
      <c r="AH45" s="73"/>
    </row>
    <row r="46" ht="15.75" customHeight="1">
      <c r="A46" s="51"/>
      <c r="B46" s="52" t="s">
        <v>51</v>
      </c>
      <c r="C46" s="53"/>
      <c r="D46" s="54"/>
      <c r="E46" s="55"/>
      <c r="F46" s="54"/>
      <c r="G46" s="55"/>
      <c r="H46" s="76"/>
      <c r="I46" s="56"/>
      <c r="J46" s="76"/>
      <c r="K46" s="55"/>
      <c r="L46" s="76"/>
      <c r="M46" s="55"/>
      <c r="N46" s="76"/>
      <c r="O46" s="55"/>
      <c r="P46" s="76"/>
      <c r="Q46" s="55"/>
      <c r="R46" s="76"/>
      <c r="S46" s="55"/>
      <c r="T46" s="76"/>
      <c r="U46" s="55"/>
      <c r="V46" s="54"/>
      <c r="W46" s="55"/>
      <c r="X46" s="77"/>
      <c r="Y46" s="61"/>
      <c r="Z46" s="71"/>
      <c r="AA46" s="72"/>
      <c r="AB46" s="72"/>
      <c r="AC46" s="73"/>
      <c r="AD46" s="73"/>
      <c r="AE46" s="73"/>
      <c r="AF46" s="73"/>
      <c r="AG46" s="73"/>
      <c r="AH46" s="73"/>
    </row>
    <row r="47" ht="15.75" customHeight="1">
      <c r="A47" s="51"/>
      <c r="B47" s="62" t="s">
        <v>52</v>
      </c>
      <c r="C47" s="53"/>
      <c r="D47" s="63"/>
      <c r="E47" s="58"/>
      <c r="F47" s="63"/>
      <c r="G47" s="58"/>
      <c r="H47" s="64"/>
      <c r="I47" s="66"/>
      <c r="J47" s="64"/>
      <c r="K47" s="66"/>
      <c r="L47" s="76"/>
      <c r="M47" s="55"/>
      <c r="N47" s="76"/>
      <c r="O47" s="55"/>
      <c r="P47" s="76"/>
      <c r="Q47" s="55"/>
      <c r="R47" s="76"/>
      <c r="S47" s="55"/>
      <c r="T47" s="76"/>
      <c r="U47" s="55"/>
      <c r="V47" s="54"/>
      <c r="W47" s="55"/>
      <c r="X47" s="77"/>
      <c r="Y47" s="61"/>
      <c r="Z47" s="71"/>
      <c r="AA47" s="72"/>
      <c r="AB47" s="72"/>
      <c r="AC47" s="73"/>
      <c r="AD47" s="73"/>
      <c r="AE47" s="73"/>
      <c r="AF47" s="73"/>
      <c r="AG47" s="73"/>
      <c r="AH47" s="73"/>
    </row>
    <row r="48" ht="15.75" customHeight="1">
      <c r="A48" s="79"/>
      <c r="B48" s="62" t="s">
        <v>53</v>
      </c>
      <c r="C48" s="53"/>
      <c r="D48" s="54"/>
      <c r="E48" s="55"/>
      <c r="F48" s="54"/>
      <c r="G48" s="55"/>
      <c r="H48" s="76"/>
      <c r="I48" s="55"/>
      <c r="J48" s="76"/>
      <c r="K48" s="55"/>
      <c r="L48" s="76"/>
      <c r="M48" s="55"/>
      <c r="N48" s="76"/>
      <c r="O48" s="55"/>
      <c r="P48" s="76"/>
      <c r="Q48" s="55"/>
      <c r="R48" s="76"/>
      <c r="S48" s="55"/>
      <c r="T48" s="76"/>
      <c r="U48" s="55"/>
      <c r="V48" s="54"/>
      <c r="W48" s="55"/>
      <c r="X48" s="77"/>
      <c r="Y48" s="61"/>
      <c r="Z48" s="71"/>
      <c r="AA48" s="72"/>
      <c r="AB48" s="72"/>
      <c r="AC48" s="73"/>
      <c r="AD48" s="73"/>
      <c r="AE48" s="73"/>
      <c r="AF48" s="73"/>
      <c r="AG48" s="73"/>
      <c r="AH48" s="73"/>
    </row>
    <row r="49" ht="22.5" customHeight="1">
      <c r="A49" s="40" t="s">
        <v>54</v>
      </c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2"/>
      <c r="Z49" s="71"/>
      <c r="AA49" s="72"/>
      <c r="AB49" s="72"/>
      <c r="AC49" s="73"/>
      <c r="AD49" s="73"/>
      <c r="AE49" s="73"/>
      <c r="AF49" s="73"/>
      <c r="AG49" s="73"/>
      <c r="AH49" s="73"/>
    </row>
    <row r="50" ht="13.5" customHeight="1">
      <c r="A50" s="43">
        <v>9.0</v>
      </c>
      <c r="B50" s="44" t="s">
        <v>55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6"/>
      <c r="Z50" s="71"/>
      <c r="AA50" s="72"/>
      <c r="AB50" s="72"/>
      <c r="AC50" s="73"/>
      <c r="AD50" s="73"/>
      <c r="AE50" s="73"/>
      <c r="AF50" s="73"/>
      <c r="AG50" s="73"/>
      <c r="AH50" s="73"/>
    </row>
    <row r="51" ht="13.5" customHeight="1">
      <c r="A51" s="47"/>
      <c r="B51" s="48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50"/>
      <c r="Z51" s="71"/>
      <c r="AA51" s="72"/>
      <c r="AB51" s="72"/>
      <c r="AC51" s="73"/>
      <c r="AD51" s="73"/>
      <c r="AE51" s="73"/>
      <c r="AF51" s="73"/>
      <c r="AG51" s="73"/>
      <c r="AH51" s="73"/>
    </row>
    <row r="52" ht="15.75" customHeight="1">
      <c r="A52" s="79"/>
      <c r="B52" s="52" t="s">
        <v>56</v>
      </c>
      <c r="C52" s="53"/>
      <c r="D52" s="54"/>
      <c r="E52" s="55"/>
      <c r="F52" s="54"/>
      <c r="G52" s="55"/>
      <c r="H52" s="54"/>
      <c r="I52" s="56"/>
      <c r="J52" s="54"/>
      <c r="K52" s="56"/>
      <c r="L52" s="54"/>
      <c r="M52" s="56"/>
      <c r="N52" s="76"/>
      <c r="O52" s="55"/>
      <c r="P52" s="76"/>
      <c r="Q52" s="55"/>
      <c r="R52" s="76"/>
      <c r="S52" s="55"/>
      <c r="T52" s="76"/>
      <c r="U52" s="55"/>
      <c r="V52" s="54"/>
      <c r="W52" s="55"/>
      <c r="X52" s="77"/>
      <c r="Y52" s="61"/>
      <c r="Z52" s="71"/>
      <c r="AA52" s="72"/>
      <c r="AB52" s="72"/>
      <c r="AC52" s="73"/>
      <c r="AD52" s="73"/>
      <c r="AE52" s="73"/>
      <c r="AF52" s="73"/>
      <c r="AG52" s="73"/>
      <c r="AH52" s="73"/>
    </row>
    <row r="53" ht="15.0" customHeight="1">
      <c r="A53" s="51"/>
      <c r="B53" s="62" t="s">
        <v>57</v>
      </c>
      <c r="C53" s="53"/>
      <c r="D53" s="63"/>
      <c r="E53" s="58"/>
      <c r="F53" s="63"/>
      <c r="G53" s="58"/>
      <c r="H53" s="67"/>
      <c r="I53" s="83"/>
      <c r="J53" s="67"/>
      <c r="K53" s="83"/>
      <c r="L53" s="67"/>
      <c r="M53" s="83"/>
      <c r="N53" s="64"/>
      <c r="O53" s="66"/>
      <c r="P53" s="64"/>
      <c r="Q53" s="66"/>
      <c r="R53" s="64"/>
      <c r="S53" s="66"/>
      <c r="T53" s="64"/>
      <c r="U53" s="66"/>
      <c r="V53" s="78"/>
      <c r="W53" s="66"/>
      <c r="X53" s="75"/>
      <c r="Y53" s="61"/>
      <c r="Z53" s="71"/>
      <c r="AA53" s="72"/>
      <c r="AB53" s="72"/>
      <c r="AC53" s="73"/>
      <c r="AD53" s="73"/>
      <c r="AE53" s="73"/>
      <c r="AF53" s="73"/>
      <c r="AG53" s="73"/>
      <c r="AH53" s="73"/>
    </row>
    <row r="54" ht="13.5" customHeight="1">
      <c r="A54" s="43">
        <v>10.0</v>
      </c>
      <c r="B54" s="44" t="s">
        <v>58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6"/>
      <c r="Z54" s="71"/>
      <c r="AA54" s="72"/>
      <c r="AB54" s="72"/>
      <c r="AC54" s="73"/>
      <c r="AD54" s="73"/>
      <c r="AE54" s="73"/>
      <c r="AF54" s="73"/>
      <c r="AG54" s="73"/>
      <c r="AH54" s="73"/>
    </row>
    <row r="55" ht="13.5" customHeight="1">
      <c r="A55" s="47"/>
      <c r="B55" s="48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50"/>
      <c r="Z55" s="71"/>
      <c r="AA55" s="72"/>
      <c r="AB55" s="72"/>
      <c r="AC55" s="73"/>
      <c r="AD55" s="73"/>
      <c r="AE55" s="73"/>
      <c r="AF55" s="73"/>
      <c r="AG55" s="73"/>
      <c r="AH55" s="73"/>
    </row>
    <row r="56" ht="18.0" customHeight="1">
      <c r="A56" s="51"/>
      <c r="B56" s="52" t="s">
        <v>59</v>
      </c>
      <c r="C56" s="53"/>
      <c r="D56" s="54"/>
      <c r="E56" s="55"/>
      <c r="F56" s="54"/>
      <c r="G56" s="55"/>
      <c r="H56" s="54"/>
      <c r="I56" s="56"/>
      <c r="J56" s="54"/>
      <c r="K56" s="56"/>
      <c r="L56" s="54"/>
      <c r="M56" s="56"/>
      <c r="N56" s="54"/>
      <c r="O56" s="54"/>
      <c r="P56" s="54"/>
      <c r="Q56" s="54"/>
      <c r="R56" s="76"/>
      <c r="S56" s="55"/>
      <c r="T56" s="76"/>
      <c r="U56" s="55"/>
      <c r="V56" s="54"/>
      <c r="W56" s="55"/>
      <c r="X56" s="77"/>
      <c r="Y56" s="61"/>
      <c r="Z56" s="71"/>
      <c r="AA56" s="72"/>
      <c r="AB56" s="72"/>
      <c r="AC56" s="73"/>
      <c r="AD56" s="73"/>
      <c r="AE56" s="73"/>
      <c r="AF56" s="73"/>
      <c r="AG56" s="73"/>
      <c r="AH56" s="73"/>
    </row>
    <row r="57" ht="15.0" customHeight="1">
      <c r="A57" s="51"/>
      <c r="B57" s="62" t="s">
        <v>60</v>
      </c>
      <c r="C57" s="53"/>
      <c r="D57" s="63"/>
      <c r="E57" s="58"/>
      <c r="F57" s="63"/>
      <c r="G57" s="58"/>
      <c r="H57" s="63"/>
      <c r="I57" s="58"/>
      <c r="J57" s="63"/>
      <c r="K57" s="58"/>
      <c r="L57" s="63"/>
      <c r="M57" s="58"/>
      <c r="N57" s="54"/>
      <c r="O57" s="54"/>
      <c r="P57" s="54"/>
      <c r="Q57" s="54"/>
      <c r="R57" s="76"/>
      <c r="S57" s="55"/>
      <c r="T57" s="76"/>
      <c r="U57" s="55"/>
      <c r="V57" s="54"/>
      <c r="W57" s="55"/>
      <c r="X57" s="77"/>
      <c r="Y57" s="61"/>
      <c r="Z57" s="71"/>
      <c r="AA57" s="72"/>
      <c r="AB57" s="72"/>
      <c r="AC57" s="73"/>
      <c r="AD57" s="73"/>
      <c r="AE57" s="73"/>
      <c r="AF57" s="73"/>
      <c r="AG57" s="73"/>
      <c r="AH57" s="73"/>
    </row>
    <row r="58" ht="13.5" customHeight="1">
      <c r="A58" s="43">
        <v>11.0</v>
      </c>
      <c r="B58" s="44" t="s">
        <v>61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6"/>
      <c r="Z58" s="71"/>
      <c r="AA58" s="72"/>
      <c r="AB58" s="72"/>
      <c r="AC58" s="73"/>
      <c r="AD58" s="73"/>
      <c r="AE58" s="73"/>
      <c r="AF58" s="73"/>
      <c r="AG58" s="73"/>
      <c r="AH58" s="73"/>
    </row>
    <row r="59" ht="13.5" customHeight="1">
      <c r="A59" s="47"/>
      <c r="B59" s="48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50"/>
      <c r="Z59" s="71"/>
      <c r="AA59" s="72"/>
      <c r="AB59" s="72"/>
      <c r="AC59" s="73"/>
      <c r="AD59" s="73"/>
      <c r="AE59" s="73"/>
      <c r="AF59" s="73"/>
      <c r="AG59" s="73"/>
      <c r="AH59" s="73"/>
    </row>
    <row r="60" ht="15.75" customHeight="1">
      <c r="A60" s="51"/>
      <c r="B60" s="52" t="s">
        <v>62</v>
      </c>
      <c r="C60" s="53"/>
      <c r="D60" s="54"/>
      <c r="E60" s="55"/>
      <c r="F60" s="54"/>
      <c r="G60" s="55"/>
      <c r="H60" s="54"/>
      <c r="I60" s="56"/>
      <c r="J60" s="76"/>
      <c r="K60" s="55"/>
      <c r="L60" s="76"/>
      <c r="M60" s="55"/>
      <c r="N60" s="76"/>
      <c r="O60" s="55"/>
      <c r="P60" s="76"/>
      <c r="Q60" s="55"/>
      <c r="R60" s="76"/>
      <c r="S60" s="55"/>
      <c r="T60" s="76"/>
      <c r="U60" s="55"/>
      <c r="V60" s="54"/>
      <c r="W60" s="55"/>
      <c r="X60" s="77"/>
      <c r="Y60" s="61"/>
      <c r="Z60" s="71"/>
      <c r="AA60" s="72"/>
      <c r="AB60" s="72"/>
      <c r="AC60" s="73"/>
      <c r="AD60" s="73"/>
      <c r="AE60" s="73"/>
      <c r="AF60" s="73"/>
      <c r="AG60" s="73"/>
      <c r="AH60" s="73"/>
    </row>
    <row r="61" ht="15.75" customHeight="1">
      <c r="A61" s="51"/>
      <c r="B61" s="62" t="s">
        <v>63</v>
      </c>
      <c r="C61" s="53"/>
      <c r="D61" s="63"/>
      <c r="E61" s="58"/>
      <c r="F61" s="63"/>
      <c r="G61" s="58"/>
      <c r="H61" s="63"/>
      <c r="I61" s="83"/>
      <c r="J61" s="64"/>
      <c r="K61" s="66"/>
      <c r="L61" s="64"/>
      <c r="M61" s="66"/>
      <c r="N61" s="64"/>
      <c r="O61" s="66"/>
      <c r="P61" s="64"/>
      <c r="Q61" s="66"/>
      <c r="R61" s="64"/>
      <c r="S61" s="66"/>
      <c r="T61" s="64"/>
      <c r="U61" s="66"/>
      <c r="V61" s="78"/>
      <c r="W61" s="66"/>
      <c r="X61" s="75"/>
      <c r="Y61" s="61"/>
      <c r="Z61" s="71"/>
      <c r="AA61" s="72"/>
      <c r="AB61" s="72"/>
      <c r="AC61" s="73"/>
      <c r="AD61" s="73"/>
      <c r="AE61" s="73"/>
      <c r="AF61" s="73"/>
      <c r="AG61" s="73"/>
      <c r="AH61" s="73"/>
    </row>
    <row r="62" ht="13.5" customHeight="1">
      <c r="A62" s="43">
        <v>12.0</v>
      </c>
      <c r="B62" s="44" t="s">
        <v>64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6"/>
      <c r="Z62" s="71"/>
      <c r="AA62" s="72"/>
      <c r="AB62" s="72"/>
      <c r="AC62" s="73"/>
      <c r="AD62" s="73"/>
      <c r="AE62" s="73"/>
      <c r="AF62" s="73"/>
      <c r="AG62" s="73"/>
      <c r="AH62" s="73"/>
    </row>
    <row r="63" ht="15.0" customHeight="1">
      <c r="A63" s="47"/>
      <c r="B63" s="48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50"/>
      <c r="Z63" s="71"/>
      <c r="AA63" s="72"/>
      <c r="AB63" s="72"/>
      <c r="AC63" s="73"/>
      <c r="AD63" s="73"/>
      <c r="AE63" s="73"/>
      <c r="AF63" s="73"/>
      <c r="AG63" s="73"/>
      <c r="AH63" s="73"/>
    </row>
    <row r="64" ht="15.0" customHeight="1">
      <c r="A64" s="79"/>
      <c r="B64" s="52" t="s">
        <v>65</v>
      </c>
      <c r="C64" s="53"/>
      <c r="D64" s="54"/>
      <c r="E64" s="55"/>
      <c r="F64" s="54"/>
      <c r="G64" s="55"/>
      <c r="H64" s="54"/>
      <c r="I64" s="55"/>
      <c r="J64" s="54"/>
      <c r="K64" s="55"/>
      <c r="L64" s="76"/>
      <c r="M64" s="55"/>
      <c r="N64" s="76"/>
      <c r="O64" s="55"/>
      <c r="P64" s="76"/>
      <c r="Q64" s="55"/>
      <c r="R64" s="76"/>
      <c r="S64" s="55"/>
      <c r="T64" s="76"/>
      <c r="U64" s="55"/>
      <c r="V64" s="54"/>
      <c r="W64" s="55"/>
      <c r="X64" s="77"/>
      <c r="Y64" s="61"/>
      <c r="Z64" s="71"/>
      <c r="AA64" s="72"/>
      <c r="AB64" s="72"/>
      <c r="AC64" s="73"/>
      <c r="AD64" s="73"/>
      <c r="AE64" s="73"/>
      <c r="AF64" s="73"/>
      <c r="AG64" s="73"/>
      <c r="AH64" s="73"/>
    </row>
    <row r="65" ht="15.75" customHeight="1">
      <c r="A65" s="51"/>
      <c r="B65" s="62" t="s">
        <v>66</v>
      </c>
      <c r="C65" s="53"/>
      <c r="D65" s="63"/>
      <c r="E65" s="58"/>
      <c r="F65" s="63"/>
      <c r="G65" s="58"/>
      <c r="H65" s="63"/>
      <c r="I65" s="58"/>
      <c r="J65" s="63"/>
      <c r="K65" s="58"/>
      <c r="L65" s="64"/>
      <c r="M65" s="66"/>
      <c r="N65" s="64"/>
      <c r="O65" s="66"/>
      <c r="P65" s="64"/>
      <c r="Q65" s="66"/>
      <c r="R65" s="64"/>
      <c r="S65" s="66"/>
      <c r="T65" s="64"/>
      <c r="U65" s="66"/>
      <c r="V65" s="78"/>
      <c r="W65" s="66"/>
      <c r="X65" s="75"/>
      <c r="Y65" s="61"/>
      <c r="Z65" s="71"/>
      <c r="AA65" s="72"/>
      <c r="AB65" s="72"/>
      <c r="AC65" s="73"/>
      <c r="AD65" s="73"/>
      <c r="AE65" s="73"/>
      <c r="AF65" s="73"/>
      <c r="AG65" s="73"/>
      <c r="AH65" s="73"/>
    </row>
    <row r="66" ht="15.0" customHeight="1">
      <c r="A66" s="51"/>
      <c r="B66" s="62" t="s">
        <v>67</v>
      </c>
      <c r="C66" s="53"/>
      <c r="D66" s="63"/>
      <c r="E66" s="58"/>
      <c r="F66" s="63"/>
      <c r="G66" s="58"/>
      <c r="H66" s="63"/>
      <c r="I66" s="58"/>
      <c r="J66" s="63"/>
      <c r="K66" s="58"/>
      <c r="L66" s="64"/>
      <c r="M66" s="66"/>
      <c r="N66" s="64"/>
      <c r="O66" s="66"/>
      <c r="P66" s="64"/>
      <c r="Q66" s="66"/>
      <c r="R66" s="64"/>
      <c r="S66" s="66"/>
      <c r="T66" s="64"/>
      <c r="U66" s="66"/>
      <c r="V66" s="64"/>
      <c r="W66" s="66"/>
      <c r="X66" s="84"/>
      <c r="Y66" s="85"/>
      <c r="Z66" s="71"/>
      <c r="AA66" s="72"/>
      <c r="AB66" s="72"/>
      <c r="AC66" s="73"/>
      <c r="AD66" s="73"/>
      <c r="AE66" s="73"/>
      <c r="AF66" s="73"/>
      <c r="AG66" s="73"/>
      <c r="AH66" s="73"/>
    </row>
    <row r="67" ht="13.5" customHeight="1">
      <c r="A67" s="43">
        <v>13.0</v>
      </c>
      <c r="B67" s="44" t="s">
        <v>68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6"/>
      <c r="Z67" s="71"/>
      <c r="AA67" s="72"/>
      <c r="AB67" s="72"/>
      <c r="AC67" s="73"/>
      <c r="AD67" s="73"/>
      <c r="AE67" s="73"/>
      <c r="AF67" s="73"/>
      <c r="AG67" s="73"/>
      <c r="AH67" s="73"/>
    </row>
    <row r="68" ht="18.0" customHeight="1">
      <c r="A68" s="47"/>
      <c r="B68" s="48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50"/>
      <c r="Z68" s="71"/>
      <c r="AA68" s="72"/>
      <c r="AB68" s="72"/>
      <c r="AC68" s="73"/>
      <c r="AD68" s="73"/>
      <c r="AE68" s="73"/>
      <c r="AF68" s="73"/>
      <c r="AG68" s="73"/>
      <c r="AH68" s="73"/>
    </row>
    <row r="69" ht="16.5" customHeight="1">
      <c r="A69" s="79"/>
      <c r="B69" s="52" t="s">
        <v>69</v>
      </c>
      <c r="C69" s="53"/>
      <c r="D69" s="54"/>
      <c r="E69" s="57"/>
      <c r="F69" s="54"/>
      <c r="G69" s="57"/>
      <c r="H69" s="54"/>
      <c r="I69" s="57"/>
      <c r="J69" s="54"/>
      <c r="K69" s="57"/>
      <c r="L69" s="64"/>
      <c r="M69" s="66"/>
      <c r="N69" s="76"/>
      <c r="O69" s="55"/>
      <c r="P69" s="76"/>
      <c r="Q69" s="55"/>
      <c r="R69" s="76"/>
      <c r="S69" s="55"/>
      <c r="T69" s="76"/>
      <c r="U69" s="55"/>
      <c r="V69" s="54"/>
      <c r="W69" s="55"/>
      <c r="X69" s="77"/>
      <c r="Y69" s="73"/>
      <c r="Z69" s="71"/>
      <c r="AA69" s="72"/>
      <c r="AB69" s="72"/>
      <c r="AC69" s="73"/>
      <c r="AD69" s="73"/>
      <c r="AE69" s="73"/>
      <c r="AF69" s="73"/>
      <c r="AG69" s="73"/>
      <c r="AH69" s="73"/>
    </row>
    <row r="70" ht="15.75" customHeight="1">
      <c r="A70" s="51"/>
      <c r="B70" s="62" t="s">
        <v>70</v>
      </c>
      <c r="C70" s="53"/>
      <c r="D70" s="63"/>
      <c r="E70" s="58"/>
      <c r="F70" s="63"/>
      <c r="G70" s="58"/>
      <c r="H70" s="74"/>
      <c r="I70" s="86"/>
      <c r="J70" s="74"/>
      <c r="K70" s="69"/>
      <c r="L70" s="64"/>
      <c r="M70" s="66"/>
      <c r="N70" s="64"/>
      <c r="O70" s="66"/>
      <c r="P70" s="64"/>
      <c r="Q70" s="66"/>
      <c r="R70" s="64"/>
      <c r="S70" s="66"/>
      <c r="T70" s="64"/>
      <c r="U70" s="66"/>
      <c r="V70" s="78"/>
      <c r="W70" s="66"/>
      <c r="X70" s="75"/>
      <c r="Y70" s="61"/>
      <c r="Z70" s="71"/>
      <c r="AA70" s="72"/>
      <c r="AB70" s="72"/>
      <c r="AC70" s="73"/>
      <c r="AD70" s="73"/>
      <c r="AE70" s="73"/>
      <c r="AF70" s="73"/>
      <c r="AG70" s="73"/>
      <c r="AH70" s="73"/>
    </row>
    <row r="71" ht="15.0" customHeight="1">
      <c r="A71" s="51"/>
      <c r="B71" s="62" t="s">
        <v>71</v>
      </c>
      <c r="C71" s="53"/>
      <c r="D71" s="63"/>
      <c r="E71" s="58"/>
      <c r="F71" s="63"/>
      <c r="G71" s="58"/>
      <c r="H71" s="74"/>
      <c r="I71" s="86"/>
      <c r="J71" s="74"/>
      <c r="K71" s="69"/>
      <c r="L71" s="64"/>
      <c r="M71" s="66"/>
      <c r="N71" s="64"/>
      <c r="O71" s="66"/>
      <c r="P71" s="64"/>
      <c r="Q71" s="66"/>
      <c r="R71" s="64"/>
      <c r="S71" s="66"/>
      <c r="T71" s="64"/>
      <c r="U71" s="66"/>
      <c r="V71" s="78"/>
      <c r="W71" s="66"/>
      <c r="X71" s="75"/>
      <c r="Y71" s="61"/>
      <c r="Z71" s="71"/>
      <c r="AA71" s="72"/>
      <c r="AB71" s="72"/>
      <c r="AC71" s="73"/>
      <c r="AD71" s="73"/>
      <c r="AE71" s="73"/>
      <c r="AF71" s="73"/>
      <c r="AG71" s="73"/>
      <c r="AH71" s="73"/>
    </row>
    <row r="72" ht="15.0" customHeight="1">
      <c r="A72" s="51"/>
      <c r="B72" s="62" t="s">
        <v>72</v>
      </c>
      <c r="C72" s="53"/>
      <c r="D72" s="63"/>
      <c r="E72" s="58"/>
      <c r="F72" s="63"/>
      <c r="G72" s="58"/>
      <c r="H72" s="74"/>
      <c r="I72" s="86"/>
      <c r="J72" s="74"/>
      <c r="K72" s="69"/>
      <c r="L72" s="64"/>
      <c r="M72" s="66"/>
      <c r="N72" s="64"/>
      <c r="O72" s="66"/>
      <c r="P72" s="64"/>
      <c r="Q72" s="66"/>
      <c r="R72" s="64"/>
      <c r="S72" s="66"/>
      <c r="T72" s="64"/>
      <c r="U72" s="66"/>
      <c r="V72" s="78"/>
      <c r="W72" s="66"/>
      <c r="X72" s="75"/>
      <c r="Y72" s="61"/>
      <c r="Z72" s="71"/>
      <c r="AA72" s="72"/>
      <c r="AB72" s="72"/>
      <c r="AC72" s="73"/>
      <c r="AD72" s="73"/>
      <c r="AE72" s="73"/>
      <c r="AF72" s="73"/>
      <c r="AG72" s="73"/>
      <c r="AH72" s="73"/>
    </row>
    <row r="73" ht="15.0" customHeight="1">
      <c r="A73" s="51"/>
      <c r="B73" s="62" t="s">
        <v>73</v>
      </c>
      <c r="C73" s="53"/>
      <c r="D73" s="63"/>
      <c r="E73" s="58"/>
      <c r="F73" s="63"/>
      <c r="G73" s="58"/>
      <c r="H73" s="74"/>
      <c r="I73" s="86"/>
      <c r="J73" s="74"/>
      <c r="K73" s="69"/>
      <c r="L73" s="64"/>
      <c r="M73" s="66"/>
      <c r="N73" s="64"/>
      <c r="O73" s="66"/>
      <c r="P73" s="64"/>
      <c r="Q73" s="66"/>
      <c r="R73" s="64"/>
      <c r="S73" s="66"/>
      <c r="T73" s="64"/>
      <c r="U73" s="66"/>
      <c r="V73" s="78"/>
      <c r="W73" s="66"/>
      <c r="X73" s="75"/>
      <c r="Y73" s="61"/>
      <c r="Z73" s="71"/>
      <c r="AA73" s="72"/>
      <c r="AB73" s="72"/>
      <c r="AC73" s="73"/>
      <c r="AD73" s="73"/>
      <c r="AE73" s="73"/>
      <c r="AF73" s="73"/>
      <c r="AG73" s="73"/>
      <c r="AH73" s="73"/>
    </row>
    <row r="74" ht="13.5" customHeight="1">
      <c r="A74" s="43">
        <v>14.0</v>
      </c>
      <c r="B74" s="44" t="s">
        <v>74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6"/>
      <c r="Z74" s="71"/>
      <c r="AA74" s="72"/>
      <c r="AB74" s="72"/>
      <c r="AC74" s="73"/>
      <c r="AD74" s="73"/>
      <c r="AE74" s="73"/>
      <c r="AF74" s="73"/>
      <c r="AG74" s="73"/>
      <c r="AH74" s="73"/>
    </row>
    <row r="75" ht="18.0" customHeight="1">
      <c r="A75" s="47"/>
      <c r="B75" s="48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50"/>
      <c r="Z75" s="71"/>
      <c r="AA75" s="72"/>
      <c r="AB75" s="72"/>
      <c r="AC75" s="73"/>
      <c r="AD75" s="73"/>
      <c r="AE75" s="73"/>
      <c r="AF75" s="73"/>
      <c r="AG75" s="73"/>
      <c r="AH75" s="73"/>
    </row>
    <row r="76" ht="15.0" customHeight="1">
      <c r="A76" s="51"/>
      <c r="B76" s="52" t="s">
        <v>75</v>
      </c>
      <c r="C76" s="53"/>
      <c r="D76" s="54"/>
      <c r="E76" s="58"/>
      <c r="F76" s="54"/>
      <c r="G76" s="58"/>
      <c r="H76" s="54"/>
      <c r="I76" s="86"/>
      <c r="J76" s="54"/>
      <c r="K76" s="69"/>
      <c r="L76" s="64"/>
      <c r="M76" s="66"/>
      <c r="N76" s="64"/>
      <c r="O76" s="66"/>
      <c r="P76" s="64"/>
      <c r="Q76" s="66"/>
      <c r="R76" s="64"/>
      <c r="S76" s="66"/>
      <c r="T76" s="64"/>
      <c r="U76" s="66"/>
      <c r="V76" s="78"/>
      <c r="W76" s="66"/>
      <c r="X76" s="75"/>
      <c r="Y76" s="61"/>
      <c r="Z76" s="71"/>
      <c r="AA76" s="72"/>
      <c r="AB76" s="72"/>
      <c r="AC76" s="73"/>
      <c r="AD76" s="73"/>
      <c r="AE76" s="73"/>
      <c r="AF76" s="73"/>
      <c r="AG76" s="73"/>
      <c r="AH76" s="73"/>
    </row>
    <row r="77" ht="15.0" customHeight="1">
      <c r="A77" s="51"/>
      <c r="B77" s="62" t="s">
        <v>76</v>
      </c>
      <c r="C77" s="53"/>
      <c r="D77" s="63"/>
      <c r="E77" s="58"/>
      <c r="F77" s="63"/>
      <c r="G77" s="58"/>
      <c r="H77" s="74"/>
      <c r="I77" s="86"/>
      <c r="J77" s="74"/>
      <c r="K77" s="69"/>
      <c r="L77" s="64"/>
      <c r="M77" s="66"/>
      <c r="N77" s="64"/>
      <c r="O77" s="66"/>
      <c r="P77" s="64"/>
      <c r="Q77" s="66"/>
      <c r="R77" s="64"/>
      <c r="S77" s="66"/>
      <c r="T77" s="64"/>
      <c r="U77" s="66"/>
      <c r="V77" s="78"/>
      <c r="W77" s="66"/>
      <c r="X77" s="75"/>
      <c r="Y77" s="61"/>
      <c r="Z77" s="71"/>
      <c r="AA77" s="72"/>
      <c r="AB77" s="72"/>
      <c r="AC77" s="73"/>
      <c r="AD77" s="73"/>
      <c r="AE77" s="73"/>
      <c r="AF77" s="73"/>
      <c r="AG77" s="73"/>
      <c r="AH77" s="73"/>
    </row>
    <row r="78" ht="13.5" customHeight="1">
      <c r="A78" s="43">
        <v>15.0</v>
      </c>
      <c r="B78" s="44" t="s">
        <v>77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6"/>
      <c r="Z78" s="71"/>
      <c r="AA78" s="72"/>
      <c r="AB78" s="72"/>
      <c r="AC78" s="73"/>
      <c r="AD78" s="73"/>
      <c r="AE78" s="73"/>
      <c r="AF78" s="73"/>
      <c r="AG78" s="73"/>
      <c r="AH78" s="73"/>
    </row>
    <row r="79" ht="18.0" customHeight="1">
      <c r="A79" s="47"/>
      <c r="B79" s="48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50"/>
      <c r="Z79" s="71"/>
      <c r="AA79" s="72"/>
      <c r="AB79" s="72"/>
      <c r="AC79" s="73"/>
      <c r="AD79" s="73"/>
      <c r="AE79" s="73"/>
      <c r="AF79" s="73"/>
      <c r="AG79" s="73"/>
      <c r="AH79" s="73"/>
    </row>
    <row r="80" ht="15.0" customHeight="1">
      <c r="A80" s="51"/>
      <c r="B80" s="52" t="s">
        <v>78</v>
      </c>
      <c r="C80" s="53"/>
      <c r="D80" s="54"/>
      <c r="E80" s="58"/>
      <c r="F80" s="54"/>
      <c r="G80" s="58"/>
      <c r="H80" s="64"/>
      <c r="I80" s="66"/>
      <c r="J80" s="64"/>
      <c r="K80" s="66"/>
      <c r="L80" s="64"/>
      <c r="M80" s="66"/>
      <c r="N80" s="64"/>
      <c r="O80" s="66"/>
      <c r="P80" s="64"/>
      <c r="Q80" s="66"/>
      <c r="R80" s="64"/>
      <c r="S80" s="66"/>
      <c r="T80" s="64"/>
      <c r="U80" s="66"/>
      <c r="V80" s="78"/>
      <c r="W80" s="66"/>
      <c r="X80" s="75"/>
      <c r="Y80" s="61"/>
      <c r="Z80" s="71"/>
      <c r="AA80" s="72"/>
      <c r="AB80" s="72"/>
      <c r="AC80" s="73"/>
      <c r="AD80" s="73"/>
      <c r="AE80" s="73"/>
      <c r="AF80" s="73"/>
      <c r="AG80" s="73"/>
      <c r="AH80" s="73"/>
    </row>
    <row r="81" ht="15.0" customHeight="1">
      <c r="A81" s="51"/>
      <c r="B81" s="62" t="s">
        <v>79</v>
      </c>
      <c r="C81" s="53"/>
      <c r="D81" s="63"/>
      <c r="E81" s="58"/>
      <c r="F81" s="63"/>
      <c r="G81" s="58"/>
      <c r="H81" s="64"/>
      <c r="I81" s="66"/>
      <c r="J81" s="64"/>
      <c r="K81" s="66"/>
      <c r="L81" s="64"/>
      <c r="M81" s="66"/>
      <c r="N81" s="64"/>
      <c r="O81" s="66"/>
      <c r="P81" s="64"/>
      <c r="Q81" s="66"/>
      <c r="R81" s="64"/>
      <c r="S81" s="66"/>
      <c r="T81" s="64"/>
      <c r="U81" s="66"/>
      <c r="V81" s="78"/>
      <c r="W81" s="66"/>
      <c r="X81" s="75"/>
      <c r="Y81" s="61"/>
      <c r="Z81" s="71"/>
      <c r="AA81" s="72"/>
      <c r="AB81" s="72"/>
      <c r="AC81" s="73"/>
      <c r="AD81" s="73"/>
      <c r="AE81" s="73"/>
      <c r="AF81" s="73"/>
      <c r="AG81" s="73"/>
      <c r="AH81" s="73"/>
    </row>
    <row r="82" ht="13.5" customHeight="1">
      <c r="A82" s="43">
        <v>16.0</v>
      </c>
      <c r="B82" s="44" t="s">
        <v>80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6"/>
      <c r="Z82" s="71"/>
      <c r="AA82" s="72"/>
      <c r="AB82" s="72"/>
      <c r="AC82" s="73"/>
      <c r="AD82" s="73"/>
      <c r="AE82" s="73"/>
      <c r="AF82" s="73"/>
      <c r="AG82" s="73"/>
      <c r="AH82" s="73"/>
    </row>
    <row r="83" ht="18.0" customHeight="1">
      <c r="A83" s="47"/>
      <c r="B83" s="48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50"/>
      <c r="Z83" s="71"/>
      <c r="AA83" s="72"/>
      <c r="AB83" s="72"/>
      <c r="AC83" s="73"/>
      <c r="AD83" s="73"/>
      <c r="AE83" s="73"/>
      <c r="AF83" s="73"/>
      <c r="AG83" s="73"/>
      <c r="AH83" s="73"/>
    </row>
    <row r="84" ht="15.0" customHeight="1">
      <c r="A84" s="51"/>
      <c r="B84" s="52" t="s">
        <v>81</v>
      </c>
      <c r="C84" s="53"/>
      <c r="D84" s="54"/>
      <c r="E84" s="58"/>
      <c r="F84" s="54"/>
      <c r="G84" s="58"/>
      <c r="H84" s="64"/>
      <c r="I84" s="66"/>
      <c r="J84" s="64"/>
      <c r="K84" s="66"/>
      <c r="L84" s="64"/>
      <c r="M84" s="66"/>
      <c r="N84" s="64"/>
      <c r="O84" s="66"/>
      <c r="P84" s="64"/>
      <c r="Q84" s="66"/>
      <c r="R84" s="64"/>
      <c r="S84" s="66"/>
      <c r="T84" s="64"/>
      <c r="U84" s="66"/>
      <c r="V84" s="78"/>
      <c r="W84" s="66"/>
      <c r="X84" s="75"/>
      <c r="Y84" s="61"/>
      <c r="Z84" s="71"/>
      <c r="AA84" s="72"/>
      <c r="AB84" s="72"/>
      <c r="AC84" s="73"/>
      <c r="AD84" s="73"/>
      <c r="AE84" s="73"/>
      <c r="AF84" s="73"/>
      <c r="AG84" s="73"/>
      <c r="AH84" s="73"/>
    </row>
    <row r="85" ht="15.0" customHeight="1">
      <c r="A85" s="51"/>
      <c r="B85" s="62" t="s">
        <v>82</v>
      </c>
      <c r="C85" s="53"/>
      <c r="D85" s="63"/>
      <c r="E85" s="58"/>
      <c r="F85" s="63"/>
      <c r="G85" s="58"/>
      <c r="H85" s="64"/>
      <c r="I85" s="66"/>
      <c r="J85" s="64"/>
      <c r="K85" s="66"/>
      <c r="L85" s="64"/>
      <c r="M85" s="66"/>
      <c r="N85" s="64"/>
      <c r="O85" s="66"/>
      <c r="P85" s="64"/>
      <c r="Q85" s="66"/>
      <c r="R85" s="64"/>
      <c r="S85" s="66"/>
      <c r="T85" s="64"/>
      <c r="U85" s="66"/>
      <c r="V85" s="78"/>
      <c r="W85" s="66"/>
      <c r="X85" s="75"/>
      <c r="Y85" s="61"/>
      <c r="Z85" s="71"/>
      <c r="AA85" s="72"/>
      <c r="AB85" s="72"/>
      <c r="AC85" s="73"/>
      <c r="AD85" s="73"/>
      <c r="AE85" s="73"/>
      <c r="AF85" s="73"/>
      <c r="AG85" s="73"/>
      <c r="AH85" s="73"/>
    </row>
    <row r="86" ht="15.0" customHeight="1">
      <c r="A86" s="51"/>
      <c r="B86" s="62" t="s">
        <v>83</v>
      </c>
      <c r="C86" s="53"/>
      <c r="D86" s="63"/>
      <c r="E86" s="58"/>
      <c r="F86" s="63"/>
      <c r="G86" s="58"/>
      <c r="H86" s="64"/>
      <c r="I86" s="66"/>
      <c r="J86" s="64"/>
      <c r="K86" s="66"/>
      <c r="L86" s="64"/>
      <c r="M86" s="66"/>
      <c r="N86" s="64"/>
      <c r="O86" s="66"/>
      <c r="P86" s="64"/>
      <c r="Q86" s="66"/>
      <c r="R86" s="64"/>
      <c r="S86" s="66"/>
      <c r="T86" s="64"/>
      <c r="U86" s="66"/>
      <c r="V86" s="78"/>
      <c r="W86" s="66"/>
      <c r="X86" s="75"/>
      <c r="Y86" s="61"/>
      <c r="Z86" s="71"/>
      <c r="AA86" s="72"/>
      <c r="AB86" s="72"/>
      <c r="AC86" s="73"/>
      <c r="AD86" s="73"/>
      <c r="AE86" s="73"/>
      <c r="AF86" s="73"/>
      <c r="AG86" s="73"/>
      <c r="AH86" s="73"/>
    </row>
    <row r="87" ht="13.5" customHeight="1">
      <c r="A87" s="43">
        <v>17.0</v>
      </c>
      <c r="B87" s="44" t="s">
        <v>84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6"/>
      <c r="Z87" s="71"/>
      <c r="AA87" s="72"/>
      <c r="AB87" s="72"/>
      <c r="AC87" s="73"/>
      <c r="AD87" s="73"/>
      <c r="AE87" s="73"/>
      <c r="AF87" s="73"/>
      <c r="AG87" s="73"/>
      <c r="AH87" s="73"/>
    </row>
    <row r="88" ht="18.0" customHeight="1">
      <c r="A88" s="47"/>
      <c r="B88" s="48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50"/>
      <c r="Z88" s="71"/>
      <c r="AA88" s="72"/>
      <c r="AB88" s="72"/>
      <c r="AC88" s="73"/>
      <c r="AD88" s="73"/>
      <c r="AE88" s="73"/>
      <c r="AF88" s="73"/>
      <c r="AG88" s="73"/>
      <c r="AH88" s="73"/>
    </row>
    <row r="89" ht="15.0" customHeight="1">
      <c r="A89" s="51"/>
      <c r="B89" s="52" t="s">
        <v>85</v>
      </c>
      <c r="C89" s="53"/>
      <c r="D89" s="54"/>
      <c r="E89" s="58"/>
      <c r="F89" s="54"/>
      <c r="G89" s="58"/>
      <c r="H89" s="64"/>
      <c r="I89" s="66"/>
      <c r="J89" s="64"/>
      <c r="K89" s="66"/>
      <c r="L89" s="64"/>
      <c r="M89" s="66"/>
      <c r="N89" s="64"/>
      <c r="O89" s="66"/>
      <c r="P89" s="64"/>
      <c r="Q89" s="66"/>
      <c r="R89" s="64"/>
      <c r="S89" s="66"/>
      <c r="T89" s="64"/>
      <c r="U89" s="66"/>
      <c r="V89" s="78"/>
      <c r="W89" s="66"/>
      <c r="X89" s="75"/>
      <c r="Y89" s="61"/>
      <c r="Z89" s="71"/>
      <c r="AA89" s="72"/>
      <c r="AB89" s="72"/>
      <c r="AC89" s="73"/>
      <c r="AD89" s="73"/>
      <c r="AE89" s="73"/>
      <c r="AF89" s="73"/>
      <c r="AG89" s="73"/>
      <c r="AH89" s="73"/>
    </row>
    <row r="90" ht="15.0" customHeight="1">
      <c r="A90" s="51"/>
      <c r="B90" s="62" t="s">
        <v>86</v>
      </c>
      <c r="C90" s="53"/>
      <c r="D90" s="63"/>
      <c r="E90" s="58"/>
      <c r="F90" s="63"/>
      <c r="G90" s="58"/>
      <c r="H90" s="64"/>
      <c r="I90" s="66"/>
      <c r="J90" s="64"/>
      <c r="K90" s="66"/>
      <c r="L90" s="64"/>
      <c r="M90" s="66"/>
      <c r="N90" s="64"/>
      <c r="O90" s="66"/>
      <c r="P90" s="64"/>
      <c r="Q90" s="66"/>
      <c r="R90" s="64"/>
      <c r="S90" s="66"/>
      <c r="T90" s="64"/>
      <c r="U90" s="66"/>
      <c r="V90" s="78"/>
      <c r="W90" s="66"/>
      <c r="X90" s="75"/>
      <c r="Y90" s="61"/>
      <c r="Z90" s="71"/>
      <c r="AA90" s="72"/>
      <c r="AB90" s="72"/>
      <c r="AC90" s="73"/>
      <c r="AD90" s="73"/>
      <c r="AE90" s="73"/>
      <c r="AF90" s="73"/>
      <c r="AG90" s="73"/>
      <c r="AH90" s="73"/>
    </row>
    <row r="91" ht="13.5" customHeight="1">
      <c r="A91" s="43">
        <v>18.0</v>
      </c>
      <c r="B91" s="44" t="s">
        <v>87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6"/>
      <c r="Z91" s="71"/>
      <c r="AA91" s="72"/>
      <c r="AB91" s="72"/>
      <c r="AC91" s="73"/>
      <c r="AD91" s="73"/>
      <c r="AE91" s="73"/>
      <c r="AF91" s="73"/>
      <c r="AG91" s="73"/>
      <c r="AH91" s="73"/>
    </row>
    <row r="92" ht="18.0" customHeight="1">
      <c r="A92" s="47"/>
      <c r="B92" s="48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50"/>
      <c r="Z92" s="71"/>
      <c r="AA92" s="72"/>
      <c r="AB92" s="72"/>
      <c r="AC92" s="73"/>
      <c r="AD92" s="73"/>
      <c r="AE92" s="73"/>
      <c r="AF92" s="73"/>
      <c r="AG92" s="73"/>
      <c r="AH92" s="73"/>
    </row>
    <row r="93" ht="15.0" customHeight="1">
      <c r="A93" s="51"/>
      <c r="B93" s="52" t="s">
        <v>88</v>
      </c>
      <c r="C93" s="53"/>
      <c r="D93" s="54"/>
      <c r="E93" s="58"/>
      <c r="F93" s="54"/>
      <c r="G93" s="58"/>
      <c r="H93" s="64"/>
      <c r="I93" s="66"/>
      <c r="J93" s="64"/>
      <c r="K93" s="66"/>
      <c r="L93" s="64"/>
      <c r="M93" s="66"/>
      <c r="N93" s="64"/>
      <c r="O93" s="66"/>
      <c r="P93" s="64"/>
      <c r="Q93" s="66"/>
      <c r="R93" s="64"/>
      <c r="S93" s="66"/>
      <c r="T93" s="64"/>
      <c r="U93" s="66"/>
      <c r="V93" s="78"/>
      <c r="W93" s="66"/>
      <c r="X93" s="75"/>
      <c r="Y93" s="61"/>
      <c r="Z93" s="71"/>
      <c r="AA93" s="72"/>
      <c r="AB93" s="72"/>
      <c r="AC93" s="73"/>
      <c r="AD93" s="73"/>
      <c r="AE93" s="73"/>
      <c r="AF93" s="73"/>
      <c r="AG93" s="73"/>
      <c r="AH93" s="73"/>
    </row>
    <row r="94" ht="15.0" customHeight="1">
      <c r="A94" s="51"/>
      <c r="B94" s="62" t="s">
        <v>89</v>
      </c>
      <c r="C94" s="53"/>
      <c r="D94" s="63"/>
      <c r="E94" s="58"/>
      <c r="F94" s="63"/>
      <c r="G94" s="58"/>
      <c r="H94" s="64"/>
      <c r="I94" s="66"/>
      <c r="J94" s="64"/>
      <c r="K94" s="66"/>
      <c r="L94" s="64"/>
      <c r="M94" s="66"/>
      <c r="N94" s="64"/>
      <c r="O94" s="66"/>
      <c r="P94" s="64"/>
      <c r="Q94" s="66"/>
      <c r="R94" s="64"/>
      <c r="S94" s="66"/>
      <c r="T94" s="64"/>
      <c r="U94" s="66"/>
      <c r="V94" s="78"/>
      <c r="W94" s="66"/>
      <c r="X94" s="75"/>
      <c r="Y94" s="61"/>
      <c r="Z94" s="71"/>
      <c r="AA94" s="72"/>
      <c r="AB94" s="72"/>
      <c r="AC94" s="73"/>
      <c r="AD94" s="73"/>
      <c r="AE94" s="73"/>
      <c r="AF94" s="73"/>
      <c r="AG94" s="73"/>
      <c r="AH94" s="73"/>
    </row>
    <row r="95" ht="15.0" customHeight="1">
      <c r="A95" s="51"/>
      <c r="B95" s="62" t="s">
        <v>90</v>
      </c>
      <c r="C95" s="53"/>
      <c r="D95" s="63"/>
      <c r="E95" s="58"/>
      <c r="F95" s="63"/>
      <c r="G95" s="58"/>
      <c r="H95" s="64"/>
      <c r="I95" s="66"/>
      <c r="J95" s="64"/>
      <c r="K95" s="66"/>
      <c r="L95" s="64"/>
      <c r="M95" s="66"/>
      <c r="N95" s="64"/>
      <c r="O95" s="66"/>
      <c r="P95" s="64"/>
      <c r="Q95" s="66"/>
      <c r="R95" s="64"/>
      <c r="S95" s="66"/>
      <c r="T95" s="64"/>
      <c r="U95" s="66"/>
      <c r="V95" s="78"/>
      <c r="W95" s="66"/>
      <c r="X95" s="75"/>
      <c r="Y95" s="61"/>
      <c r="Z95" s="71"/>
      <c r="AA95" s="72"/>
      <c r="AB95" s="72"/>
      <c r="AC95" s="73"/>
      <c r="AD95" s="73"/>
      <c r="AE95" s="73"/>
      <c r="AF95" s="73"/>
      <c r="AG95" s="73"/>
      <c r="AH95" s="73"/>
    </row>
    <row r="96" ht="13.5" customHeight="1">
      <c r="A96" s="43">
        <v>19.0</v>
      </c>
      <c r="B96" s="44" t="s">
        <v>91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6"/>
      <c r="Z96" s="71"/>
      <c r="AA96" s="72"/>
      <c r="AB96" s="72"/>
      <c r="AC96" s="73"/>
      <c r="AD96" s="73"/>
      <c r="AE96" s="73"/>
      <c r="AF96" s="73"/>
      <c r="AG96" s="73"/>
      <c r="AH96" s="73"/>
    </row>
    <row r="97" ht="18.0" customHeight="1">
      <c r="A97" s="47"/>
      <c r="B97" s="48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50"/>
      <c r="Z97" s="71"/>
      <c r="AA97" s="72"/>
      <c r="AB97" s="72"/>
      <c r="AC97" s="73"/>
      <c r="AD97" s="73"/>
      <c r="AE97" s="73"/>
      <c r="AF97" s="73"/>
      <c r="AG97" s="73"/>
      <c r="AH97" s="73"/>
    </row>
    <row r="98" ht="15.0" customHeight="1">
      <c r="A98" s="51"/>
      <c r="B98" s="52" t="s">
        <v>92</v>
      </c>
      <c r="C98" s="53"/>
      <c r="D98" s="54"/>
      <c r="E98" s="58"/>
      <c r="F98" s="54"/>
      <c r="G98" s="58"/>
      <c r="H98" s="64"/>
      <c r="I98" s="66"/>
      <c r="J98" s="64"/>
      <c r="K98" s="66"/>
      <c r="L98" s="64"/>
      <c r="M98" s="66"/>
      <c r="N98" s="64"/>
      <c r="O98" s="66"/>
      <c r="P98" s="64"/>
      <c r="Q98" s="66"/>
      <c r="R98" s="64"/>
      <c r="S98" s="66"/>
      <c r="T98" s="64"/>
      <c r="U98" s="66"/>
      <c r="V98" s="78"/>
      <c r="W98" s="66"/>
      <c r="X98" s="75"/>
      <c r="Y98" s="61"/>
      <c r="Z98" s="71"/>
      <c r="AA98" s="72"/>
      <c r="AB98" s="72"/>
      <c r="AC98" s="73"/>
      <c r="AD98" s="73"/>
      <c r="AE98" s="73"/>
      <c r="AF98" s="73"/>
      <c r="AG98" s="73"/>
      <c r="AH98" s="73"/>
    </row>
    <row r="99" ht="15.0" customHeight="1">
      <c r="A99" s="51"/>
      <c r="B99" s="62" t="s">
        <v>93</v>
      </c>
      <c r="C99" s="53"/>
      <c r="D99" s="63"/>
      <c r="E99" s="58"/>
      <c r="F99" s="63"/>
      <c r="G99" s="58"/>
      <c r="H99" s="64"/>
      <c r="I99" s="66"/>
      <c r="J99" s="64"/>
      <c r="K99" s="66"/>
      <c r="L99" s="64"/>
      <c r="M99" s="66"/>
      <c r="N99" s="64"/>
      <c r="O99" s="66"/>
      <c r="P99" s="64"/>
      <c r="Q99" s="66"/>
      <c r="R99" s="64"/>
      <c r="S99" s="66"/>
      <c r="T99" s="64"/>
      <c r="U99" s="66"/>
      <c r="V99" s="78"/>
      <c r="W99" s="66"/>
      <c r="X99" s="75"/>
      <c r="Y99" s="61"/>
      <c r="Z99" s="71"/>
      <c r="AA99" s="72"/>
      <c r="AB99" s="72"/>
      <c r="AC99" s="73"/>
      <c r="AD99" s="73"/>
      <c r="AE99" s="73"/>
      <c r="AF99" s="73"/>
      <c r="AG99" s="73"/>
      <c r="AH99" s="73"/>
    </row>
    <row r="100" ht="15.0" customHeight="1">
      <c r="A100" s="51"/>
      <c r="B100" s="62" t="s">
        <v>94</v>
      </c>
      <c r="C100" s="53"/>
      <c r="D100" s="63"/>
      <c r="E100" s="58"/>
      <c r="F100" s="63"/>
      <c r="G100" s="58"/>
      <c r="H100" s="64"/>
      <c r="I100" s="66"/>
      <c r="J100" s="64"/>
      <c r="K100" s="66"/>
      <c r="L100" s="64"/>
      <c r="M100" s="66"/>
      <c r="N100" s="64"/>
      <c r="O100" s="66"/>
      <c r="P100" s="64"/>
      <c r="Q100" s="66"/>
      <c r="R100" s="64"/>
      <c r="S100" s="66"/>
      <c r="T100" s="64"/>
      <c r="U100" s="66"/>
      <c r="V100" s="78"/>
      <c r="W100" s="66"/>
      <c r="X100" s="75"/>
      <c r="Y100" s="61"/>
      <c r="Z100" s="71"/>
      <c r="AA100" s="72"/>
      <c r="AB100" s="72"/>
      <c r="AC100" s="73"/>
      <c r="AD100" s="73"/>
      <c r="AE100" s="73"/>
      <c r="AF100" s="73"/>
      <c r="AG100" s="73"/>
      <c r="AH100" s="73"/>
    </row>
    <row r="101" ht="15.0" customHeight="1">
      <c r="A101" s="51"/>
      <c r="B101" s="62" t="s">
        <v>95</v>
      </c>
      <c r="C101" s="53"/>
      <c r="D101" s="63"/>
      <c r="E101" s="58"/>
      <c r="F101" s="63"/>
      <c r="G101" s="58"/>
      <c r="H101" s="64"/>
      <c r="I101" s="66"/>
      <c r="J101" s="64"/>
      <c r="K101" s="66"/>
      <c r="L101" s="64"/>
      <c r="M101" s="66"/>
      <c r="N101" s="64"/>
      <c r="O101" s="66"/>
      <c r="P101" s="64"/>
      <c r="Q101" s="66"/>
      <c r="R101" s="64"/>
      <c r="S101" s="66"/>
      <c r="T101" s="64"/>
      <c r="U101" s="66"/>
      <c r="V101" s="78"/>
      <c r="W101" s="66"/>
      <c r="X101" s="75"/>
      <c r="Y101" s="61"/>
      <c r="Z101" s="71"/>
      <c r="AA101" s="72"/>
      <c r="AB101" s="72"/>
      <c r="AC101" s="73"/>
      <c r="AD101" s="73"/>
      <c r="AE101" s="73"/>
      <c r="AF101" s="73"/>
      <c r="AG101" s="73"/>
      <c r="AH101" s="73"/>
    </row>
    <row r="102" ht="13.5" customHeight="1">
      <c r="A102" s="43">
        <v>20.0</v>
      </c>
      <c r="B102" s="44" t="s">
        <v>96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6"/>
      <c r="Z102" s="71"/>
      <c r="AA102" s="72"/>
      <c r="AB102" s="72"/>
      <c r="AC102" s="73"/>
      <c r="AD102" s="73"/>
      <c r="AE102" s="73"/>
      <c r="AF102" s="73"/>
      <c r="AG102" s="73"/>
      <c r="AH102" s="73"/>
    </row>
    <row r="103" ht="18.0" customHeight="1">
      <c r="A103" s="47"/>
      <c r="B103" s="48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50"/>
      <c r="Z103" s="71"/>
      <c r="AA103" s="72"/>
      <c r="AB103" s="72"/>
      <c r="AC103" s="73"/>
      <c r="AD103" s="73"/>
      <c r="AE103" s="73"/>
      <c r="AF103" s="73"/>
      <c r="AG103" s="73"/>
      <c r="AH103" s="73"/>
    </row>
    <row r="104" ht="15.0" customHeight="1">
      <c r="A104" s="51"/>
      <c r="B104" s="87" t="s">
        <v>97</v>
      </c>
      <c r="C104" s="53"/>
      <c r="D104" s="54"/>
      <c r="E104" s="58"/>
      <c r="F104" s="64"/>
      <c r="G104" s="66"/>
      <c r="H104" s="64"/>
      <c r="I104" s="66"/>
      <c r="J104" s="64"/>
      <c r="K104" s="66"/>
      <c r="L104" s="64"/>
      <c r="M104" s="66"/>
      <c r="N104" s="64"/>
      <c r="O104" s="66"/>
      <c r="P104" s="64"/>
      <c r="Q104" s="66"/>
      <c r="R104" s="64"/>
      <c r="S104" s="66"/>
      <c r="T104" s="64"/>
      <c r="U104" s="66"/>
      <c r="V104" s="78"/>
      <c r="W104" s="66"/>
      <c r="X104" s="75"/>
      <c r="Y104" s="61"/>
      <c r="Z104" s="71"/>
      <c r="AA104" s="72"/>
      <c r="AB104" s="72"/>
      <c r="AC104" s="73"/>
      <c r="AD104" s="73"/>
      <c r="AE104" s="73"/>
      <c r="AF104" s="73"/>
      <c r="AG104" s="73"/>
      <c r="AH104" s="73"/>
    </row>
    <row r="105" ht="13.5" customHeight="1">
      <c r="A105" s="43">
        <v>21.0</v>
      </c>
      <c r="B105" s="44" t="s">
        <v>98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6"/>
      <c r="Z105" s="71"/>
      <c r="AA105" s="72"/>
      <c r="AB105" s="72"/>
      <c r="AC105" s="73"/>
      <c r="AD105" s="73"/>
      <c r="AE105" s="73"/>
      <c r="AF105" s="73"/>
      <c r="AG105" s="73"/>
      <c r="AH105" s="73"/>
    </row>
    <row r="106" ht="18.0" customHeight="1">
      <c r="A106" s="47"/>
      <c r="B106" s="48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50"/>
      <c r="Z106" s="71"/>
      <c r="AA106" s="72"/>
      <c r="AB106" s="72"/>
      <c r="AC106" s="73"/>
      <c r="AD106" s="73"/>
      <c r="AE106" s="73"/>
      <c r="AF106" s="73"/>
      <c r="AG106" s="73"/>
      <c r="AH106" s="73"/>
    </row>
    <row r="107" ht="15.0" customHeight="1">
      <c r="A107" s="51"/>
      <c r="B107" s="52" t="s">
        <v>99</v>
      </c>
      <c r="C107" s="53"/>
      <c r="D107" s="54"/>
      <c r="E107" s="58"/>
      <c r="F107" s="54"/>
      <c r="G107" s="58"/>
      <c r="H107" s="64"/>
      <c r="I107" s="66"/>
      <c r="J107" s="64"/>
      <c r="K107" s="66"/>
      <c r="L107" s="64"/>
      <c r="M107" s="66"/>
      <c r="N107" s="64"/>
      <c r="O107" s="66"/>
      <c r="P107" s="64"/>
      <c r="Q107" s="66"/>
      <c r="R107" s="64"/>
      <c r="S107" s="66"/>
      <c r="T107" s="64"/>
      <c r="U107" s="66"/>
      <c r="V107" s="78"/>
      <c r="W107" s="66"/>
      <c r="X107" s="75"/>
      <c r="Y107" s="61"/>
      <c r="Z107" s="71"/>
      <c r="AA107" s="72"/>
      <c r="AB107" s="72"/>
      <c r="AC107" s="73"/>
      <c r="AD107" s="73"/>
      <c r="AE107" s="73"/>
      <c r="AF107" s="73"/>
      <c r="AG107" s="73"/>
      <c r="AH107" s="73"/>
    </row>
    <row r="108" ht="15.0" customHeight="1">
      <c r="A108" s="51"/>
      <c r="B108" s="62" t="s">
        <v>100</v>
      </c>
      <c r="C108" s="53"/>
      <c r="D108" s="63"/>
      <c r="E108" s="58"/>
      <c r="F108" s="63"/>
      <c r="G108" s="58"/>
      <c r="H108" s="64"/>
      <c r="I108" s="66"/>
      <c r="J108" s="64"/>
      <c r="K108" s="66"/>
      <c r="L108" s="64"/>
      <c r="M108" s="66"/>
      <c r="N108" s="64"/>
      <c r="O108" s="66"/>
      <c r="P108" s="64"/>
      <c r="Q108" s="66"/>
      <c r="R108" s="64"/>
      <c r="S108" s="66"/>
      <c r="T108" s="64"/>
      <c r="U108" s="66"/>
      <c r="V108" s="78"/>
      <c r="W108" s="66"/>
      <c r="X108" s="75"/>
      <c r="Y108" s="61"/>
      <c r="Z108" s="71"/>
      <c r="AA108" s="72"/>
      <c r="AB108" s="72"/>
      <c r="AC108" s="73"/>
      <c r="AD108" s="73"/>
      <c r="AE108" s="73"/>
      <c r="AF108" s="73"/>
      <c r="AG108" s="73"/>
      <c r="AH108" s="73"/>
    </row>
    <row r="109" ht="15.0" customHeight="1">
      <c r="A109" s="51"/>
      <c r="B109" s="62" t="s">
        <v>101</v>
      </c>
      <c r="C109" s="53"/>
      <c r="D109" s="63"/>
      <c r="E109" s="58"/>
      <c r="F109" s="63"/>
      <c r="G109" s="58"/>
      <c r="H109" s="64"/>
      <c r="I109" s="66"/>
      <c r="J109" s="64"/>
      <c r="K109" s="66"/>
      <c r="L109" s="64"/>
      <c r="M109" s="66"/>
      <c r="N109" s="64"/>
      <c r="O109" s="66"/>
      <c r="P109" s="64"/>
      <c r="Q109" s="66"/>
      <c r="R109" s="64"/>
      <c r="S109" s="66"/>
      <c r="T109" s="64"/>
      <c r="U109" s="66"/>
      <c r="V109" s="78"/>
      <c r="W109" s="66"/>
      <c r="X109" s="75"/>
      <c r="Y109" s="61"/>
      <c r="Z109" s="71"/>
      <c r="AA109" s="72"/>
      <c r="AB109" s="72"/>
      <c r="AC109" s="73"/>
      <c r="AD109" s="73"/>
      <c r="AE109" s="73"/>
      <c r="AF109" s="73"/>
      <c r="AG109" s="73"/>
      <c r="AH109" s="73"/>
    </row>
    <row r="110" ht="13.5" customHeight="1">
      <c r="A110" s="43">
        <v>22.0</v>
      </c>
      <c r="B110" s="44" t="s">
        <v>102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6"/>
      <c r="Z110" s="71"/>
      <c r="AA110" s="72"/>
      <c r="AB110" s="72"/>
      <c r="AC110" s="73"/>
      <c r="AD110" s="73"/>
      <c r="AE110" s="73"/>
      <c r="AF110" s="73"/>
      <c r="AG110" s="73"/>
      <c r="AH110" s="73"/>
    </row>
    <row r="111" ht="18.0" customHeight="1">
      <c r="A111" s="47"/>
      <c r="B111" s="48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50"/>
      <c r="Z111" s="71"/>
      <c r="AA111" s="72"/>
      <c r="AB111" s="72"/>
      <c r="AC111" s="73"/>
      <c r="AD111" s="73"/>
      <c r="AE111" s="73"/>
      <c r="AF111" s="73"/>
      <c r="AG111" s="73"/>
      <c r="AH111" s="73"/>
    </row>
    <row r="112" ht="15.0" customHeight="1">
      <c r="A112" s="51"/>
      <c r="B112" s="52" t="s">
        <v>103</v>
      </c>
      <c r="C112" s="53"/>
      <c r="D112" s="54"/>
      <c r="E112" s="58"/>
      <c r="F112" s="54"/>
      <c r="G112" s="58"/>
      <c r="H112" s="64"/>
      <c r="I112" s="66"/>
      <c r="J112" s="64"/>
      <c r="K112" s="66"/>
      <c r="L112" s="64"/>
      <c r="M112" s="66"/>
      <c r="N112" s="64"/>
      <c r="O112" s="66"/>
      <c r="P112" s="64"/>
      <c r="Q112" s="66"/>
      <c r="R112" s="64"/>
      <c r="S112" s="66"/>
      <c r="T112" s="64"/>
      <c r="U112" s="66"/>
      <c r="V112" s="78"/>
      <c r="W112" s="66"/>
      <c r="X112" s="75"/>
      <c r="Y112" s="61"/>
      <c r="Z112" s="71"/>
      <c r="AA112" s="72"/>
      <c r="AB112" s="72"/>
      <c r="AC112" s="73"/>
      <c r="AD112" s="73"/>
      <c r="AE112" s="73"/>
      <c r="AF112" s="73"/>
      <c r="AG112" s="73"/>
      <c r="AH112" s="73"/>
    </row>
    <row r="113" ht="15.0" customHeight="1">
      <c r="A113" s="51"/>
      <c r="B113" s="62" t="s">
        <v>104</v>
      </c>
      <c r="C113" s="53"/>
      <c r="D113" s="63"/>
      <c r="E113" s="58"/>
      <c r="F113" s="63"/>
      <c r="G113" s="58"/>
      <c r="H113" s="64"/>
      <c r="I113" s="66"/>
      <c r="J113" s="64"/>
      <c r="K113" s="66"/>
      <c r="L113" s="64"/>
      <c r="M113" s="66"/>
      <c r="N113" s="64"/>
      <c r="O113" s="66"/>
      <c r="P113" s="64"/>
      <c r="Q113" s="66"/>
      <c r="R113" s="64"/>
      <c r="S113" s="66"/>
      <c r="T113" s="64"/>
      <c r="U113" s="66"/>
      <c r="V113" s="78"/>
      <c r="W113" s="66"/>
      <c r="X113" s="75"/>
      <c r="Y113" s="61"/>
      <c r="Z113" s="71"/>
      <c r="AA113" s="72"/>
      <c r="AB113" s="72"/>
      <c r="AC113" s="73"/>
      <c r="AD113" s="73"/>
      <c r="AE113" s="73"/>
      <c r="AF113" s="73"/>
      <c r="AG113" s="73"/>
      <c r="AH113" s="73"/>
    </row>
    <row r="114" ht="13.5" customHeight="1">
      <c r="A114" s="43">
        <v>23.0</v>
      </c>
      <c r="B114" s="44" t="s">
        <v>105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6"/>
      <c r="Z114" s="71"/>
      <c r="AA114" s="72"/>
      <c r="AB114" s="72"/>
      <c r="AC114" s="73"/>
      <c r="AD114" s="73"/>
      <c r="AE114" s="73"/>
      <c r="AF114" s="73"/>
      <c r="AG114" s="73"/>
      <c r="AH114" s="73"/>
    </row>
    <row r="115" ht="18.0" customHeight="1">
      <c r="A115" s="47"/>
      <c r="B115" s="48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50"/>
      <c r="Z115" s="71"/>
      <c r="AA115" s="72"/>
      <c r="AB115" s="72"/>
      <c r="AC115" s="73"/>
      <c r="AD115" s="73"/>
      <c r="AE115" s="73"/>
      <c r="AF115" s="73"/>
      <c r="AG115" s="73"/>
      <c r="AH115" s="73"/>
    </row>
    <row r="116" ht="15.0" customHeight="1">
      <c r="A116" s="51"/>
      <c r="B116" s="52" t="s">
        <v>106</v>
      </c>
      <c r="C116" s="53"/>
      <c r="D116" s="54"/>
      <c r="E116" s="58"/>
      <c r="F116" s="54"/>
      <c r="G116" s="58"/>
      <c r="H116" s="64"/>
      <c r="I116" s="66"/>
      <c r="J116" s="64"/>
      <c r="K116" s="66"/>
      <c r="L116" s="64"/>
      <c r="M116" s="66"/>
      <c r="N116" s="64"/>
      <c r="O116" s="66"/>
      <c r="P116" s="64"/>
      <c r="Q116" s="66"/>
      <c r="R116" s="64"/>
      <c r="S116" s="66"/>
      <c r="T116" s="64"/>
      <c r="U116" s="66"/>
      <c r="V116" s="78"/>
      <c r="W116" s="66"/>
      <c r="X116" s="75"/>
      <c r="Y116" s="61"/>
      <c r="Z116" s="71"/>
      <c r="AA116" s="72"/>
      <c r="AB116" s="72"/>
      <c r="AC116" s="73"/>
      <c r="AD116" s="73"/>
      <c r="AE116" s="73"/>
      <c r="AF116" s="73"/>
      <c r="AG116" s="73"/>
      <c r="AH116" s="73"/>
    </row>
    <row r="117" ht="15.0" customHeight="1">
      <c r="A117" s="51"/>
      <c r="B117" s="62" t="s">
        <v>107</v>
      </c>
      <c r="C117" s="53"/>
      <c r="D117" s="63"/>
      <c r="E117" s="58"/>
      <c r="F117" s="63"/>
      <c r="G117" s="58"/>
      <c r="H117" s="64"/>
      <c r="I117" s="66"/>
      <c r="J117" s="64"/>
      <c r="K117" s="66"/>
      <c r="L117" s="64"/>
      <c r="M117" s="66"/>
      <c r="N117" s="64"/>
      <c r="O117" s="66"/>
      <c r="P117" s="64"/>
      <c r="Q117" s="66"/>
      <c r="R117" s="64"/>
      <c r="S117" s="66"/>
      <c r="T117" s="64"/>
      <c r="U117" s="66"/>
      <c r="V117" s="78"/>
      <c r="W117" s="66"/>
      <c r="X117" s="75"/>
      <c r="Y117" s="61"/>
      <c r="Z117" s="71"/>
      <c r="AA117" s="72"/>
      <c r="AB117" s="72"/>
      <c r="AC117" s="73"/>
      <c r="AD117" s="73"/>
      <c r="AE117" s="73"/>
      <c r="AF117" s="73"/>
      <c r="AG117" s="73"/>
      <c r="AH117" s="73"/>
    </row>
    <row r="118" ht="15.0" customHeight="1">
      <c r="A118" s="51"/>
      <c r="B118" s="62" t="s">
        <v>108</v>
      </c>
      <c r="C118" s="53"/>
      <c r="D118" s="63"/>
      <c r="E118" s="58"/>
      <c r="F118" s="63"/>
      <c r="G118" s="58"/>
      <c r="H118" s="64"/>
      <c r="I118" s="66"/>
      <c r="J118" s="64"/>
      <c r="K118" s="66"/>
      <c r="L118" s="64"/>
      <c r="M118" s="66"/>
      <c r="N118" s="64"/>
      <c r="O118" s="66"/>
      <c r="P118" s="64"/>
      <c r="Q118" s="66"/>
      <c r="R118" s="64"/>
      <c r="S118" s="66"/>
      <c r="T118" s="64"/>
      <c r="U118" s="66"/>
      <c r="V118" s="78"/>
      <c r="W118" s="66"/>
      <c r="X118" s="75"/>
      <c r="Y118" s="61"/>
      <c r="Z118" s="71"/>
      <c r="AA118" s="72"/>
      <c r="AB118" s="72"/>
      <c r="AC118" s="73"/>
      <c r="AD118" s="73"/>
      <c r="AE118" s="73"/>
      <c r="AF118" s="73"/>
      <c r="AG118" s="73"/>
      <c r="AH118" s="73"/>
    </row>
    <row r="119" ht="15.0" customHeight="1">
      <c r="A119" s="51"/>
      <c r="B119" s="62" t="s">
        <v>109</v>
      </c>
      <c r="C119" s="53"/>
      <c r="D119" s="63"/>
      <c r="E119" s="58"/>
      <c r="F119" s="63"/>
      <c r="G119" s="58"/>
      <c r="H119" s="64"/>
      <c r="I119" s="66"/>
      <c r="J119" s="64"/>
      <c r="K119" s="66"/>
      <c r="L119" s="64"/>
      <c r="M119" s="66"/>
      <c r="N119" s="64"/>
      <c r="O119" s="66"/>
      <c r="P119" s="64"/>
      <c r="Q119" s="66"/>
      <c r="R119" s="64"/>
      <c r="S119" s="66"/>
      <c r="T119" s="64"/>
      <c r="U119" s="66"/>
      <c r="V119" s="78"/>
      <c r="W119" s="66"/>
      <c r="X119" s="75"/>
      <c r="Y119" s="61"/>
      <c r="Z119" s="71"/>
      <c r="AA119" s="72"/>
      <c r="AB119" s="72"/>
      <c r="AC119" s="73"/>
      <c r="AD119" s="73"/>
      <c r="AE119" s="73"/>
      <c r="AF119" s="73"/>
      <c r="AG119" s="73"/>
      <c r="AH119" s="73"/>
    </row>
    <row r="120" ht="13.5" customHeight="1">
      <c r="A120" s="43">
        <v>24.0</v>
      </c>
      <c r="B120" s="44" t="s">
        <v>110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6"/>
      <c r="Z120" s="71"/>
      <c r="AA120" s="72"/>
      <c r="AB120" s="72"/>
      <c r="AC120" s="73"/>
      <c r="AD120" s="73"/>
      <c r="AE120" s="73"/>
      <c r="AF120" s="73"/>
      <c r="AG120" s="73"/>
      <c r="AH120" s="73"/>
    </row>
    <row r="121" ht="18.0" customHeight="1">
      <c r="A121" s="47"/>
      <c r="B121" s="48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50"/>
      <c r="Z121" s="71"/>
      <c r="AA121" s="72"/>
      <c r="AB121" s="72"/>
      <c r="AC121" s="73"/>
      <c r="AD121" s="73"/>
      <c r="AE121" s="73"/>
      <c r="AF121" s="73"/>
      <c r="AG121" s="73"/>
      <c r="AH121" s="73"/>
    </row>
    <row r="122" ht="15.0" customHeight="1">
      <c r="A122" s="51"/>
      <c r="B122" s="52" t="s">
        <v>111</v>
      </c>
      <c r="C122" s="53"/>
      <c r="D122" s="54"/>
      <c r="E122" s="58"/>
      <c r="F122" s="54"/>
      <c r="G122" s="58"/>
      <c r="H122" s="64"/>
      <c r="I122" s="66"/>
      <c r="J122" s="64"/>
      <c r="K122" s="66"/>
      <c r="L122" s="64"/>
      <c r="M122" s="66"/>
      <c r="N122" s="64"/>
      <c r="O122" s="66"/>
      <c r="P122" s="64"/>
      <c r="Q122" s="66"/>
      <c r="R122" s="64"/>
      <c r="S122" s="66"/>
      <c r="T122" s="64"/>
      <c r="U122" s="66"/>
      <c r="V122" s="78"/>
      <c r="W122" s="66"/>
      <c r="X122" s="75"/>
      <c r="Y122" s="61"/>
      <c r="Z122" s="71"/>
      <c r="AA122" s="72"/>
      <c r="AB122" s="72"/>
      <c r="AC122" s="73"/>
      <c r="AD122" s="73"/>
      <c r="AE122" s="73"/>
      <c r="AF122" s="73"/>
      <c r="AG122" s="73"/>
      <c r="AH122" s="73"/>
    </row>
    <row r="123" ht="15.0" customHeight="1">
      <c r="A123" s="51"/>
      <c r="B123" s="62" t="s">
        <v>112</v>
      </c>
      <c r="C123" s="53"/>
      <c r="D123" s="63"/>
      <c r="E123" s="58"/>
      <c r="F123" s="63"/>
      <c r="G123" s="58"/>
      <c r="H123" s="64"/>
      <c r="I123" s="66"/>
      <c r="J123" s="64"/>
      <c r="K123" s="66"/>
      <c r="L123" s="64"/>
      <c r="M123" s="66"/>
      <c r="N123" s="64"/>
      <c r="O123" s="66"/>
      <c r="P123" s="64"/>
      <c r="Q123" s="66"/>
      <c r="R123" s="64"/>
      <c r="S123" s="66"/>
      <c r="T123" s="64"/>
      <c r="U123" s="66"/>
      <c r="V123" s="78"/>
      <c r="W123" s="66"/>
      <c r="X123" s="75"/>
      <c r="Y123" s="61"/>
      <c r="Z123" s="71"/>
      <c r="AA123" s="72"/>
      <c r="AB123" s="72"/>
      <c r="AC123" s="73"/>
      <c r="AD123" s="73"/>
      <c r="AE123" s="73"/>
      <c r="AF123" s="73"/>
      <c r="AG123" s="73"/>
      <c r="AH123" s="73"/>
    </row>
    <row r="124" ht="13.5" customHeight="1">
      <c r="A124" s="43">
        <v>25.0</v>
      </c>
      <c r="B124" s="44" t="s">
        <v>113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6"/>
      <c r="Z124" s="71"/>
      <c r="AA124" s="72"/>
      <c r="AB124" s="72"/>
      <c r="AC124" s="73"/>
      <c r="AD124" s="73"/>
      <c r="AE124" s="73"/>
      <c r="AF124" s="73"/>
      <c r="AG124" s="73"/>
      <c r="AH124" s="73"/>
    </row>
    <row r="125" ht="18.0" customHeight="1">
      <c r="A125" s="47"/>
      <c r="B125" s="48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50"/>
      <c r="Z125" s="71"/>
      <c r="AA125" s="72"/>
      <c r="AB125" s="72"/>
      <c r="AC125" s="73"/>
      <c r="AD125" s="73"/>
      <c r="AE125" s="73"/>
      <c r="AF125" s="73"/>
      <c r="AG125" s="73"/>
      <c r="AH125" s="73"/>
    </row>
    <row r="126" ht="15.0" customHeight="1">
      <c r="A126" s="51"/>
      <c r="B126" s="52" t="s">
        <v>114</v>
      </c>
      <c r="C126" s="53"/>
      <c r="D126" s="54"/>
      <c r="E126" s="58"/>
      <c r="F126" s="54"/>
      <c r="G126" s="58"/>
      <c r="H126" s="64"/>
      <c r="I126" s="66"/>
      <c r="J126" s="64"/>
      <c r="K126" s="66"/>
      <c r="L126" s="64"/>
      <c r="M126" s="66"/>
      <c r="N126" s="64"/>
      <c r="O126" s="66"/>
      <c r="P126" s="64"/>
      <c r="Q126" s="66"/>
      <c r="R126" s="64"/>
      <c r="S126" s="66"/>
      <c r="T126" s="64"/>
      <c r="U126" s="66"/>
      <c r="V126" s="78"/>
      <c r="W126" s="66"/>
      <c r="X126" s="75"/>
      <c r="Y126" s="61"/>
      <c r="Z126" s="71"/>
      <c r="AA126" s="72"/>
      <c r="AB126" s="72"/>
      <c r="AC126" s="73"/>
      <c r="AD126" s="73"/>
      <c r="AE126" s="73"/>
      <c r="AF126" s="73"/>
      <c r="AG126" s="73"/>
      <c r="AH126" s="73"/>
    </row>
    <row r="127" ht="15.0" customHeight="1">
      <c r="A127" s="51"/>
      <c r="B127" s="62" t="s">
        <v>115</v>
      </c>
      <c r="C127" s="53"/>
      <c r="D127" s="63"/>
      <c r="E127" s="58"/>
      <c r="F127" s="74"/>
      <c r="G127" s="58"/>
      <c r="H127" s="64"/>
      <c r="I127" s="66"/>
      <c r="J127" s="64"/>
      <c r="K127" s="66"/>
      <c r="L127" s="64"/>
      <c r="M127" s="66"/>
      <c r="N127" s="64"/>
      <c r="O127" s="66"/>
      <c r="P127" s="64"/>
      <c r="Q127" s="66"/>
      <c r="R127" s="64"/>
      <c r="S127" s="66"/>
      <c r="T127" s="64"/>
      <c r="U127" s="66"/>
      <c r="V127" s="78"/>
      <c r="W127" s="66"/>
      <c r="X127" s="75"/>
      <c r="Y127" s="61"/>
      <c r="Z127" s="71"/>
      <c r="AA127" s="72"/>
      <c r="AB127" s="72"/>
      <c r="AC127" s="73"/>
      <c r="AD127" s="73"/>
      <c r="AE127" s="73"/>
      <c r="AF127" s="73"/>
      <c r="AG127" s="73"/>
      <c r="AH127" s="73"/>
    </row>
    <row r="128" ht="15.0" customHeight="1">
      <c r="A128" s="51"/>
      <c r="B128" s="62" t="s">
        <v>116</v>
      </c>
      <c r="C128" s="53"/>
      <c r="D128" s="74"/>
      <c r="E128" s="58"/>
      <c r="F128" s="63"/>
      <c r="G128" s="58"/>
      <c r="H128" s="64"/>
      <c r="I128" s="66"/>
      <c r="J128" s="64"/>
      <c r="K128" s="66"/>
      <c r="L128" s="64"/>
      <c r="M128" s="66"/>
      <c r="N128" s="64"/>
      <c r="O128" s="66"/>
      <c r="P128" s="64"/>
      <c r="Q128" s="66"/>
      <c r="R128" s="64"/>
      <c r="S128" s="66"/>
      <c r="T128" s="64"/>
      <c r="U128" s="66"/>
      <c r="V128" s="78"/>
      <c r="W128" s="66"/>
      <c r="X128" s="75"/>
      <c r="Y128" s="61"/>
      <c r="Z128" s="71"/>
      <c r="AA128" s="72"/>
      <c r="AB128" s="72"/>
      <c r="AC128" s="73"/>
      <c r="AD128" s="73"/>
      <c r="AE128" s="73"/>
      <c r="AF128" s="73"/>
      <c r="AG128" s="73"/>
      <c r="AH128" s="73"/>
    </row>
    <row r="129" ht="15.0" customHeight="1">
      <c r="A129" s="51"/>
      <c r="B129" s="62" t="s">
        <v>117</v>
      </c>
      <c r="C129" s="53"/>
      <c r="D129" s="74"/>
      <c r="E129" s="58"/>
      <c r="F129" s="63"/>
      <c r="G129" s="58"/>
      <c r="H129" s="64"/>
      <c r="I129" s="66"/>
      <c r="J129" s="64"/>
      <c r="K129" s="66"/>
      <c r="L129" s="64"/>
      <c r="M129" s="66"/>
      <c r="N129" s="64"/>
      <c r="O129" s="66"/>
      <c r="P129" s="64"/>
      <c r="Q129" s="66"/>
      <c r="R129" s="64"/>
      <c r="S129" s="66"/>
      <c r="T129" s="64"/>
      <c r="U129" s="66"/>
      <c r="V129" s="78"/>
      <c r="W129" s="66"/>
      <c r="X129" s="75"/>
      <c r="Y129" s="61"/>
      <c r="Z129" s="71"/>
      <c r="AA129" s="72"/>
      <c r="AB129" s="72"/>
      <c r="AC129" s="73"/>
      <c r="AD129" s="73"/>
      <c r="AE129" s="73"/>
      <c r="AF129" s="73"/>
      <c r="AG129" s="73"/>
      <c r="AH129" s="73"/>
    </row>
    <row r="130" ht="30.0" customHeight="1">
      <c r="A130" s="40" t="s">
        <v>118</v>
      </c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2"/>
      <c r="Z130" s="71"/>
      <c r="AA130" s="72"/>
      <c r="AB130" s="72"/>
      <c r="AC130" s="73"/>
      <c r="AD130" s="73"/>
      <c r="AE130" s="73"/>
      <c r="AF130" s="73"/>
      <c r="AG130" s="73"/>
      <c r="AH130" s="73"/>
    </row>
    <row r="131" ht="13.5" customHeight="1">
      <c r="A131" s="43">
        <v>26.0</v>
      </c>
      <c r="B131" s="44" t="s">
        <v>119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6"/>
      <c r="Z131" s="71"/>
      <c r="AA131" s="72"/>
      <c r="AB131" s="72"/>
      <c r="AC131" s="73"/>
      <c r="AD131" s="73"/>
      <c r="AE131" s="73"/>
      <c r="AF131" s="73"/>
      <c r="AG131" s="73"/>
      <c r="AH131" s="73"/>
    </row>
    <row r="132" ht="16.5" customHeight="1">
      <c r="A132" s="47"/>
      <c r="B132" s="48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50"/>
      <c r="Z132" s="71"/>
      <c r="AA132" s="72"/>
      <c r="AB132" s="72"/>
      <c r="AC132" s="73"/>
      <c r="AD132" s="73"/>
      <c r="AE132" s="73"/>
      <c r="AF132" s="73"/>
      <c r="AG132" s="73"/>
      <c r="AH132" s="73"/>
    </row>
    <row r="133" ht="16.5" customHeight="1">
      <c r="A133" s="79"/>
      <c r="B133" s="52" t="s">
        <v>120</v>
      </c>
      <c r="C133" s="53"/>
      <c r="D133" s="54"/>
      <c r="E133" s="88"/>
      <c r="F133" s="54"/>
      <c r="G133" s="88"/>
      <c r="H133" s="54"/>
      <c r="I133" s="88"/>
      <c r="J133" s="54"/>
      <c r="K133" s="88"/>
      <c r="L133" s="76"/>
      <c r="M133" s="55"/>
      <c r="N133" s="76"/>
      <c r="O133" s="55"/>
      <c r="P133" s="76"/>
      <c r="Q133" s="55"/>
      <c r="R133" s="76"/>
      <c r="S133" s="55"/>
      <c r="T133" s="76"/>
      <c r="U133" s="55"/>
      <c r="V133" s="54"/>
      <c r="W133" s="55"/>
      <c r="X133" s="77"/>
      <c r="Y133" s="61"/>
      <c r="Z133" s="71"/>
      <c r="AA133" s="72"/>
      <c r="AB133" s="72"/>
      <c r="AC133" s="73"/>
      <c r="AD133" s="73"/>
      <c r="AE133" s="73"/>
      <c r="AF133" s="73"/>
      <c r="AG133" s="73"/>
      <c r="AH133" s="73"/>
    </row>
    <row r="134" ht="16.5" customHeight="1">
      <c r="A134" s="51"/>
      <c r="B134" s="62" t="s">
        <v>121</v>
      </c>
      <c r="C134" s="53"/>
      <c r="D134" s="74"/>
      <c r="E134" s="69"/>
      <c r="F134" s="74"/>
      <c r="G134" s="69"/>
      <c r="H134" s="74"/>
      <c r="I134" s="69"/>
      <c r="J134" s="74"/>
      <c r="K134" s="69"/>
      <c r="L134" s="76"/>
      <c r="M134" s="55"/>
      <c r="N134" s="76"/>
      <c r="O134" s="55"/>
      <c r="P134" s="76"/>
      <c r="Q134" s="55"/>
      <c r="R134" s="76"/>
      <c r="S134" s="55"/>
      <c r="T134" s="76"/>
      <c r="U134" s="55"/>
      <c r="V134" s="54"/>
      <c r="W134" s="55"/>
      <c r="X134" s="77"/>
      <c r="Y134" s="61"/>
      <c r="Z134" s="71"/>
      <c r="AA134" s="72"/>
      <c r="AB134" s="72"/>
      <c r="AC134" s="73"/>
      <c r="AD134" s="73"/>
      <c r="AE134" s="73"/>
      <c r="AF134" s="73"/>
      <c r="AG134" s="73"/>
      <c r="AH134" s="73"/>
    </row>
    <row r="135" ht="16.5" customHeight="1">
      <c r="A135" s="51"/>
      <c r="B135" s="62" t="s">
        <v>122</v>
      </c>
      <c r="C135" s="53"/>
      <c r="D135" s="74"/>
      <c r="E135" s="69"/>
      <c r="F135" s="74"/>
      <c r="G135" s="69"/>
      <c r="H135" s="74"/>
      <c r="I135" s="69"/>
      <c r="J135" s="74"/>
      <c r="K135" s="69"/>
      <c r="L135" s="76"/>
      <c r="M135" s="55"/>
      <c r="N135" s="76"/>
      <c r="O135" s="55"/>
      <c r="P135" s="76"/>
      <c r="Q135" s="55"/>
      <c r="R135" s="76"/>
      <c r="S135" s="55"/>
      <c r="T135" s="76"/>
      <c r="U135" s="55"/>
      <c r="V135" s="54"/>
      <c r="W135" s="55"/>
      <c r="X135" s="77"/>
      <c r="Y135" s="61"/>
      <c r="Z135" s="71"/>
      <c r="AA135" s="72"/>
      <c r="AB135" s="72"/>
      <c r="AC135" s="73"/>
      <c r="AD135" s="73"/>
      <c r="AE135" s="73"/>
      <c r="AF135" s="73"/>
      <c r="AG135" s="73"/>
      <c r="AH135" s="73"/>
    </row>
    <row r="136" ht="15.75" customHeight="1">
      <c r="A136" s="51"/>
      <c r="B136" s="62" t="s">
        <v>123</v>
      </c>
      <c r="C136" s="53"/>
      <c r="D136" s="74"/>
      <c r="E136" s="69"/>
      <c r="F136" s="74"/>
      <c r="G136" s="69"/>
      <c r="H136" s="74"/>
      <c r="I136" s="69"/>
      <c r="J136" s="74"/>
      <c r="K136" s="69"/>
      <c r="L136" s="76"/>
      <c r="M136" s="55"/>
      <c r="N136" s="76"/>
      <c r="O136" s="55"/>
      <c r="P136" s="76"/>
      <c r="Q136" s="55"/>
      <c r="R136" s="76"/>
      <c r="S136" s="55"/>
      <c r="T136" s="76"/>
      <c r="U136" s="55"/>
      <c r="V136" s="54"/>
      <c r="W136" s="55"/>
      <c r="X136" s="77"/>
      <c r="Y136" s="61"/>
      <c r="Z136" s="71"/>
      <c r="AA136" s="72"/>
      <c r="AB136" s="72"/>
      <c r="AC136" s="73"/>
      <c r="AD136" s="73"/>
      <c r="AE136" s="73"/>
      <c r="AF136" s="73"/>
      <c r="AG136" s="73"/>
      <c r="AH136" s="73"/>
    </row>
    <row r="137" ht="13.5" customHeight="1">
      <c r="A137" s="43">
        <v>27.0</v>
      </c>
      <c r="B137" s="44" t="s">
        <v>124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6"/>
      <c r="Z137" s="71"/>
      <c r="AA137" s="72"/>
      <c r="AB137" s="72"/>
      <c r="AC137" s="73"/>
      <c r="AD137" s="73"/>
      <c r="AE137" s="73"/>
      <c r="AF137" s="73"/>
      <c r="AG137" s="73"/>
      <c r="AH137" s="73"/>
    </row>
    <row r="138" ht="18.75" customHeight="1">
      <c r="A138" s="47"/>
      <c r="B138" s="48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50"/>
      <c r="Z138" s="71"/>
      <c r="AA138" s="72"/>
      <c r="AB138" s="72"/>
      <c r="AC138" s="73"/>
      <c r="AD138" s="73"/>
      <c r="AE138" s="73"/>
      <c r="AF138" s="73"/>
      <c r="AG138" s="73"/>
      <c r="AH138" s="73"/>
    </row>
    <row r="139" ht="16.5" customHeight="1">
      <c r="A139" s="79"/>
      <c r="B139" s="52" t="s">
        <v>125</v>
      </c>
      <c r="C139" s="53"/>
      <c r="D139" s="54"/>
      <c r="E139" s="55"/>
      <c r="F139" s="54"/>
      <c r="G139" s="55"/>
      <c r="H139" s="54"/>
      <c r="I139" s="88"/>
      <c r="J139" s="54"/>
      <c r="K139" s="57"/>
      <c r="L139" s="76"/>
      <c r="M139" s="55"/>
      <c r="N139" s="76"/>
      <c r="O139" s="55"/>
      <c r="P139" s="76"/>
      <c r="Q139" s="55"/>
      <c r="R139" s="76"/>
      <c r="S139" s="55"/>
      <c r="T139" s="76"/>
      <c r="U139" s="55"/>
      <c r="V139" s="54"/>
      <c r="W139" s="55"/>
      <c r="X139" s="77"/>
      <c r="Y139" s="61"/>
      <c r="Z139" s="71"/>
      <c r="AA139" s="72"/>
      <c r="AB139" s="72"/>
      <c r="AC139" s="73"/>
      <c r="AD139" s="73"/>
      <c r="AE139" s="73"/>
      <c r="AF139" s="73"/>
      <c r="AG139" s="73"/>
      <c r="AH139" s="73"/>
    </row>
    <row r="140" ht="16.5" customHeight="1">
      <c r="A140" s="51"/>
      <c r="B140" s="62" t="s">
        <v>126</v>
      </c>
      <c r="C140" s="53"/>
      <c r="D140" s="74"/>
      <c r="E140" s="69"/>
      <c r="F140" s="63"/>
      <c r="G140" s="58"/>
      <c r="H140" s="74"/>
      <c r="I140" s="86"/>
      <c r="J140" s="74"/>
      <c r="K140" s="69"/>
      <c r="L140" s="64"/>
      <c r="M140" s="66"/>
      <c r="N140" s="64"/>
      <c r="O140" s="66"/>
      <c r="P140" s="64"/>
      <c r="Q140" s="66"/>
      <c r="R140" s="64"/>
      <c r="S140" s="66"/>
      <c r="T140" s="64"/>
      <c r="U140" s="66"/>
      <c r="V140" s="78"/>
      <c r="W140" s="66"/>
      <c r="X140" s="75"/>
      <c r="Y140" s="61"/>
      <c r="Z140" s="71"/>
      <c r="AA140" s="72"/>
      <c r="AB140" s="72"/>
      <c r="AC140" s="73"/>
      <c r="AD140" s="73"/>
      <c r="AE140" s="73"/>
      <c r="AF140" s="73"/>
      <c r="AG140" s="73"/>
      <c r="AH140" s="73"/>
    </row>
    <row r="141" ht="16.5" customHeight="1">
      <c r="A141" s="51"/>
      <c r="B141" s="62" t="s">
        <v>127</v>
      </c>
      <c r="C141" s="53"/>
      <c r="D141" s="74"/>
      <c r="E141" s="69"/>
      <c r="F141" s="63"/>
      <c r="G141" s="58"/>
      <c r="H141" s="74"/>
      <c r="I141" s="86"/>
      <c r="J141" s="74"/>
      <c r="K141" s="69"/>
      <c r="L141" s="64"/>
      <c r="M141" s="66"/>
      <c r="N141" s="64"/>
      <c r="O141" s="66"/>
      <c r="P141" s="64"/>
      <c r="Q141" s="66"/>
      <c r="R141" s="64"/>
      <c r="S141" s="66"/>
      <c r="T141" s="64"/>
      <c r="U141" s="66"/>
      <c r="V141" s="78"/>
      <c r="W141" s="66"/>
      <c r="X141" s="75"/>
      <c r="Y141" s="61"/>
      <c r="Z141" s="71"/>
      <c r="AA141" s="72"/>
      <c r="AB141" s="72"/>
      <c r="AC141" s="73"/>
      <c r="AD141" s="73"/>
      <c r="AE141" s="73"/>
      <c r="AF141" s="73"/>
      <c r="AG141" s="73"/>
      <c r="AH141" s="73"/>
    </row>
    <row r="142" ht="15.75" customHeight="1">
      <c r="A142" s="51"/>
      <c r="B142" s="62" t="s">
        <v>128</v>
      </c>
      <c r="C142" s="53"/>
      <c r="D142" s="63"/>
      <c r="E142" s="58"/>
      <c r="F142" s="63"/>
      <c r="G142" s="58"/>
      <c r="H142" s="74"/>
      <c r="I142" s="69"/>
      <c r="J142" s="74"/>
      <c r="K142" s="69"/>
      <c r="L142" s="64"/>
      <c r="M142" s="66"/>
      <c r="N142" s="64"/>
      <c r="O142" s="66"/>
      <c r="P142" s="64"/>
      <c r="Q142" s="66"/>
      <c r="R142" s="64"/>
      <c r="S142" s="66"/>
      <c r="T142" s="64"/>
      <c r="U142" s="66"/>
      <c r="V142" s="64"/>
      <c r="W142" s="66"/>
      <c r="X142" s="84"/>
      <c r="Y142" s="85"/>
      <c r="Z142" s="71"/>
      <c r="AA142" s="72"/>
      <c r="AB142" s="72"/>
      <c r="AC142" s="73"/>
      <c r="AD142" s="73"/>
      <c r="AE142" s="73"/>
      <c r="AF142" s="73"/>
      <c r="AG142" s="73"/>
      <c r="AH142" s="73"/>
    </row>
    <row r="143" ht="21.75" customHeight="1">
      <c r="A143" s="89" t="s">
        <v>129</v>
      </c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2"/>
      <c r="Z143" s="71"/>
      <c r="AA143" s="72"/>
      <c r="AB143" s="72"/>
      <c r="AC143" s="73"/>
      <c r="AD143" s="73"/>
      <c r="AE143" s="73"/>
      <c r="AF143" s="73"/>
      <c r="AG143" s="73"/>
      <c r="AH143" s="73"/>
    </row>
    <row r="144" ht="18.0" customHeight="1">
      <c r="A144" s="90" t="s">
        <v>19</v>
      </c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2"/>
      <c r="Z144" s="71"/>
      <c r="AA144" s="72"/>
      <c r="AB144" s="72"/>
      <c r="AC144" s="73"/>
      <c r="AD144" s="73"/>
      <c r="AE144" s="73"/>
      <c r="AF144" s="73"/>
      <c r="AG144" s="73"/>
      <c r="AH144" s="73"/>
    </row>
    <row r="145" ht="6.75" customHeight="1">
      <c r="A145" s="43">
        <v>1.0</v>
      </c>
      <c r="B145" s="44" t="s">
        <v>130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6"/>
      <c r="Z145" s="71"/>
      <c r="AA145" s="72"/>
      <c r="AB145" s="72"/>
      <c r="AC145" s="73"/>
      <c r="AD145" s="73"/>
      <c r="AE145" s="73"/>
      <c r="AF145" s="73"/>
      <c r="AG145" s="73"/>
      <c r="AH145" s="73"/>
    </row>
    <row r="146" ht="15.0" customHeight="1">
      <c r="A146" s="47"/>
      <c r="B146" s="48"/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50"/>
      <c r="Z146" s="71"/>
      <c r="AA146" s="72"/>
      <c r="AB146" s="72"/>
      <c r="AC146" s="73"/>
      <c r="AD146" s="73"/>
      <c r="AE146" s="73"/>
      <c r="AF146" s="73"/>
      <c r="AG146" s="73"/>
      <c r="AH146" s="73"/>
    </row>
    <row r="147" ht="15.0" customHeight="1">
      <c r="A147" s="79"/>
      <c r="B147" s="91" t="s">
        <v>131</v>
      </c>
      <c r="C147" s="53"/>
      <c r="D147" s="54"/>
      <c r="E147" s="55"/>
      <c r="F147" s="54"/>
      <c r="G147" s="55"/>
      <c r="H147" s="54"/>
      <c r="I147" s="55"/>
      <c r="J147" s="63"/>
      <c r="K147" s="55"/>
      <c r="L147" s="54"/>
      <c r="M147" s="55"/>
      <c r="N147" s="54"/>
      <c r="O147" s="55"/>
      <c r="P147" s="76"/>
      <c r="Q147" s="55"/>
      <c r="R147" s="76"/>
      <c r="S147" s="55"/>
      <c r="T147" s="76"/>
      <c r="U147" s="55"/>
      <c r="V147" s="54"/>
      <c r="W147" s="55"/>
      <c r="X147" s="77"/>
      <c r="Y147" s="61"/>
      <c r="Z147" s="71"/>
      <c r="AA147" s="72"/>
      <c r="AB147" s="72"/>
      <c r="AC147" s="73"/>
      <c r="AD147" s="73"/>
      <c r="AE147" s="73"/>
      <c r="AF147" s="73"/>
      <c r="AG147" s="73"/>
      <c r="AH147" s="73"/>
    </row>
    <row r="148" ht="18.0" customHeight="1">
      <c r="A148" s="79"/>
      <c r="B148" s="52" t="s">
        <v>132</v>
      </c>
      <c r="C148" s="53"/>
      <c r="D148" s="54"/>
      <c r="E148" s="55"/>
      <c r="F148" s="54"/>
      <c r="G148" s="55"/>
      <c r="H148" s="54"/>
      <c r="I148" s="54"/>
      <c r="J148" s="54"/>
      <c r="K148" s="54"/>
      <c r="L148" s="54"/>
      <c r="M148" s="58"/>
      <c r="N148" s="76"/>
      <c r="O148" s="55"/>
      <c r="P148" s="76"/>
      <c r="Q148" s="55"/>
      <c r="R148" s="76"/>
      <c r="S148" s="55"/>
      <c r="T148" s="76"/>
      <c r="U148" s="55"/>
      <c r="V148" s="54"/>
      <c r="W148" s="55"/>
      <c r="X148" s="77"/>
      <c r="Y148" s="61"/>
      <c r="Z148" s="71"/>
      <c r="AA148" s="72"/>
      <c r="AB148" s="72"/>
      <c r="AC148" s="73"/>
      <c r="AD148" s="73"/>
      <c r="AE148" s="73"/>
      <c r="AF148" s="73"/>
      <c r="AG148" s="73"/>
      <c r="AH148" s="73"/>
    </row>
    <row r="149" ht="15.75" customHeight="1">
      <c r="A149" s="51"/>
      <c r="B149" s="62" t="s">
        <v>133</v>
      </c>
      <c r="C149" s="53"/>
      <c r="D149" s="63"/>
      <c r="E149" s="58"/>
      <c r="F149" s="63"/>
      <c r="G149" s="58"/>
      <c r="H149" s="63"/>
      <c r="I149" s="58"/>
      <c r="J149" s="63"/>
      <c r="K149" s="58"/>
      <c r="L149" s="63"/>
      <c r="M149" s="58"/>
      <c r="N149" s="64"/>
      <c r="O149" s="66"/>
      <c r="P149" s="64"/>
      <c r="Q149" s="66"/>
      <c r="R149" s="64"/>
      <c r="S149" s="66"/>
      <c r="T149" s="64"/>
      <c r="U149" s="66"/>
      <c r="V149" s="64"/>
      <c r="W149" s="66"/>
      <c r="X149" s="84"/>
      <c r="Y149" s="85"/>
      <c r="Z149" s="71"/>
      <c r="AA149" s="72"/>
      <c r="AB149" s="72"/>
      <c r="AC149" s="73"/>
      <c r="AD149" s="73"/>
      <c r="AE149" s="73"/>
      <c r="AF149" s="73"/>
      <c r="AG149" s="73"/>
      <c r="AH149" s="73"/>
    </row>
    <row r="150" ht="15.75" customHeight="1">
      <c r="A150" s="51"/>
      <c r="B150" s="62" t="s">
        <v>134</v>
      </c>
      <c r="C150" s="53"/>
      <c r="D150" s="63"/>
      <c r="E150" s="58"/>
      <c r="F150" s="63"/>
      <c r="G150" s="58"/>
      <c r="H150" s="63"/>
      <c r="I150" s="58"/>
      <c r="J150" s="63"/>
      <c r="K150" s="58"/>
      <c r="L150" s="63"/>
      <c r="M150" s="58"/>
      <c r="N150" s="64"/>
      <c r="O150" s="66"/>
      <c r="P150" s="64"/>
      <c r="Q150" s="66"/>
      <c r="R150" s="64"/>
      <c r="S150" s="66"/>
      <c r="T150" s="64"/>
      <c r="U150" s="66"/>
      <c r="V150" s="64"/>
      <c r="W150" s="66"/>
      <c r="X150" s="75"/>
      <c r="Y150" s="61"/>
      <c r="Z150" s="71"/>
      <c r="AA150" s="72"/>
      <c r="AB150" s="72"/>
      <c r="AC150" s="73"/>
      <c r="AD150" s="73"/>
      <c r="AE150" s="73"/>
      <c r="AF150" s="73"/>
      <c r="AG150" s="73"/>
      <c r="AH150" s="73"/>
    </row>
    <row r="151" ht="15.0" customHeight="1">
      <c r="A151" s="51"/>
      <c r="B151" s="62" t="s">
        <v>135</v>
      </c>
      <c r="C151" s="53"/>
      <c r="D151" s="63"/>
      <c r="E151" s="58"/>
      <c r="F151" s="63"/>
      <c r="G151" s="58"/>
      <c r="H151" s="63"/>
      <c r="I151" s="58"/>
      <c r="J151" s="63"/>
      <c r="K151" s="58"/>
      <c r="L151" s="63"/>
      <c r="M151" s="58"/>
      <c r="N151" s="64"/>
      <c r="O151" s="66"/>
      <c r="P151" s="64"/>
      <c r="Q151" s="66"/>
      <c r="R151" s="64"/>
      <c r="S151" s="66"/>
      <c r="T151" s="64"/>
      <c r="U151" s="66"/>
      <c r="V151" s="64"/>
      <c r="W151" s="66"/>
      <c r="X151" s="84"/>
      <c r="Y151" s="85"/>
      <c r="Z151" s="71"/>
      <c r="AA151" s="72"/>
      <c r="AB151" s="72"/>
      <c r="AC151" s="73"/>
      <c r="AD151" s="73"/>
      <c r="AE151" s="73"/>
      <c r="AF151" s="73"/>
      <c r="AG151" s="73"/>
      <c r="AH151" s="73"/>
    </row>
    <row r="152" ht="13.5" customHeight="1">
      <c r="A152" s="43">
        <v>3.0</v>
      </c>
      <c r="B152" s="44" t="s">
        <v>136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6"/>
      <c r="Z152" s="71"/>
      <c r="AA152" s="72"/>
      <c r="AB152" s="72"/>
      <c r="AC152" s="73"/>
      <c r="AD152" s="73"/>
      <c r="AE152" s="73"/>
      <c r="AF152" s="73"/>
      <c r="AG152" s="73"/>
      <c r="AH152" s="73"/>
    </row>
    <row r="153" ht="18.0" customHeight="1">
      <c r="A153" s="47"/>
      <c r="B153" s="48"/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50"/>
      <c r="Z153" s="71"/>
      <c r="AA153" s="72"/>
      <c r="AB153" s="72"/>
      <c r="AC153" s="73"/>
      <c r="AD153" s="73"/>
      <c r="AE153" s="73"/>
      <c r="AF153" s="73"/>
      <c r="AG153" s="73"/>
      <c r="AH153" s="73"/>
    </row>
    <row r="154" ht="18.0" customHeight="1">
      <c r="A154" s="92"/>
      <c r="B154" s="52" t="s">
        <v>137</v>
      </c>
      <c r="C154" s="53"/>
      <c r="D154" s="54"/>
      <c r="E154" s="58"/>
      <c r="F154" s="54"/>
      <c r="G154" s="58"/>
      <c r="H154" s="54"/>
      <c r="I154" s="58"/>
      <c r="J154" s="54"/>
      <c r="K154" s="58"/>
      <c r="L154" s="54"/>
      <c r="M154" s="58"/>
      <c r="N154" s="54"/>
      <c r="O154" s="58"/>
      <c r="P154" s="64"/>
      <c r="Q154" s="66"/>
      <c r="R154" s="64"/>
      <c r="S154" s="66"/>
      <c r="T154" s="64"/>
      <c r="U154" s="66"/>
      <c r="V154" s="64"/>
      <c r="W154" s="66"/>
      <c r="X154" s="84"/>
      <c r="Y154" s="85"/>
      <c r="Z154" s="71"/>
      <c r="AA154" s="72"/>
      <c r="AB154" s="72"/>
      <c r="AC154" s="73"/>
      <c r="AD154" s="73"/>
      <c r="AE154" s="73"/>
      <c r="AF154" s="73"/>
      <c r="AG154" s="73"/>
      <c r="AH154" s="73"/>
    </row>
    <row r="155" ht="18.0" customHeight="1">
      <c r="A155" s="92"/>
      <c r="B155" s="62" t="s">
        <v>138</v>
      </c>
      <c r="C155" s="53"/>
      <c r="D155" s="63"/>
      <c r="E155" s="58"/>
      <c r="F155" s="63"/>
      <c r="G155" s="58"/>
      <c r="H155" s="63"/>
      <c r="I155" s="58"/>
      <c r="J155" s="63"/>
      <c r="K155" s="58"/>
      <c r="L155" s="63"/>
      <c r="M155" s="58"/>
      <c r="N155" s="63"/>
      <c r="O155" s="58"/>
      <c r="P155" s="64"/>
      <c r="Q155" s="66"/>
      <c r="R155" s="64"/>
      <c r="S155" s="66"/>
      <c r="T155" s="64"/>
      <c r="U155" s="66"/>
      <c r="V155" s="64"/>
      <c r="W155" s="66"/>
      <c r="X155" s="84"/>
      <c r="Y155" s="85"/>
      <c r="Z155" s="71"/>
      <c r="AA155" s="72"/>
      <c r="AB155" s="72"/>
      <c r="AC155" s="73"/>
      <c r="AD155" s="73"/>
      <c r="AE155" s="73"/>
      <c r="AF155" s="73"/>
      <c r="AG155" s="73"/>
      <c r="AH155" s="73"/>
    </row>
    <row r="156" ht="18.0" customHeight="1">
      <c r="A156" s="92"/>
      <c r="B156" s="62" t="s">
        <v>139</v>
      </c>
      <c r="C156" s="53"/>
      <c r="D156" s="63"/>
      <c r="E156" s="58"/>
      <c r="F156" s="63"/>
      <c r="G156" s="58"/>
      <c r="H156" s="63"/>
      <c r="I156" s="58"/>
      <c r="J156" s="63"/>
      <c r="K156" s="58"/>
      <c r="L156" s="63"/>
      <c r="M156" s="58"/>
      <c r="N156" s="63"/>
      <c r="O156" s="58"/>
      <c r="P156" s="64"/>
      <c r="Q156" s="66"/>
      <c r="R156" s="64"/>
      <c r="S156" s="66"/>
      <c r="T156" s="64"/>
      <c r="U156" s="66"/>
      <c r="V156" s="64"/>
      <c r="W156" s="66"/>
      <c r="X156" s="84"/>
      <c r="Y156" s="85"/>
      <c r="Z156" s="71"/>
      <c r="AA156" s="72"/>
      <c r="AB156" s="72"/>
      <c r="AC156" s="73"/>
      <c r="AD156" s="73"/>
      <c r="AE156" s="73"/>
      <c r="AF156" s="73"/>
      <c r="AG156" s="73"/>
      <c r="AH156" s="73"/>
    </row>
    <row r="157" ht="15.75" customHeight="1">
      <c r="A157" s="51"/>
      <c r="B157" s="62" t="s">
        <v>140</v>
      </c>
      <c r="C157" s="53"/>
      <c r="D157" s="63"/>
      <c r="E157" s="58"/>
      <c r="F157" s="63"/>
      <c r="G157" s="58"/>
      <c r="H157" s="63"/>
      <c r="I157" s="58"/>
      <c r="J157" s="63"/>
      <c r="K157" s="58"/>
      <c r="L157" s="63"/>
      <c r="M157" s="58"/>
      <c r="N157" s="63"/>
      <c r="O157" s="58"/>
      <c r="P157" s="64"/>
      <c r="Q157" s="66"/>
      <c r="R157" s="64"/>
      <c r="S157" s="66"/>
      <c r="T157" s="64"/>
      <c r="U157" s="66"/>
      <c r="V157" s="64"/>
      <c r="W157" s="66"/>
      <c r="X157" s="84"/>
      <c r="Y157" s="85"/>
      <c r="Z157" s="71"/>
      <c r="AA157" s="72"/>
      <c r="AB157" s="72"/>
      <c r="AC157" s="73"/>
      <c r="AD157" s="73"/>
      <c r="AE157" s="73"/>
      <c r="AF157" s="73"/>
      <c r="AG157" s="73"/>
      <c r="AH157" s="73"/>
    </row>
    <row r="158" ht="13.5" customHeight="1">
      <c r="A158" s="43">
        <v>4.0</v>
      </c>
      <c r="B158" s="44" t="s">
        <v>141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6"/>
      <c r="Z158" s="71"/>
      <c r="AA158" s="72"/>
      <c r="AB158" s="72"/>
      <c r="AC158" s="73"/>
      <c r="AD158" s="73"/>
      <c r="AE158" s="73"/>
      <c r="AF158" s="73"/>
      <c r="AG158" s="73"/>
      <c r="AH158" s="73"/>
    </row>
    <row r="159" ht="16.5" customHeight="1">
      <c r="A159" s="47"/>
      <c r="B159" s="48"/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50"/>
      <c r="Z159" s="71"/>
      <c r="AA159" s="72"/>
      <c r="AB159" s="72"/>
      <c r="AC159" s="73"/>
      <c r="AD159" s="73"/>
      <c r="AE159" s="73"/>
      <c r="AF159" s="73"/>
      <c r="AG159" s="73"/>
      <c r="AH159" s="73"/>
    </row>
    <row r="160" ht="15.75" customHeight="1">
      <c r="A160" s="93"/>
      <c r="B160" s="94"/>
      <c r="C160" s="79"/>
      <c r="D160" s="95" t="s">
        <v>142</v>
      </c>
      <c r="E160" s="42"/>
      <c r="F160" s="95" t="s">
        <v>143</v>
      </c>
      <c r="G160" s="42"/>
      <c r="H160" s="95" t="s">
        <v>144</v>
      </c>
      <c r="I160" s="42"/>
      <c r="J160" s="95" t="s">
        <v>145</v>
      </c>
      <c r="K160" s="42"/>
      <c r="L160" s="95" t="s">
        <v>146</v>
      </c>
      <c r="M160" s="42"/>
      <c r="N160" s="95" t="s">
        <v>147</v>
      </c>
      <c r="O160" s="42"/>
      <c r="P160" s="95" t="s">
        <v>148</v>
      </c>
      <c r="Q160" s="42"/>
      <c r="R160" s="95" t="s">
        <v>149</v>
      </c>
      <c r="S160" s="42"/>
      <c r="T160" s="95" t="s">
        <v>150</v>
      </c>
      <c r="U160" s="42"/>
      <c r="V160" s="96"/>
      <c r="W160" s="42"/>
      <c r="X160" s="97"/>
      <c r="Y160" s="98" t="s">
        <v>151</v>
      </c>
      <c r="Z160" s="71"/>
      <c r="AA160" s="72"/>
      <c r="AB160" s="72"/>
      <c r="AC160" s="73"/>
      <c r="AD160" s="73"/>
      <c r="AE160" s="73"/>
      <c r="AF160" s="73"/>
      <c r="AG160" s="73"/>
      <c r="AH160" s="73"/>
    </row>
    <row r="161" ht="15.75" customHeight="1">
      <c r="A161" s="99"/>
      <c r="B161" s="100" t="s">
        <v>152</v>
      </c>
      <c r="C161" s="99"/>
      <c r="D161" s="101"/>
      <c r="E161" s="102"/>
      <c r="F161" s="54"/>
      <c r="G161" s="102"/>
      <c r="H161" s="54"/>
      <c r="I161" s="102"/>
      <c r="J161" s="54"/>
      <c r="K161" s="102"/>
      <c r="L161" s="54"/>
      <c r="M161" s="102"/>
      <c r="N161" s="54"/>
      <c r="O161" s="102"/>
      <c r="P161" s="54"/>
      <c r="Q161" s="102"/>
      <c r="R161" s="54"/>
      <c r="S161" s="102"/>
      <c r="T161" s="54"/>
      <c r="U161" s="102"/>
      <c r="V161" s="101"/>
      <c r="W161" s="103"/>
      <c r="X161" s="77"/>
      <c r="Y161" s="104" t="s">
        <v>153</v>
      </c>
      <c r="Z161" s="71"/>
      <c r="AA161" s="72"/>
      <c r="AB161" s="72"/>
      <c r="AC161" s="73"/>
      <c r="AD161" s="73"/>
      <c r="AE161" s="73"/>
      <c r="AF161" s="73"/>
      <c r="AG161" s="73"/>
      <c r="AH161" s="73"/>
    </row>
    <row r="162" ht="15.75" customHeight="1">
      <c r="A162" s="47"/>
      <c r="B162" s="47"/>
      <c r="C162" s="47"/>
      <c r="D162" s="101"/>
      <c r="E162" s="105"/>
      <c r="F162" s="54"/>
      <c r="G162" s="105"/>
      <c r="H162" s="54"/>
      <c r="I162" s="105"/>
      <c r="J162" s="54"/>
      <c r="K162" s="105"/>
      <c r="L162" s="54"/>
      <c r="M162" s="105"/>
      <c r="N162" s="54"/>
      <c r="O162" s="105"/>
      <c r="P162" s="54"/>
      <c r="Q162" s="105"/>
      <c r="R162" s="54"/>
      <c r="S162" s="105"/>
      <c r="T162" s="54"/>
      <c r="U162" s="105"/>
      <c r="V162" s="64"/>
      <c r="W162" s="105"/>
      <c r="X162" s="106"/>
      <c r="Y162" s="107" t="s">
        <v>154</v>
      </c>
      <c r="Z162" s="71"/>
      <c r="AA162" s="72"/>
      <c r="AB162" s="72"/>
      <c r="AC162" s="73"/>
      <c r="AD162" s="73"/>
      <c r="AE162" s="73"/>
      <c r="AF162" s="73"/>
      <c r="AG162" s="73"/>
      <c r="AH162" s="73"/>
    </row>
    <row r="163" ht="15.75" customHeight="1">
      <c r="A163" s="99"/>
      <c r="B163" s="100" t="s">
        <v>155</v>
      </c>
      <c r="C163" s="99"/>
      <c r="D163" s="108"/>
      <c r="E163" s="105"/>
      <c r="F163" s="108"/>
      <c r="G163" s="105"/>
      <c r="H163" s="108"/>
      <c r="I163" s="105"/>
      <c r="J163" s="101"/>
      <c r="K163" s="102"/>
      <c r="L163" s="101"/>
      <c r="M163" s="102"/>
      <c r="N163" s="101"/>
      <c r="O163" s="102"/>
      <c r="P163" s="101"/>
      <c r="Q163" s="102"/>
      <c r="R163" s="101"/>
      <c r="S163" s="102"/>
      <c r="T163" s="101"/>
      <c r="U163" s="102"/>
      <c r="V163" s="101"/>
      <c r="W163" s="103"/>
      <c r="X163" s="77"/>
      <c r="Y163" s="104" t="s">
        <v>153</v>
      </c>
      <c r="Z163" s="71"/>
      <c r="AA163" s="72"/>
      <c r="AB163" s="72"/>
      <c r="AC163" s="73"/>
      <c r="AD163" s="73"/>
      <c r="AE163" s="73"/>
      <c r="AF163" s="73"/>
      <c r="AG163" s="73"/>
      <c r="AH163" s="73"/>
    </row>
    <row r="164" ht="15.75" customHeight="1">
      <c r="A164" s="47"/>
      <c r="B164" s="47"/>
      <c r="C164" s="47"/>
      <c r="D164" s="108"/>
      <c r="E164" s="105"/>
      <c r="F164" s="108"/>
      <c r="G164" s="105"/>
      <c r="H164" s="108"/>
      <c r="I164" s="105"/>
      <c r="J164" s="63"/>
      <c r="K164" s="105"/>
      <c r="L164" s="63"/>
      <c r="M164" s="105"/>
      <c r="N164" s="63"/>
      <c r="O164" s="105"/>
      <c r="P164" s="63"/>
      <c r="Q164" s="105"/>
      <c r="R164" s="63"/>
      <c r="S164" s="105"/>
      <c r="T164" s="63"/>
      <c r="U164" s="105"/>
      <c r="V164" s="64"/>
      <c r="W164" s="105"/>
      <c r="X164" s="106"/>
      <c r="Y164" s="107" t="s">
        <v>154</v>
      </c>
      <c r="Z164" s="71"/>
      <c r="AA164" s="72"/>
      <c r="AB164" s="72"/>
      <c r="AC164" s="73"/>
      <c r="AD164" s="73"/>
      <c r="AE164" s="73"/>
      <c r="AF164" s="73"/>
      <c r="AG164" s="73"/>
      <c r="AH164" s="73"/>
    </row>
    <row r="165" ht="15.75" customHeight="1">
      <c r="A165" s="99"/>
      <c r="B165" s="100" t="s">
        <v>156</v>
      </c>
      <c r="C165" s="99"/>
      <c r="D165" s="108"/>
      <c r="E165" s="102"/>
      <c r="F165" s="101"/>
      <c r="G165" s="102"/>
      <c r="H165" s="101"/>
      <c r="I165" s="102"/>
      <c r="J165" s="101"/>
      <c r="K165" s="102"/>
      <c r="L165" s="101"/>
      <c r="M165" s="102"/>
      <c r="N165" s="101"/>
      <c r="O165" s="102"/>
      <c r="P165" s="101"/>
      <c r="Q165" s="102"/>
      <c r="R165" s="101"/>
      <c r="S165" s="102"/>
      <c r="T165" s="101"/>
      <c r="U165" s="102"/>
      <c r="V165" s="101"/>
      <c r="W165" s="103"/>
      <c r="X165" s="77"/>
      <c r="Y165" s="104" t="s">
        <v>153</v>
      </c>
      <c r="Z165" s="71"/>
      <c r="AA165" s="72"/>
      <c r="AB165" s="72"/>
      <c r="AC165" s="73"/>
      <c r="AD165" s="73"/>
      <c r="AE165" s="73"/>
      <c r="AF165" s="73"/>
      <c r="AG165" s="73"/>
      <c r="AH165" s="73"/>
    </row>
    <row r="166" ht="15.75" customHeight="1">
      <c r="A166" s="47"/>
      <c r="B166" s="47"/>
      <c r="C166" s="47"/>
      <c r="D166" s="108"/>
      <c r="E166" s="105"/>
      <c r="F166" s="63"/>
      <c r="G166" s="105"/>
      <c r="H166" s="63"/>
      <c r="I166" s="105"/>
      <c r="J166" s="63"/>
      <c r="K166" s="105"/>
      <c r="L166" s="63"/>
      <c r="M166" s="105"/>
      <c r="N166" s="63"/>
      <c r="O166" s="105"/>
      <c r="P166" s="63"/>
      <c r="Q166" s="105"/>
      <c r="R166" s="63"/>
      <c r="S166" s="105"/>
      <c r="T166" s="63"/>
      <c r="U166" s="105"/>
      <c r="V166" s="64"/>
      <c r="W166" s="105"/>
      <c r="X166" s="106"/>
      <c r="Y166" s="107" t="s">
        <v>154</v>
      </c>
      <c r="Z166" s="71"/>
      <c r="AA166" s="72"/>
      <c r="AB166" s="72"/>
      <c r="AC166" s="73"/>
      <c r="AD166" s="73"/>
      <c r="AE166" s="73"/>
      <c r="AF166" s="73"/>
      <c r="AG166" s="73"/>
      <c r="AH166" s="73"/>
    </row>
    <row r="167" ht="15.75" customHeight="1">
      <c r="A167" s="99"/>
      <c r="B167" s="100" t="s">
        <v>157</v>
      </c>
      <c r="C167" s="99"/>
      <c r="D167" s="101"/>
      <c r="E167" s="109"/>
      <c r="F167" s="101"/>
      <c r="G167" s="109"/>
      <c r="H167" s="101"/>
      <c r="I167" s="109"/>
      <c r="J167" s="101"/>
      <c r="K167" s="109"/>
      <c r="L167" s="101"/>
      <c r="M167" s="109"/>
      <c r="N167" s="101"/>
      <c r="O167" s="109"/>
      <c r="P167" s="101"/>
      <c r="Q167" s="102"/>
      <c r="R167" s="101"/>
      <c r="S167" s="102"/>
      <c r="T167" s="101"/>
      <c r="U167" s="102"/>
      <c r="V167" s="110"/>
      <c r="W167" s="109"/>
      <c r="X167" s="111"/>
      <c r="Y167" s="104" t="s">
        <v>153</v>
      </c>
      <c r="Z167" s="71"/>
      <c r="AA167" s="72"/>
      <c r="AB167" s="72"/>
      <c r="AC167" s="73"/>
      <c r="AD167" s="73"/>
      <c r="AE167" s="73"/>
      <c r="AF167" s="73"/>
      <c r="AG167" s="73"/>
      <c r="AH167" s="73"/>
    </row>
    <row r="168" ht="15.0" customHeight="1">
      <c r="A168" s="47"/>
      <c r="B168" s="47"/>
      <c r="C168" s="47"/>
      <c r="D168" s="108"/>
      <c r="E168" s="105"/>
      <c r="F168" s="108"/>
      <c r="G168" s="105"/>
      <c r="H168" s="108"/>
      <c r="I168" s="105"/>
      <c r="J168" s="108"/>
      <c r="K168" s="105"/>
      <c r="L168" s="108"/>
      <c r="M168" s="105"/>
      <c r="N168" s="108"/>
      <c r="O168" s="105"/>
      <c r="P168" s="63"/>
      <c r="Q168" s="105"/>
      <c r="R168" s="63"/>
      <c r="S168" s="105"/>
      <c r="T168" s="63"/>
      <c r="U168" s="105"/>
      <c r="V168" s="112"/>
      <c r="W168" s="105"/>
      <c r="X168" s="106"/>
      <c r="Y168" s="107" t="s">
        <v>154</v>
      </c>
      <c r="Z168" s="71"/>
      <c r="AA168" s="72"/>
      <c r="AB168" s="72"/>
      <c r="AC168" s="73"/>
      <c r="AD168" s="73"/>
      <c r="AE168" s="73"/>
      <c r="AF168" s="73"/>
      <c r="AG168" s="73"/>
      <c r="AH168" s="73"/>
    </row>
    <row r="169" ht="26.25" customHeight="1">
      <c r="A169" s="40" t="s">
        <v>54</v>
      </c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2"/>
      <c r="Z169" s="71"/>
      <c r="AA169" s="72"/>
      <c r="AB169" s="72"/>
      <c r="AC169" s="73"/>
      <c r="AD169" s="73"/>
      <c r="AE169" s="73"/>
      <c r="AF169" s="73"/>
      <c r="AG169" s="73"/>
      <c r="AH169" s="73"/>
    </row>
    <row r="170" ht="13.5" customHeight="1">
      <c r="A170" s="43">
        <v>5.0</v>
      </c>
      <c r="B170" s="44" t="s">
        <v>158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6"/>
      <c r="Z170" s="71"/>
      <c r="AA170" s="72"/>
      <c r="AB170" s="72"/>
      <c r="AC170" s="73"/>
      <c r="AD170" s="73"/>
      <c r="AE170" s="73"/>
      <c r="AF170" s="73"/>
      <c r="AG170" s="73"/>
      <c r="AH170" s="73"/>
    </row>
    <row r="171" ht="17.25" customHeight="1">
      <c r="A171" s="47"/>
      <c r="B171" s="48"/>
      <c r="C171" s="49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50"/>
      <c r="Z171" s="71"/>
      <c r="AA171" s="72"/>
      <c r="AB171" s="72"/>
      <c r="AC171" s="73"/>
      <c r="AD171" s="73"/>
      <c r="AE171" s="73"/>
      <c r="AF171" s="73"/>
      <c r="AG171" s="73"/>
      <c r="AH171" s="73"/>
    </row>
    <row r="172" ht="18.0" customHeight="1">
      <c r="A172" s="79"/>
      <c r="B172" s="52" t="s">
        <v>159</v>
      </c>
      <c r="C172" s="53"/>
      <c r="D172" s="54"/>
      <c r="E172" s="55"/>
      <c r="F172" s="54"/>
      <c r="G172" s="55"/>
      <c r="H172" s="54"/>
      <c r="I172" s="56"/>
      <c r="J172" s="76"/>
      <c r="K172" s="76"/>
      <c r="L172" s="76"/>
      <c r="M172" s="76"/>
      <c r="N172" s="76"/>
      <c r="O172" s="76"/>
      <c r="P172" s="76"/>
      <c r="Q172" s="55"/>
      <c r="R172" s="76"/>
      <c r="S172" s="55"/>
      <c r="T172" s="76"/>
      <c r="U172" s="55"/>
      <c r="V172" s="54"/>
      <c r="W172" s="55"/>
      <c r="X172" s="77"/>
      <c r="Y172" s="61"/>
      <c r="Z172" s="71"/>
      <c r="AA172" s="72"/>
      <c r="AB172" s="72"/>
      <c r="AC172" s="73"/>
      <c r="AD172" s="73"/>
      <c r="AE172" s="73"/>
      <c r="AF172" s="73"/>
      <c r="AG172" s="73"/>
      <c r="AH172" s="73"/>
    </row>
    <row r="173" ht="18.0" customHeight="1">
      <c r="A173" s="51"/>
      <c r="B173" s="62" t="s">
        <v>160</v>
      </c>
      <c r="C173" s="53"/>
      <c r="D173" s="74"/>
      <c r="E173" s="69"/>
      <c r="F173" s="74"/>
      <c r="G173" s="69"/>
      <c r="H173" s="74"/>
      <c r="I173" s="69"/>
      <c r="J173" s="76"/>
      <c r="K173" s="76"/>
      <c r="L173" s="76"/>
      <c r="M173" s="76"/>
      <c r="N173" s="76"/>
      <c r="O173" s="76"/>
      <c r="P173" s="64"/>
      <c r="Q173" s="66"/>
      <c r="R173" s="64"/>
      <c r="S173" s="66"/>
      <c r="T173" s="64"/>
      <c r="U173" s="66"/>
      <c r="V173" s="64"/>
      <c r="W173" s="66"/>
      <c r="X173" s="84"/>
      <c r="Y173" s="85"/>
      <c r="Z173" s="71"/>
      <c r="AA173" s="72"/>
      <c r="AB173" s="72"/>
      <c r="AC173" s="73"/>
      <c r="AD173" s="73"/>
      <c r="AE173" s="73"/>
      <c r="AF173" s="73"/>
      <c r="AG173" s="73"/>
      <c r="AH173" s="73"/>
    </row>
    <row r="174" ht="18.75" customHeight="1">
      <c r="A174" s="51"/>
      <c r="B174" s="62" t="s">
        <v>161</v>
      </c>
      <c r="C174" s="53"/>
      <c r="D174" s="63"/>
      <c r="E174" s="58"/>
      <c r="F174" s="63"/>
      <c r="G174" s="58"/>
      <c r="H174" s="63"/>
      <c r="I174" s="58"/>
      <c r="J174" s="76"/>
      <c r="K174" s="76"/>
      <c r="L174" s="76"/>
      <c r="M174" s="76"/>
      <c r="N174" s="76"/>
      <c r="O174" s="76"/>
      <c r="P174" s="64"/>
      <c r="Q174" s="66"/>
      <c r="R174" s="64"/>
      <c r="S174" s="66"/>
      <c r="T174" s="64"/>
      <c r="U174" s="66"/>
      <c r="V174" s="64"/>
      <c r="W174" s="66"/>
      <c r="X174" s="75"/>
      <c r="Y174" s="61"/>
      <c r="Z174" s="71"/>
      <c r="AA174" s="72"/>
      <c r="AB174" s="72"/>
      <c r="AC174" s="73"/>
      <c r="AD174" s="73"/>
      <c r="AE174" s="73"/>
      <c r="AF174" s="73"/>
      <c r="AG174" s="73"/>
      <c r="AH174" s="73"/>
    </row>
    <row r="175" ht="13.5" customHeight="1">
      <c r="A175" s="43">
        <v>6.0</v>
      </c>
      <c r="B175" s="44" t="s">
        <v>162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6"/>
      <c r="Z175" s="71"/>
      <c r="AA175" s="72"/>
      <c r="AB175" s="72"/>
      <c r="AC175" s="73"/>
      <c r="AD175" s="73"/>
      <c r="AE175" s="73"/>
      <c r="AF175" s="73"/>
      <c r="AG175" s="73"/>
      <c r="AH175" s="73"/>
    </row>
    <row r="176" ht="16.5" customHeight="1">
      <c r="A176" s="47"/>
      <c r="B176" s="48"/>
      <c r="C176" s="49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50"/>
      <c r="Z176" s="71"/>
      <c r="AA176" s="72"/>
      <c r="AB176" s="72"/>
      <c r="AC176" s="73"/>
      <c r="AD176" s="73"/>
      <c r="AE176" s="73"/>
      <c r="AF176" s="73"/>
      <c r="AG176" s="73"/>
      <c r="AH176" s="73"/>
    </row>
    <row r="177" ht="15.75" customHeight="1">
      <c r="A177" s="79"/>
      <c r="B177" s="52" t="s">
        <v>163</v>
      </c>
      <c r="C177" s="53"/>
      <c r="D177" s="54"/>
      <c r="E177" s="55"/>
      <c r="F177" s="54"/>
      <c r="G177" s="55"/>
      <c r="H177" s="54"/>
      <c r="I177" s="55"/>
      <c r="J177" s="54"/>
      <c r="K177" s="113"/>
      <c r="L177" s="114"/>
      <c r="M177" s="115"/>
      <c r="N177" s="76"/>
      <c r="O177" s="55"/>
      <c r="P177" s="76"/>
      <c r="Q177" s="55"/>
      <c r="R177" s="76"/>
      <c r="S177" s="55"/>
      <c r="T177" s="76"/>
      <c r="U177" s="55"/>
      <c r="V177" s="54"/>
      <c r="W177" s="55"/>
      <c r="X177" s="77"/>
      <c r="Y177" s="61"/>
      <c r="Z177" s="71"/>
      <c r="AA177" s="72"/>
      <c r="AB177" s="72"/>
      <c r="AC177" s="73"/>
      <c r="AD177" s="73"/>
      <c r="AE177" s="73"/>
      <c r="AF177" s="73"/>
      <c r="AG177" s="73"/>
      <c r="AH177" s="73"/>
    </row>
    <row r="178" ht="15.0" customHeight="1">
      <c r="A178" s="51"/>
      <c r="B178" s="62" t="s">
        <v>164</v>
      </c>
      <c r="C178" s="53"/>
      <c r="D178" s="63"/>
      <c r="E178" s="58"/>
      <c r="F178" s="63"/>
      <c r="G178" s="58"/>
      <c r="H178" s="63"/>
      <c r="I178" s="58"/>
      <c r="J178" s="63"/>
      <c r="K178" s="116"/>
      <c r="L178" s="117"/>
      <c r="M178" s="118"/>
      <c r="N178" s="64"/>
      <c r="O178" s="66"/>
      <c r="P178" s="64"/>
      <c r="Q178" s="66"/>
      <c r="R178" s="64"/>
      <c r="S178" s="66"/>
      <c r="T178" s="64"/>
      <c r="U178" s="66"/>
      <c r="V178" s="64"/>
      <c r="W178" s="66"/>
      <c r="X178" s="84"/>
      <c r="Y178" s="85"/>
      <c r="Z178" s="71"/>
      <c r="AA178" s="72"/>
      <c r="AB178" s="72"/>
      <c r="AC178" s="73"/>
      <c r="AD178" s="73"/>
      <c r="AE178" s="73"/>
      <c r="AF178" s="73"/>
      <c r="AG178" s="73"/>
      <c r="AH178" s="73"/>
    </row>
    <row r="179" ht="15.75" customHeight="1">
      <c r="A179" s="51"/>
      <c r="B179" s="62" t="s">
        <v>165</v>
      </c>
      <c r="C179" s="53"/>
      <c r="D179" s="63"/>
      <c r="E179" s="58"/>
      <c r="F179" s="63"/>
      <c r="G179" s="58"/>
      <c r="H179" s="63"/>
      <c r="I179" s="58"/>
      <c r="J179" s="63"/>
      <c r="K179" s="116"/>
      <c r="L179" s="117"/>
      <c r="M179" s="58"/>
      <c r="N179" s="64"/>
      <c r="O179" s="66"/>
      <c r="P179" s="64"/>
      <c r="Q179" s="66"/>
      <c r="R179" s="64"/>
      <c r="S179" s="66"/>
      <c r="T179" s="64"/>
      <c r="U179" s="66"/>
      <c r="V179" s="64"/>
      <c r="W179" s="66"/>
      <c r="X179" s="75"/>
      <c r="Y179" s="61"/>
      <c r="Z179" s="71"/>
      <c r="AA179" s="72"/>
      <c r="AB179" s="72"/>
      <c r="AC179" s="73"/>
      <c r="AD179" s="73"/>
      <c r="AE179" s="73"/>
      <c r="AF179" s="73"/>
      <c r="AG179" s="73"/>
      <c r="AH179" s="73"/>
    </row>
    <row r="180" ht="15.0" customHeight="1">
      <c r="A180" s="51"/>
      <c r="B180" s="62" t="s">
        <v>166</v>
      </c>
      <c r="C180" s="53"/>
      <c r="D180" s="63"/>
      <c r="E180" s="58"/>
      <c r="F180" s="63"/>
      <c r="G180" s="58"/>
      <c r="H180" s="63"/>
      <c r="I180" s="58"/>
      <c r="J180" s="63"/>
      <c r="K180" s="116"/>
      <c r="L180" s="119"/>
      <c r="M180" s="58"/>
      <c r="N180" s="64"/>
      <c r="O180" s="66"/>
      <c r="P180" s="64"/>
      <c r="Q180" s="66"/>
      <c r="R180" s="64"/>
      <c r="S180" s="66"/>
      <c r="T180" s="64"/>
      <c r="U180" s="66"/>
      <c r="V180" s="64"/>
      <c r="W180" s="66"/>
      <c r="X180" s="75"/>
      <c r="Y180" s="61"/>
      <c r="Z180" s="71"/>
      <c r="AA180" s="72"/>
      <c r="AB180" s="72"/>
      <c r="AC180" s="73"/>
      <c r="AD180" s="73"/>
      <c r="AE180" s="73"/>
      <c r="AF180" s="73"/>
      <c r="AG180" s="73"/>
      <c r="AH180" s="73"/>
    </row>
    <row r="181" ht="13.5" customHeight="1">
      <c r="A181" s="43">
        <v>7.0</v>
      </c>
      <c r="B181" s="44" t="s">
        <v>167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6"/>
      <c r="Z181" s="71"/>
      <c r="AA181" s="72"/>
      <c r="AB181" s="72"/>
      <c r="AC181" s="73"/>
      <c r="AD181" s="73"/>
      <c r="AE181" s="73"/>
      <c r="AF181" s="73"/>
      <c r="AG181" s="73"/>
      <c r="AH181" s="73"/>
    </row>
    <row r="182" ht="18.75" customHeight="1">
      <c r="A182" s="47"/>
      <c r="B182" s="48"/>
      <c r="C182" s="49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50"/>
      <c r="Z182" s="71"/>
      <c r="AA182" s="72"/>
      <c r="AB182" s="72"/>
      <c r="AC182" s="73"/>
      <c r="AD182" s="73"/>
      <c r="AE182" s="73"/>
      <c r="AF182" s="73"/>
      <c r="AG182" s="73"/>
      <c r="AH182" s="73"/>
    </row>
    <row r="183" ht="15.75" customHeight="1">
      <c r="A183" s="79"/>
      <c r="B183" s="52" t="s">
        <v>168</v>
      </c>
      <c r="C183" s="53"/>
      <c r="D183" s="54"/>
      <c r="E183" s="55"/>
      <c r="F183" s="54"/>
      <c r="G183" s="55"/>
      <c r="H183" s="54"/>
      <c r="I183" s="56"/>
      <c r="J183" s="63"/>
      <c r="K183" s="63"/>
      <c r="L183" s="63"/>
      <c r="M183" s="63"/>
      <c r="N183" s="63"/>
      <c r="O183" s="63"/>
      <c r="P183" s="63"/>
      <c r="Q183" s="55"/>
      <c r="R183" s="63"/>
      <c r="S183" s="63"/>
      <c r="T183" s="63"/>
      <c r="U183" s="63"/>
      <c r="V183" s="63"/>
      <c r="W183" s="63"/>
      <c r="X183" s="63"/>
      <c r="Y183" s="63"/>
      <c r="Z183" s="71"/>
      <c r="AA183" s="72"/>
      <c r="AB183" s="72"/>
      <c r="AC183" s="73"/>
      <c r="AD183" s="73"/>
      <c r="AE183" s="73"/>
      <c r="AF183" s="73"/>
      <c r="AG183" s="73"/>
      <c r="AH183" s="73"/>
    </row>
    <row r="184" ht="15.75" customHeight="1">
      <c r="A184" s="51"/>
      <c r="B184" s="62" t="s">
        <v>169</v>
      </c>
      <c r="C184" s="53"/>
      <c r="D184" s="63"/>
      <c r="E184" s="58"/>
      <c r="F184" s="63"/>
      <c r="G184" s="58"/>
      <c r="H184" s="63"/>
      <c r="I184" s="83"/>
      <c r="J184" s="63"/>
      <c r="K184" s="63"/>
      <c r="L184" s="63"/>
      <c r="M184" s="63"/>
      <c r="N184" s="63"/>
      <c r="O184" s="63"/>
      <c r="P184" s="63"/>
      <c r="Q184" s="58"/>
      <c r="R184" s="63"/>
      <c r="S184" s="63"/>
      <c r="T184" s="63"/>
      <c r="U184" s="63"/>
      <c r="V184" s="63"/>
      <c r="W184" s="63"/>
      <c r="X184" s="63"/>
      <c r="Y184" s="61"/>
      <c r="Z184" s="71"/>
      <c r="AA184" s="72"/>
      <c r="AB184" s="72"/>
      <c r="AC184" s="73"/>
      <c r="AD184" s="73"/>
      <c r="AE184" s="73"/>
      <c r="AF184" s="73"/>
      <c r="AG184" s="73"/>
      <c r="AH184" s="73"/>
    </row>
    <row r="185" ht="15.75" customHeight="1">
      <c r="A185" s="51"/>
      <c r="B185" s="62" t="s">
        <v>170</v>
      </c>
      <c r="C185" s="53"/>
      <c r="D185" s="63"/>
      <c r="E185" s="58"/>
      <c r="F185" s="63"/>
      <c r="G185" s="58"/>
      <c r="H185" s="63"/>
      <c r="I185" s="83"/>
      <c r="J185" s="63"/>
      <c r="K185" s="63"/>
      <c r="L185" s="63"/>
      <c r="M185" s="63"/>
      <c r="N185" s="63"/>
      <c r="O185" s="63"/>
      <c r="P185" s="63"/>
      <c r="Q185" s="58"/>
      <c r="R185" s="63"/>
      <c r="S185" s="63"/>
      <c r="T185" s="63"/>
      <c r="U185" s="63"/>
      <c r="V185" s="63"/>
      <c r="W185" s="63"/>
      <c r="X185" s="63"/>
      <c r="Y185" s="61"/>
      <c r="Z185" s="71"/>
      <c r="AA185" s="72"/>
      <c r="AB185" s="72"/>
      <c r="AC185" s="73"/>
      <c r="AD185" s="73"/>
      <c r="AE185" s="73"/>
      <c r="AF185" s="73"/>
      <c r="AG185" s="73"/>
      <c r="AH185" s="73"/>
    </row>
    <row r="186" ht="21.0" customHeight="1">
      <c r="A186" s="51"/>
      <c r="B186" s="62" t="s">
        <v>171</v>
      </c>
      <c r="C186" s="53"/>
      <c r="D186" s="63"/>
      <c r="E186" s="58"/>
      <c r="F186" s="63"/>
      <c r="G186" s="58"/>
      <c r="H186" s="63"/>
      <c r="I186" s="58"/>
      <c r="J186" s="63"/>
      <c r="K186" s="63"/>
      <c r="L186" s="63"/>
      <c r="M186" s="63"/>
      <c r="N186" s="63"/>
      <c r="O186" s="63"/>
      <c r="P186" s="63"/>
      <c r="Q186" s="58"/>
      <c r="R186" s="63"/>
      <c r="S186" s="63"/>
      <c r="T186" s="63"/>
      <c r="U186" s="63"/>
      <c r="V186" s="63"/>
      <c r="W186" s="63"/>
      <c r="X186" s="63"/>
      <c r="Y186" s="85"/>
      <c r="Z186" s="71"/>
      <c r="AA186" s="72"/>
      <c r="AB186" s="72"/>
      <c r="AC186" s="73"/>
      <c r="AD186" s="73"/>
      <c r="AE186" s="73"/>
      <c r="AF186" s="73"/>
      <c r="AG186" s="73"/>
      <c r="AH186" s="73"/>
    </row>
    <row r="187" ht="13.5" customHeight="1">
      <c r="A187" s="43">
        <v>8.0</v>
      </c>
      <c r="B187" s="44" t="s">
        <v>172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120"/>
      <c r="Y187" s="121"/>
      <c r="Z187" s="71"/>
      <c r="AA187" s="72"/>
      <c r="AB187" s="72"/>
      <c r="AC187" s="73"/>
      <c r="AD187" s="73"/>
      <c r="AE187" s="73"/>
      <c r="AF187" s="73"/>
      <c r="AG187" s="73"/>
      <c r="AH187" s="73"/>
    </row>
    <row r="188" ht="16.5" customHeight="1">
      <c r="A188" s="47"/>
      <c r="B188" s="48"/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122"/>
      <c r="Y188" s="47"/>
      <c r="Z188" s="71"/>
      <c r="AA188" s="72"/>
      <c r="AB188" s="72"/>
      <c r="AC188" s="73"/>
      <c r="AD188" s="73"/>
      <c r="AE188" s="73"/>
      <c r="AF188" s="73"/>
      <c r="AG188" s="73"/>
      <c r="AH188" s="73"/>
    </row>
    <row r="189" ht="15.75" customHeight="1">
      <c r="A189" s="79"/>
      <c r="B189" s="87" t="s">
        <v>173</v>
      </c>
      <c r="C189" s="53"/>
      <c r="D189" s="54"/>
      <c r="E189" s="58"/>
      <c r="F189" s="76"/>
      <c r="G189" s="55"/>
      <c r="H189" s="76"/>
      <c r="I189" s="55"/>
      <c r="J189" s="76"/>
      <c r="K189" s="55"/>
      <c r="L189" s="76"/>
      <c r="M189" s="55"/>
      <c r="N189" s="76"/>
      <c r="O189" s="55"/>
      <c r="P189" s="76"/>
      <c r="Q189" s="55"/>
      <c r="R189" s="76"/>
      <c r="S189" s="55"/>
      <c r="T189" s="76"/>
      <c r="U189" s="55"/>
      <c r="V189" s="76"/>
      <c r="W189" s="55"/>
      <c r="X189" s="76"/>
      <c r="Y189" s="123"/>
      <c r="Z189" s="71"/>
      <c r="AA189" s="72"/>
      <c r="AB189" s="72"/>
      <c r="AC189" s="73"/>
      <c r="AD189" s="73"/>
      <c r="AE189" s="73"/>
      <c r="AF189" s="73"/>
      <c r="AG189" s="73"/>
      <c r="AH189" s="73"/>
    </row>
    <row r="190" ht="13.5" customHeight="1">
      <c r="A190" s="43">
        <v>9.0</v>
      </c>
      <c r="B190" s="44" t="s">
        <v>174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120"/>
      <c r="Y190" s="121"/>
      <c r="Z190" s="71"/>
      <c r="AA190" s="72"/>
      <c r="AB190" s="72"/>
      <c r="AC190" s="73"/>
      <c r="AD190" s="73"/>
      <c r="AE190" s="73"/>
      <c r="AF190" s="73"/>
      <c r="AG190" s="73"/>
      <c r="AH190" s="73"/>
    </row>
    <row r="191" ht="16.5" customHeight="1">
      <c r="A191" s="47"/>
      <c r="B191" s="48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122"/>
      <c r="Y191" s="47"/>
      <c r="Z191" s="71"/>
      <c r="AA191" s="72"/>
      <c r="AB191" s="72"/>
      <c r="AC191" s="73"/>
      <c r="AD191" s="73"/>
      <c r="AE191" s="73"/>
      <c r="AF191" s="73"/>
      <c r="AG191" s="73"/>
      <c r="AH191" s="73"/>
    </row>
    <row r="192" ht="15.75" customHeight="1">
      <c r="A192" s="51"/>
      <c r="B192" s="87" t="s">
        <v>175</v>
      </c>
      <c r="C192" s="53"/>
      <c r="D192" s="54"/>
      <c r="E192" s="58"/>
      <c r="F192" s="76"/>
      <c r="G192" s="55"/>
      <c r="H192" s="76"/>
      <c r="I192" s="55"/>
      <c r="J192" s="76"/>
      <c r="K192" s="55"/>
      <c r="L192" s="76"/>
      <c r="M192" s="55"/>
      <c r="N192" s="76"/>
      <c r="O192" s="55"/>
      <c r="P192" s="76"/>
      <c r="Q192" s="55"/>
      <c r="R192" s="76"/>
      <c r="S192" s="55"/>
      <c r="T192" s="76"/>
      <c r="U192" s="55"/>
      <c r="V192" s="76"/>
      <c r="W192" s="55"/>
      <c r="X192" s="76"/>
      <c r="Y192" s="124"/>
      <c r="Z192" s="71"/>
      <c r="AA192" s="72"/>
      <c r="AB192" s="72"/>
      <c r="AC192" s="73"/>
      <c r="AD192" s="73"/>
      <c r="AE192" s="73"/>
      <c r="AF192" s="73"/>
      <c r="AG192" s="73"/>
      <c r="AH192" s="73"/>
    </row>
    <row r="193" ht="13.5" customHeight="1">
      <c r="A193" s="43">
        <v>10.0</v>
      </c>
      <c r="B193" s="44" t="s">
        <v>176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120"/>
      <c r="Y193" s="121"/>
      <c r="Z193" s="71"/>
      <c r="AA193" s="72"/>
      <c r="AB193" s="72"/>
      <c r="AC193" s="73"/>
      <c r="AD193" s="73"/>
      <c r="AE193" s="73"/>
      <c r="AF193" s="73"/>
      <c r="AG193" s="73"/>
      <c r="AH193" s="73"/>
    </row>
    <row r="194" ht="16.5" customHeight="1">
      <c r="A194" s="47"/>
      <c r="B194" s="48"/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122"/>
      <c r="Y194" s="47"/>
      <c r="Z194" s="71"/>
      <c r="AA194" s="72"/>
      <c r="AB194" s="72"/>
      <c r="AC194" s="73"/>
      <c r="AD194" s="73"/>
      <c r="AE194" s="73"/>
      <c r="AF194" s="73"/>
      <c r="AG194" s="73"/>
      <c r="AH194" s="73"/>
    </row>
    <row r="195" ht="15.75" customHeight="1">
      <c r="A195" s="51"/>
      <c r="B195" s="125" t="s">
        <v>177</v>
      </c>
      <c r="C195" s="53"/>
      <c r="D195" s="54"/>
      <c r="E195" s="58"/>
      <c r="F195" s="54"/>
      <c r="G195" s="58"/>
      <c r="H195" s="54"/>
      <c r="I195" s="58"/>
      <c r="J195" s="76"/>
      <c r="K195" s="55" t="s">
        <v>178</v>
      </c>
      <c r="L195" s="76"/>
      <c r="M195" s="55"/>
      <c r="N195" s="76"/>
      <c r="O195" s="55"/>
      <c r="P195" s="76"/>
      <c r="Q195" s="55"/>
      <c r="R195" s="76"/>
      <c r="S195" s="55"/>
      <c r="T195" s="76"/>
      <c r="U195" s="55"/>
      <c r="V195" s="76"/>
      <c r="W195" s="55"/>
      <c r="X195" s="76"/>
      <c r="Y195" s="124"/>
      <c r="Z195" s="71"/>
      <c r="AA195" s="72"/>
      <c r="AB195" s="72"/>
      <c r="AC195" s="73"/>
      <c r="AD195" s="73"/>
      <c r="AE195" s="73"/>
      <c r="AF195" s="73"/>
      <c r="AG195" s="73"/>
      <c r="AH195" s="73"/>
    </row>
    <row r="196" ht="18.0" customHeight="1">
      <c r="A196" s="51"/>
      <c r="B196" s="126" t="s">
        <v>179</v>
      </c>
      <c r="C196" s="53"/>
      <c r="D196" s="63"/>
      <c r="E196" s="58"/>
      <c r="F196" s="63"/>
      <c r="G196" s="58"/>
      <c r="H196" s="63"/>
      <c r="I196" s="58"/>
      <c r="J196" s="76"/>
      <c r="K196" s="55"/>
      <c r="L196" s="76"/>
      <c r="M196" s="55"/>
      <c r="N196" s="76"/>
      <c r="O196" s="55"/>
      <c r="P196" s="76"/>
      <c r="Q196" s="55"/>
      <c r="R196" s="76"/>
      <c r="S196" s="55"/>
      <c r="T196" s="76"/>
      <c r="U196" s="55"/>
      <c r="V196" s="76"/>
      <c r="W196" s="55"/>
      <c r="X196" s="76"/>
      <c r="Y196" s="124"/>
      <c r="Z196" s="71"/>
      <c r="AA196" s="72"/>
      <c r="AB196" s="72"/>
      <c r="AC196" s="73"/>
      <c r="AD196" s="73"/>
      <c r="AE196" s="73"/>
      <c r="AF196" s="73"/>
      <c r="AG196" s="73"/>
      <c r="AH196" s="73"/>
    </row>
    <row r="197" ht="22.5" customHeight="1">
      <c r="A197" s="89" t="s">
        <v>180</v>
      </c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2"/>
      <c r="Z197" s="71"/>
      <c r="AA197" s="72"/>
      <c r="AB197" s="72"/>
      <c r="AC197" s="73"/>
      <c r="AD197" s="73"/>
      <c r="AE197" s="73"/>
      <c r="AF197" s="73"/>
      <c r="AG197" s="73"/>
      <c r="AH197" s="73"/>
    </row>
    <row r="198" ht="19.5" customHeight="1">
      <c r="A198" s="40" t="s">
        <v>181</v>
      </c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2"/>
      <c r="Z198" s="71"/>
      <c r="AA198" s="72"/>
      <c r="AB198" s="72"/>
      <c r="AC198" s="73"/>
      <c r="AD198" s="73"/>
      <c r="AE198" s="73"/>
      <c r="AF198" s="73"/>
      <c r="AG198" s="73"/>
      <c r="AH198" s="73"/>
    </row>
    <row r="199" ht="13.5" customHeight="1">
      <c r="A199" s="43">
        <v>1.0</v>
      </c>
      <c r="B199" s="44" t="s">
        <v>182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6"/>
      <c r="Z199" s="71"/>
      <c r="AA199" s="72"/>
      <c r="AB199" s="72"/>
      <c r="AC199" s="73"/>
      <c r="AD199" s="73"/>
      <c r="AE199" s="73"/>
      <c r="AF199" s="73"/>
      <c r="AG199" s="73"/>
      <c r="AH199" s="73"/>
    </row>
    <row r="200" ht="15.0" customHeight="1">
      <c r="A200" s="47"/>
      <c r="B200" s="48"/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50"/>
      <c r="Z200" s="71"/>
      <c r="AA200" s="72"/>
      <c r="AB200" s="72"/>
      <c r="AC200" s="73"/>
      <c r="AD200" s="73"/>
      <c r="AE200" s="73"/>
      <c r="AF200" s="73"/>
      <c r="AG200" s="73"/>
      <c r="AH200" s="73"/>
    </row>
    <row r="201" ht="15.0" customHeight="1">
      <c r="A201" s="79"/>
      <c r="B201" s="52" t="s">
        <v>183</v>
      </c>
      <c r="C201" s="53"/>
      <c r="D201" s="54"/>
      <c r="E201" s="55"/>
      <c r="F201" s="54"/>
      <c r="G201" s="55"/>
      <c r="H201" s="54"/>
      <c r="I201" s="56"/>
      <c r="J201" s="54"/>
      <c r="K201" s="55"/>
      <c r="L201" s="76"/>
      <c r="M201" s="55"/>
      <c r="N201" s="76"/>
      <c r="O201" s="55"/>
      <c r="P201" s="76"/>
      <c r="Q201" s="55"/>
      <c r="R201" s="76"/>
      <c r="S201" s="55"/>
      <c r="T201" s="76"/>
      <c r="U201" s="55"/>
      <c r="V201" s="54"/>
      <c r="W201" s="55"/>
      <c r="X201" s="77"/>
      <c r="Y201" s="61"/>
      <c r="Z201" s="71"/>
      <c r="AA201" s="72"/>
      <c r="AB201" s="72"/>
      <c r="AC201" s="73"/>
      <c r="AD201" s="73"/>
      <c r="AE201" s="73"/>
      <c r="AF201" s="73"/>
      <c r="AG201" s="73"/>
      <c r="AH201" s="73"/>
    </row>
    <row r="202" ht="15.0" customHeight="1">
      <c r="A202" s="79"/>
      <c r="B202" s="62" t="s">
        <v>184</v>
      </c>
      <c r="C202" s="53"/>
      <c r="D202" s="54"/>
      <c r="E202" s="55"/>
      <c r="F202" s="54"/>
      <c r="G202" s="55"/>
      <c r="H202" s="76"/>
      <c r="I202" s="56"/>
      <c r="J202" s="76"/>
      <c r="K202" s="55"/>
      <c r="L202" s="76"/>
      <c r="M202" s="55"/>
      <c r="N202" s="76"/>
      <c r="O202" s="55"/>
      <c r="P202" s="76"/>
      <c r="Q202" s="55"/>
      <c r="R202" s="76"/>
      <c r="S202" s="55"/>
      <c r="T202" s="76"/>
      <c r="U202" s="55"/>
      <c r="V202" s="54"/>
      <c r="W202" s="55"/>
      <c r="X202" s="77"/>
      <c r="Y202" s="61"/>
      <c r="Z202" s="71"/>
      <c r="AA202" s="72"/>
      <c r="AB202" s="72"/>
      <c r="AC202" s="73"/>
      <c r="AD202" s="73"/>
      <c r="AE202" s="73"/>
      <c r="AF202" s="73"/>
      <c r="AG202" s="73"/>
      <c r="AH202" s="73"/>
    </row>
    <row r="203" ht="15.0" customHeight="1">
      <c r="A203" s="79"/>
      <c r="B203" s="62" t="s">
        <v>185</v>
      </c>
      <c r="C203" s="53"/>
      <c r="D203" s="54"/>
      <c r="E203" s="55"/>
      <c r="F203" s="54"/>
      <c r="G203" s="55"/>
      <c r="H203" s="76"/>
      <c r="I203" s="56"/>
      <c r="J203" s="76"/>
      <c r="K203" s="55"/>
      <c r="L203" s="76"/>
      <c r="M203" s="55"/>
      <c r="N203" s="76"/>
      <c r="O203" s="55"/>
      <c r="P203" s="76"/>
      <c r="Q203" s="55"/>
      <c r="R203" s="76"/>
      <c r="S203" s="55"/>
      <c r="T203" s="76"/>
      <c r="U203" s="55"/>
      <c r="V203" s="54"/>
      <c r="W203" s="55"/>
      <c r="X203" s="77"/>
      <c r="Y203" s="61"/>
      <c r="Z203" s="71"/>
      <c r="AA203" s="72"/>
      <c r="AB203" s="72"/>
      <c r="AC203" s="73"/>
      <c r="AD203" s="73"/>
      <c r="AE203" s="73"/>
      <c r="AF203" s="73"/>
      <c r="AG203" s="73"/>
      <c r="AH203" s="73"/>
    </row>
    <row r="204" ht="15.0" customHeight="1">
      <c r="A204" s="79"/>
      <c r="B204" s="62" t="s">
        <v>186</v>
      </c>
      <c r="C204" s="53"/>
      <c r="D204" s="54"/>
      <c r="E204" s="55"/>
      <c r="F204" s="54"/>
      <c r="G204" s="55"/>
      <c r="H204" s="76"/>
      <c r="I204" s="56"/>
      <c r="J204" s="76"/>
      <c r="K204" s="55"/>
      <c r="L204" s="76"/>
      <c r="M204" s="55"/>
      <c r="N204" s="76"/>
      <c r="O204" s="55"/>
      <c r="P204" s="76"/>
      <c r="Q204" s="55"/>
      <c r="R204" s="76"/>
      <c r="S204" s="55"/>
      <c r="T204" s="76"/>
      <c r="U204" s="55"/>
      <c r="V204" s="54"/>
      <c r="W204" s="55"/>
      <c r="X204" s="77"/>
      <c r="Y204" s="61"/>
      <c r="Z204" s="71"/>
      <c r="AA204" s="72"/>
      <c r="AB204" s="72"/>
      <c r="AC204" s="73"/>
      <c r="AD204" s="73"/>
      <c r="AE204" s="73"/>
      <c r="AF204" s="73"/>
      <c r="AG204" s="73"/>
      <c r="AH204" s="73"/>
    </row>
    <row r="205" ht="13.5" customHeight="1">
      <c r="A205" s="43">
        <v>2.0</v>
      </c>
      <c r="B205" s="44" t="s">
        <v>187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6"/>
      <c r="Z205" s="71"/>
      <c r="AA205" s="72"/>
      <c r="AB205" s="72"/>
      <c r="AC205" s="73"/>
      <c r="AD205" s="73"/>
      <c r="AE205" s="73"/>
      <c r="AF205" s="73"/>
      <c r="AG205" s="73"/>
      <c r="AH205" s="73"/>
    </row>
    <row r="206" ht="15.0" customHeight="1">
      <c r="A206" s="47"/>
      <c r="B206" s="48"/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50"/>
      <c r="Z206" s="71"/>
      <c r="AA206" s="72"/>
      <c r="AB206" s="72"/>
      <c r="AC206" s="73"/>
      <c r="AD206" s="73"/>
      <c r="AE206" s="73"/>
      <c r="AF206" s="73"/>
      <c r="AG206" s="73"/>
      <c r="AH206" s="73"/>
    </row>
    <row r="207" ht="15.0" customHeight="1">
      <c r="A207" s="79"/>
      <c r="B207" s="127" t="s">
        <v>188</v>
      </c>
      <c r="C207" s="53"/>
      <c r="D207" s="54"/>
      <c r="E207" s="55"/>
      <c r="F207" s="54"/>
      <c r="G207" s="55"/>
      <c r="H207" s="54"/>
      <c r="I207" s="56"/>
      <c r="J207" s="54"/>
      <c r="K207" s="55"/>
      <c r="L207" s="76"/>
      <c r="M207" s="55"/>
      <c r="N207" s="76"/>
      <c r="O207" s="55"/>
      <c r="P207" s="76"/>
      <c r="Q207" s="55"/>
      <c r="R207" s="76"/>
      <c r="S207" s="55"/>
      <c r="T207" s="76"/>
      <c r="U207" s="55"/>
      <c r="V207" s="54"/>
      <c r="W207" s="55"/>
      <c r="X207" s="77"/>
      <c r="Y207" s="61"/>
      <c r="Z207" s="71"/>
      <c r="AA207" s="72"/>
      <c r="AB207" s="72"/>
      <c r="AC207" s="73"/>
      <c r="AD207" s="73"/>
      <c r="AE207" s="73"/>
      <c r="AF207" s="73"/>
      <c r="AG207" s="73"/>
      <c r="AH207" s="73"/>
    </row>
    <row r="208" ht="15.0" customHeight="1">
      <c r="A208" s="79"/>
      <c r="B208" s="128" t="s">
        <v>189</v>
      </c>
      <c r="C208" s="53"/>
      <c r="D208" s="54"/>
      <c r="E208" s="55"/>
      <c r="F208" s="54"/>
      <c r="G208" s="55"/>
      <c r="H208" s="54"/>
      <c r="I208" s="56"/>
      <c r="J208" s="54"/>
      <c r="K208" s="55"/>
      <c r="L208" s="76"/>
      <c r="M208" s="55"/>
      <c r="N208" s="76"/>
      <c r="O208" s="55"/>
      <c r="P208" s="76"/>
      <c r="Q208" s="55"/>
      <c r="R208" s="76"/>
      <c r="S208" s="55"/>
      <c r="T208" s="76"/>
      <c r="U208" s="55"/>
      <c r="V208" s="54"/>
      <c r="W208" s="55"/>
      <c r="X208" s="77"/>
      <c r="Y208" s="61"/>
      <c r="Z208" s="71"/>
      <c r="AA208" s="72"/>
      <c r="AB208" s="72"/>
      <c r="AC208" s="73"/>
      <c r="AD208" s="73"/>
      <c r="AE208" s="73"/>
      <c r="AF208" s="73"/>
      <c r="AG208" s="73"/>
      <c r="AH208" s="73"/>
    </row>
    <row r="209" ht="13.5" customHeight="1">
      <c r="A209" s="43">
        <v>3.0</v>
      </c>
      <c r="B209" s="44" t="s">
        <v>190</v>
      </c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6"/>
      <c r="Z209" s="71"/>
      <c r="AA209" s="72"/>
      <c r="AB209" s="72"/>
      <c r="AC209" s="73"/>
      <c r="AD209" s="73"/>
      <c r="AE209" s="73"/>
      <c r="AF209" s="73"/>
      <c r="AG209" s="73"/>
      <c r="AH209" s="73"/>
    </row>
    <row r="210" ht="15.0" customHeight="1">
      <c r="A210" s="47"/>
      <c r="B210" s="48"/>
      <c r="C210" s="49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50"/>
      <c r="Z210" s="71"/>
      <c r="AA210" s="72"/>
      <c r="AB210" s="72"/>
      <c r="AC210" s="73"/>
      <c r="AD210" s="73"/>
      <c r="AE210" s="73"/>
      <c r="AF210" s="73"/>
      <c r="AG210" s="73"/>
      <c r="AH210" s="73"/>
    </row>
    <row r="211" ht="15.0" customHeight="1">
      <c r="A211" s="51"/>
      <c r="B211" s="125" t="s">
        <v>191</v>
      </c>
      <c r="C211" s="53"/>
      <c r="D211" s="54"/>
      <c r="E211" s="55"/>
      <c r="F211" s="54"/>
      <c r="G211" s="55"/>
      <c r="H211" s="54"/>
      <c r="I211" s="56"/>
      <c r="J211" s="54"/>
      <c r="K211" s="58"/>
      <c r="L211" s="64"/>
      <c r="M211" s="66"/>
      <c r="N211" s="64"/>
      <c r="O211" s="66"/>
      <c r="P211" s="64"/>
      <c r="Q211" s="66"/>
      <c r="R211" s="64"/>
      <c r="S211" s="66"/>
      <c r="T211" s="64"/>
      <c r="U211" s="66"/>
      <c r="V211" s="64"/>
      <c r="W211" s="129"/>
      <c r="X211" s="130"/>
      <c r="Y211" s="131"/>
      <c r="Z211" s="71"/>
      <c r="AA211" s="72"/>
      <c r="AB211" s="72"/>
      <c r="AC211" s="73"/>
      <c r="AD211" s="73"/>
      <c r="AE211" s="73"/>
      <c r="AF211" s="73"/>
      <c r="AG211" s="73"/>
      <c r="AH211" s="73"/>
    </row>
    <row r="212" ht="15.0" customHeight="1">
      <c r="A212" s="51"/>
      <c r="B212" s="125" t="s">
        <v>192</v>
      </c>
      <c r="C212" s="53"/>
      <c r="D212" s="54"/>
      <c r="E212" s="58"/>
      <c r="F212" s="54"/>
      <c r="G212" s="58"/>
      <c r="H212" s="54"/>
      <c r="I212" s="58"/>
      <c r="J212" s="54"/>
      <c r="K212" s="58"/>
      <c r="L212" s="64"/>
      <c r="M212" s="66"/>
      <c r="N212" s="64"/>
      <c r="O212" s="66"/>
      <c r="P212" s="64"/>
      <c r="Q212" s="66"/>
      <c r="R212" s="64"/>
      <c r="S212" s="66"/>
      <c r="T212" s="64"/>
      <c r="U212" s="66"/>
      <c r="V212" s="64"/>
      <c r="W212" s="129"/>
      <c r="X212" s="130"/>
      <c r="Y212" s="132"/>
      <c r="Z212" s="71"/>
      <c r="AA212" s="72"/>
      <c r="AB212" s="72"/>
      <c r="AC212" s="73"/>
      <c r="AD212" s="73"/>
      <c r="AE212" s="73"/>
      <c r="AF212" s="73"/>
      <c r="AG212" s="73"/>
      <c r="AH212" s="73"/>
    </row>
    <row r="213" ht="13.5" customHeight="1">
      <c r="A213" s="43">
        <v>4.0</v>
      </c>
      <c r="B213" s="133" t="s">
        <v>193</v>
      </c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6"/>
      <c r="Z213" s="71"/>
      <c r="AA213" s="72"/>
      <c r="AB213" s="72"/>
      <c r="AC213" s="73"/>
      <c r="AD213" s="73"/>
      <c r="AE213" s="73"/>
      <c r="AF213" s="73"/>
      <c r="AG213" s="73"/>
      <c r="AH213" s="73"/>
    </row>
    <row r="214" ht="15.75" customHeight="1">
      <c r="A214" s="47"/>
      <c r="B214" s="48"/>
      <c r="C214" s="49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50"/>
      <c r="Z214" s="71"/>
      <c r="AA214" s="72"/>
      <c r="AB214" s="72"/>
      <c r="AC214" s="73"/>
      <c r="AD214" s="73"/>
      <c r="AE214" s="73"/>
      <c r="AF214" s="73"/>
      <c r="AG214" s="73"/>
      <c r="AH214" s="73"/>
    </row>
    <row r="215" ht="15.75" customHeight="1">
      <c r="A215" s="79"/>
      <c r="B215" s="134" t="s">
        <v>194</v>
      </c>
      <c r="C215" s="53"/>
      <c r="D215" s="54"/>
      <c r="E215" s="55"/>
      <c r="F215" s="54"/>
      <c r="G215" s="55"/>
      <c r="H215" s="54"/>
      <c r="I215" s="56"/>
      <c r="J215" s="54"/>
      <c r="K215" s="55"/>
      <c r="L215" s="76"/>
      <c r="M215" s="55"/>
      <c r="N215" s="76"/>
      <c r="O215" s="55"/>
      <c r="P215" s="76"/>
      <c r="Q215" s="55"/>
      <c r="R215" s="76"/>
      <c r="S215" s="55"/>
      <c r="T215" s="76"/>
      <c r="U215" s="55"/>
      <c r="V215" s="54"/>
      <c r="W215" s="55"/>
      <c r="X215" s="77"/>
      <c r="Y215" s="61"/>
      <c r="Z215" s="71"/>
      <c r="AA215" s="72"/>
      <c r="AB215" s="72"/>
      <c r="AC215" s="73"/>
      <c r="AD215" s="73"/>
      <c r="AE215" s="73"/>
      <c r="AF215" s="73"/>
      <c r="AG215" s="73"/>
      <c r="AH215" s="73"/>
    </row>
    <row r="216" ht="13.5" customHeight="1">
      <c r="A216" s="43">
        <v>5.0</v>
      </c>
      <c r="B216" s="133" t="s">
        <v>195</v>
      </c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6"/>
      <c r="Z216" s="71"/>
      <c r="AA216" s="72"/>
      <c r="AB216" s="72"/>
      <c r="AC216" s="73"/>
      <c r="AD216" s="73"/>
      <c r="AE216" s="73"/>
      <c r="AF216" s="73"/>
      <c r="AG216" s="73"/>
      <c r="AH216" s="73"/>
    </row>
    <row r="217" ht="15.75" customHeight="1">
      <c r="A217" s="47"/>
      <c r="B217" s="48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50"/>
      <c r="Z217" s="71"/>
      <c r="AA217" s="72"/>
      <c r="AB217" s="72"/>
      <c r="AC217" s="73"/>
      <c r="AD217" s="73"/>
      <c r="AE217" s="73"/>
      <c r="AF217" s="73"/>
      <c r="AG217" s="73"/>
      <c r="AH217" s="73"/>
    </row>
    <row r="218" ht="15.75" customHeight="1">
      <c r="A218" s="79"/>
      <c r="B218" s="134" t="s">
        <v>196</v>
      </c>
      <c r="C218" s="53"/>
      <c r="D218" s="54"/>
      <c r="E218" s="55"/>
      <c r="F218" s="54"/>
      <c r="G218" s="55"/>
      <c r="H218" s="54"/>
      <c r="I218" s="56"/>
      <c r="J218" s="54"/>
      <c r="K218" s="55"/>
      <c r="L218" s="76"/>
      <c r="M218" s="55"/>
      <c r="N218" s="76"/>
      <c r="O218" s="55"/>
      <c r="P218" s="76"/>
      <c r="Q218" s="55"/>
      <c r="R218" s="76"/>
      <c r="S218" s="55"/>
      <c r="T218" s="76"/>
      <c r="U218" s="55"/>
      <c r="V218" s="54"/>
      <c r="W218" s="55"/>
      <c r="X218" s="77"/>
      <c r="Y218" s="61"/>
      <c r="Z218" s="71"/>
      <c r="AA218" s="72"/>
      <c r="AB218" s="72"/>
      <c r="AC218" s="73"/>
      <c r="AD218" s="73"/>
      <c r="AE218" s="73"/>
      <c r="AF218" s="73"/>
      <c r="AG218" s="73"/>
      <c r="AH218" s="73"/>
    </row>
    <row r="219" ht="13.5" customHeight="1">
      <c r="A219" s="43">
        <v>6.0</v>
      </c>
      <c r="B219" s="44" t="s">
        <v>197</v>
      </c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6"/>
      <c r="Z219" s="71"/>
      <c r="AA219" s="72"/>
      <c r="AB219" s="72"/>
      <c r="AC219" s="73"/>
      <c r="AD219" s="73"/>
      <c r="AE219" s="73"/>
      <c r="AF219" s="73"/>
      <c r="AG219" s="73"/>
      <c r="AH219" s="73"/>
    </row>
    <row r="220" ht="15.75" customHeight="1">
      <c r="A220" s="47"/>
      <c r="B220" s="48"/>
      <c r="C220" s="49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50"/>
      <c r="Z220" s="71"/>
      <c r="AA220" s="72"/>
      <c r="AB220" s="72"/>
      <c r="AC220" s="73"/>
      <c r="AD220" s="73"/>
      <c r="AE220" s="73"/>
      <c r="AF220" s="73"/>
      <c r="AG220" s="73"/>
      <c r="AH220" s="73"/>
    </row>
    <row r="221" ht="15.75" customHeight="1">
      <c r="A221" s="79"/>
      <c r="B221" s="134" t="s">
        <v>198</v>
      </c>
      <c r="C221" s="53"/>
      <c r="D221" s="54"/>
      <c r="E221" s="55"/>
      <c r="F221" s="54"/>
      <c r="G221" s="55"/>
      <c r="H221" s="54"/>
      <c r="I221" s="56"/>
      <c r="J221" s="54"/>
      <c r="K221" s="55"/>
      <c r="L221" s="76"/>
      <c r="M221" s="55"/>
      <c r="N221" s="76"/>
      <c r="O221" s="55"/>
      <c r="P221" s="76"/>
      <c r="Q221" s="55"/>
      <c r="R221" s="76"/>
      <c r="S221" s="55"/>
      <c r="T221" s="76"/>
      <c r="U221" s="55"/>
      <c r="V221" s="54"/>
      <c r="W221" s="55"/>
      <c r="X221" s="77"/>
      <c r="Y221" s="61"/>
      <c r="Z221" s="71"/>
      <c r="AA221" s="72"/>
      <c r="AB221" s="72"/>
      <c r="AC221" s="73"/>
      <c r="AD221" s="73"/>
      <c r="AE221" s="73"/>
      <c r="AF221" s="73"/>
      <c r="AG221" s="73"/>
      <c r="AH221" s="73"/>
    </row>
    <row r="222" ht="15.75" customHeight="1">
      <c r="A222" s="79"/>
      <c r="B222" s="125" t="s">
        <v>199</v>
      </c>
      <c r="C222" s="53"/>
      <c r="D222" s="54"/>
      <c r="E222" s="55"/>
      <c r="F222" s="54"/>
      <c r="G222" s="55"/>
      <c r="H222" s="54"/>
      <c r="I222" s="56"/>
      <c r="J222" s="54"/>
      <c r="K222" s="55"/>
      <c r="L222" s="76"/>
      <c r="M222" s="55"/>
      <c r="N222" s="76"/>
      <c r="O222" s="55"/>
      <c r="P222" s="76"/>
      <c r="Q222" s="55"/>
      <c r="R222" s="76"/>
      <c r="S222" s="55"/>
      <c r="T222" s="76"/>
      <c r="U222" s="55"/>
      <c r="V222" s="54"/>
      <c r="W222" s="55"/>
      <c r="X222" s="77"/>
      <c r="Y222" s="61"/>
      <c r="Z222" s="71"/>
      <c r="AA222" s="72"/>
      <c r="AB222" s="72"/>
      <c r="AC222" s="73"/>
      <c r="AD222" s="73"/>
      <c r="AE222" s="73"/>
      <c r="AF222" s="73"/>
      <c r="AG222" s="73"/>
      <c r="AH222" s="73"/>
    </row>
    <row r="223" ht="15.75" customHeight="1">
      <c r="A223" s="79"/>
      <c r="B223" s="125" t="s">
        <v>200</v>
      </c>
      <c r="C223" s="53"/>
      <c r="D223" s="54"/>
      <c r="E223" s="55"/>
      <c r="F223" s="54"/>
      <c r="G223" s="55"/>
      <c r="H223" s="54"/>
      <c r="I223" s="56"/>
      <c r="J223" s="54"/>
      <c r="K223" s="55"/>
      <c r="L223" s="76"/>
      <c r="M223" s="55"/>
      <c r="N223" s="76"/>
      <c r="O223" s="55"/>
      <c r="P223" s="76"/>
      <c r="Q223" s="55"/>
      <c r="R223" s="76"/>
      <c r="S223" s="55"/>
      <c r="T223" s="76"/>
      <c r="U223" s="55"/>
      <c r="V223" s="54"/>
      <c r="W223" s="55"/>
      <c r="X223" s="77"/>
      <c r="Y223" s="61"/>
      <c r="Z223" s="71"/>
      <c r="AA223" s="72"/>
      <c r="AB223" s="72"/>
      <c r="AC223" s="73"/>
      <c r="AD223" s="73"/>
      <c r="AE223" s="73"/>
      <c r="AF223" s="73"/>
      <c r="AG223" s="73"/>
      <c r="AH223" s="73"/>
    </row>
    <row r="224" ht="15.75" customHeight="1">
      <c r="A224" s="79"/>
      <c r="B224" s="125" t="s">
        <v>201</v>
      </c>
      <c r="C224" s="53"/>
      <c r="D224" s="54"/>
      <c r="E224" s="55"/>
      <c r="F224" s="54"/>
      <c r="G224" s="55"/>
      <c r="H224" s="54"/>
      <c r="I224" s="56"/>
      <c r="J224" s="54"/>
      <c r="K224" s="55"/>
      <c r="L224" s="76"/>
      <c r="M224" s="55"/>
      <c r="N224" s="76"/>
      <c r="O224" s="55"/>
      <c r="P224" s="76"/>
      <c r="Q224" s="55"/>
      <c r="R224" s="76"/>
      <c r="S224" s="55"/>
      <c r="T224" s="76"/>
      <c r="U224" s="55"/>
      <c r="V224" s="54"/>
      <c r="W224" s="55"/>
      <c r="X224" s="77"/>
      <c r="Y224" s="61"/>
      <c r="Z224" s="71"/>
      <c r="AA224" s="72"/>
      <c r="AB224" s="72"/>
      <c r="AC224" s="73"/>
      <c r="AD224" s="73"/>
      <c r="AE224" s="73"/>
      <c r="AF224" s="73"/>
      <c r="AG224" s="73"/>
      <c r="AH224" s="73"/>
    </row>
    <row r="225" ht="15.75" customHeight="1">
      <c r="A225" s="79"/>
      <c r="B225" s="125" t="s">
        <v>202</v>
      </c>
      <c r="C225" s="53"/>
      <c r="D225" s="54"/>
      <c r="E225" s="55"/>
      <c r="F225" s="54"/>
      <c r="G225" s="55"/>
      <c r="H225" s="54"/>
      <c r="I225" s="56"/>
      <c r="J225" s="54"/>
      <c r="K225" s="55"/>
      <c r="L225" s="76"/>
      <c r="M225" s="55"/>
      <c r="N225" s="76"/>
      <c r="O225" s="55"/>
      <c r="P225" s="76"/>
      <c r="Q225" s="55"/>
      <c r="R225" s="76"/>
      <c r="S225" s="55"/>
      <c r="T225" s="76"/>
      <c r="U225" s="55"/>
      <c r="V225" s="54"/>
      <c r="W225" s="55"/>
      <c r="X225" s="77"/>
      <c r="Y225" s="61"/>
      <c r="Z225" s="71"/>
      <c r="AA225" s="72"/>
      <c r="AB225" s="72"/>
      <c r="AC225" s="73"/>
      <c r="AD225" s="73"/>
      <c r="AE225" s="73"/>
      <c r="AF225" s="73"/>
      <c r="AG225" s="73"/>
      <c r="AH225" s="73"/>
    </row>
    <row r="226" ht="15.75" customHeight="1">
      <c r="A226" s="79"/>
      <c r="B226" s="125" t="s">
        <v>203</v>
      </c>
      <c r="C226" s="53"/>
      <c r="D226" s="54"/>
      <c r="E226" s="55"/>
      <c r="F226" s="54"/>
      <c r="G226" s="55"/>
      <c r="H226" s="54"/>
      <c r="I226" s="56"/>
      <c r="J226" s="54"/>
      <c r="K226" s="55"/>
      <c r="L226" s="76"/>
      <c r="M226" s="55"/>
      <c r="N226" s="76"/>
      <c r="O226" s="55"/>
      <c r="P226" s="76"/>
      <c r="Q226" s="55"/>
      <c r="R226" s="76"/>
      <c r="S226" s="55"/>
      <c r="T226" s="76"/>
      <c r="U226" s="55"/>
      <c r="V226" s="54"/>
      <c r="W226" s="55"/>
      <c r="X226" s="77"/>
      <c r="Y226" s="61"/>
      <c r="Z226" s="71"/>
      <c r="AA226" s="72"/>
      <c r="AB226" s="72"/>
      <c r="AC226" s="73"/>
      <c r="AD226" s="73"/>
      <c r="AE226" s="73"/>
      <c r="AF226" s="73"/>
      <c r="AG226" s="73"/>
      <c r="AH226" s="73"/>
    </row>
    <row r="227" ht="13.5" customHeight="1">
      <c r="A227" s="43">
        <v>7.0</v>
      </c>
      <c r="B227" s="44" t="s">
        <v>204</v>
      </c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6"/>
      <c r="Z227" s="71"/>
      <c r="AA227" s="72"/>
      <c r="AB227" s="72"/>
      <c r="AC227" s="73"/>
      <c r="AD227" s="73"/>
      <c r="AE227" s="73"/>
      <c r="AF227" s="73"/>
      <c r="AG227" s="73"/>
      <c r="AH227" s="73"/>
    </row>
    <row r="228" ht="15.75" customHeight="1">
      <c r="A228" s="47"/>
      <c r="B228" s="48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50"/>
      <c r="Z228" s="71"/>
      <c r="AA228" s="72"/>
      <c r="AB228" s="72"/>
      <c r="AC228" s="73"/>
      <c r="AD228" s="73"/>
      <c r="AE228" s="73"/>
      <c r="AF228" s="73"/>
      <c r="AG228" s="73"/>
      <c r="AH228" s="73"/>
    </row>
    <row r="229" ht="15.75" customHeight="1">
      <c r="A229" s="79"/>
      <c r="B229" s="134" t="s">
        <v>205</v>
      </c>
      <c r="C229" s="53"/>
      <c r="D229" s="54"/>
      <c r="E229" s="55"/>
      <c r="F229" s="54"/>
      <c r="G229" s="55"/>
      <c r="H229" s="54"/>
      <c r="I229" s="56"/>
      <c r="J229" s="54"/>
      <c r="K229" s="55"/>
      <c r="L229" s="76"/>
      <c r="M229" s="55"/>
      <c r="N229" s="76"/>
      <c r="O229" s="55"/>
      <c r="P229" s="76"/>
      <c r="Q229" s="55"/>
      <c r="R229" s="76"/>
      <c r="S229" s="55"/>
      <c r="T229" s="76"/>
      <c r="U229" s="55"/>
      <c r="V229" s="54"/>
      <c r="W229" s="55"/>
      <c r="X229" s="77"/>
      <c r="Y229" s="61"/>
      <c r="Z229" s="71"/>
      <c r="AA229" s="72"/>
      <c r="AB229" s="72"/>
      <c r="AC229" s="73"/>
      <c r="AD229" s="73"/>
      <c r="AE229" s="73"/>
      <c r="AF229" s="73"/>
      <c r="AG229" s="73"/>
      <c r="AH229" s="73"/>
    </row>
    <row r="230" ht="15.75" customHeight="1">
      <c r="A230" s="79"/>
      <c r="B230" s="125" t="s">
        <v>206</v>
      </c>
      <c r="C230" s="53"/>
      <c r="D230" s="54"/>
      <c r="E230" s="55"/>
      <c r="F230" s="54"/>
      <c r="G230" s="55"/>
      <c r="H230" s="76"/>
      <c r="I230" s="56"/>
      <c r="J230" s="76"/>
      <c r="K230" s="55"/>
      <c r="L230" s="76"/>
      <c r="M230" s="55"/>
      <c r="N230" s="76"/>
      <c r="O230" s="55"/>
      <c r="P230" s="76"/>
      <c r="Q230" s="55"/>
      <c r="R230" s="76"/>
      <c r="S230" s="55"/>
      <c r="T230" s="76"/>
      <c r="U230" s="55"/>
      <c r="V230" s="54"/>
      <c r="W230" s="55"/>
      <c r="X230" s="77"/>
      <c r="Y230" s="61"/>
      <c r="Z230" s="71"/>
      <c r="AA230" s="72"/>
      <c r="AB230" s="72"/>
      <c r="AC230" s="73"/>
      <c r="AD230" s="73"/>
      <c r="AE230" s="73"/>
      <c r="AF230" s="73"/>
      <c r="AG230" s="73"/>
      <c r="AH230" s="73"/>
    </row>
    <row r="231" ht="13.5" customHeight="1">
      <c r="A231" s="43">
        <v>8.0</v>
      </c>
      <c r="B231" s="44" t="s">
        <v>207</v>
      </c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6"/>
      <c r="Z231" s="71"/>
      <c r="AA231" s="72"/>
      <c r="AB231" s="72"/>
      <c r="AC231" s="73"/>
      <c r="AD231" s="73"/>
      <c r="AE231" s="73"/>
      <c r="AF231" s="73"/>
      <c r="AG231" s="73"/>
      <c r="AH231" s="73"/>
    </row>
    <row r="232" ht="15.75" customHeight="1">
      <c r="A232" s="47"/>
      <c r="B232" s="48"/>
      <c r="C232" s="49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50"/>
      <c r="Z232" s="71"/>
      <c r="AA232" s="72"/>
      <c r="AB232" s="72"/>
      <c r="AC232" s="73"/>
      <c r="AD232" s="73"/>
      <c r="AE232" s="73"/>
      <c r="AF232" s="73"/>
      <c r="AG232" s="73"/>
      <c r="AH232" s="73"/>
    </row>
    <row r="233" ht="15.75" customHeight="1">
      <c r="A233" s="79"/>
      <c r="B233" s="134" t="s">
        <v>208</v>
      </c>
      <c r="C233" s="53"/>
      <c r="D233" s="54"/>
      <c r="E233" s="55"/>
      <c r="F233" s="54"/>
      <c r="G233" s="55"/>
      <c r="H233" s="54"/>
      <c r="I233" s="56"/>
      <c r="J233" s="54"/>
      <c r="K233" s="55"/>
      <c r="L233" s="76"/>
      <c r="M233" s="55"/>
      <c r="N233" s="76"/>
      <c r="O233" s="55"/>
      <c r="P233" s="76"/>
      <c r="Q233" s="55"/>
      <c r="R233" s="76"/>
      <c r="S233" s="55"/>
      <c r="T233" s="76"/>
      <c r="U233" s="55"/>
      <c r="V233" s="54"/>
      <c r="W233" s="55"/>
      <c r="X233" s="77"/>
      <c r="Y233" s="61"/>
      <c r="Z233" s="71"/>
      <c r="AA233" s="72"/>
      <c r="AB233" s="72"/>
      <c r="AC233" s="73"/>
      <c r="AD233" s="73"/>
      <c r="AE233" s="73"/>
      <c r="AF233" s="73"/>
      <c r="AG233" s="73"/>
      <c r="AH233" s="73"/>
    </row>
    <row r="234" ht="15.75" customHeight="1">
      <c r="A234" s="79"/>
      <c r="B234" s="125" t="s">
        <v>209</v>
      </c>
      <c r="C234" s="53"/>
      <c r="D234" s="54"/>
      <c r="E234" s="55"/>
      <c r="F234" s="54"/>
      <c r="G234" s="55"/>
      <c r="H234" s="76"/>
      <c r="I234" s="56"/>
      <c r="J234" s="76"/>
      <c r="K234" s="55"/>
      <c r="L234" s="76"/>
      <c r="M234" s="55"/>
      <c r="N234" s="76"/>
      <c r="O234" s="55"/>
      <c r="P234" s="76"/>
      <c r="Q234" s="55"/>
      <c r="R234" s="76"/>
      <c r="S234" s="55"/>
      <c r="T234" s="76"/>
      <c r="U234" s="55"/>
      <c r="V234" s="54"/>
      <c r="W234" s="55"/>
      <c r="X234" s="77"/>
      <c r="Y234" s="61"/>
      <c r="Z234" s="71"/>
      <c r="AA234" s="72"/>
      <c r="AB234" s="72"/>
      <c r="AC234" s="73"/>
      <c r="AD234" s="73"/>
      <c r="AE234" s="73"/>
      <c r="AF234" s="73"/>
      <c r="AG234" s="73"/>
      <c r="AH234" s="73"/>
    </row>
    <row r="235" ht="15.75" customHeight="1">
      <c r="A235" s="79"/>
      <c r="B235" s="134" t="s">
        <v>210</v>
      </c>
      <c r="C235" s="53"/>
      <c r="D235" s="54"/>
      <c r="E235" s="55"/>
      <c r="F235" s="54"/>
      <c r="G235" s="55"/>
      <c r="H235" s="76"/>
      <c r="I235" s="56"/>
      <c r="J235" s="76"/>
      <c r="K235" s="55"/>
      <c r="L235" s="76"/>
      <c r="M235" s="55"/>
      <c r="N235" s="76"/>
      <c r="O235" s="55"/>
      <c r="P235" s="76"/>
      <c r="Q235" s="55"/>
      <c r="R235" s="76"/>
      <c r="S235" s="55"/>
      <c r="T235" s="76"/>
      <c r="U235" s="55"/>
      <c r="V235" s="54"/>
      <c r="W235" s="55"/>
      <c r="X235" s="77"/>
      <c r="Y235" s="61"/>
      <c r="Z235" s="71"/>
      <c r="AA235" s="72"/>
      <c r="AB235" s="72"/>
      <c r="AC235" s="73"/>
      <c r="AD235" s="73"/>
      <c r="AE235" s="73"/>
      <c r="AF235" s="73"/>
      <c r="AG235" s="73"/>
      <c r="AH235" s="73"/>
    </row>
    <row r="236" ht="15.75" customHeight="1">
      <c r="A236" s="79"/>
      <c r="B236" s="125" t="s">
        <v>211</v>
      </c>
      <c r="C236" s="53"/>
      <c r="D236" s="54"/>
      <c r="E236" s="55"/>
      <c r="F236" s="54"/>
      <c r="G236" s="55"/>
      <c r="H236" s="76"/>
      <c r="I236" s="56"/>
      <c r="J236" s="76"/>
      <c r="K236" s="55"/>
      <c r="L236" s="76"/>
      <c r="M236" s="55"/>
      <c r="N236" s="76"/>
      <c r="O236" s="55"/>
      <c r="P236" s="76"/>
      <c r="Q236" s="55"/>
      <c r="R236" s="76"/>
      <c r="S236" s="55"/>
      <c r="T236" s="76"/>
      <c r="U236" s="55"/>
      <c r="V236" s="54"/>
      <c r="W236" s="55"/>
      <c r="X236" s="77"/>
      <c r="Y236" s="61"/>
      <c r="Z236" s="71"/>
      <c r="AA236" s="72"/>
      <c r="AB236" s="72"/>
      <c r="AC236" s="73"/>
      <c r="AD236" s="73"/>
      <c r="AE236" s="73"/>
      <c r="AF236" s="73"/>
      <c r="AG236" s="73"/>
      <c r="AH236" s="73"/>
    </row>
    <row r="237" ht="13.5" customHeight="1">
      <c r="A237" s="43">
        <v>9.0</v>
      </c>
      <c r="B237" s="44" t="s">
        <v>212</v>
      </c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6"/>
      <c r="Z237" s="71"/>
      <c r="AA237" s="72"/>
      <c r="AB237" s="72"/>
      <c r="AC237" s="73"/>
      <c r="AD237" s="73"/>
      <c r="AE237" s="73"/>
      <c r="AF237" s="73"/>
      <c r="AG237" s="73"/>
      <c r="AH237" s="73"/>
    </row>
    <row r="238" ht="16.5" customHeight="1">
      <c r="A238" s="47"/>
      <c r="B238" s="48"/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50"/>
      <c r="Z238" s="71"/>
      <c r="AA238" s="72"/>
      <c r="AB238" s="72"/>
      <c r="AC238" s="73"/>
      <c r="AD238" s="73"/>
      <c r="AE238" s="73"/>
      <c r="AF238" s="73"/>
      <c r="AG238" s="73"/>
      <c r="AH238" s="73"/>
    </row>
    <row r="239" ht="15.75" customHeight="1">
      <c r="A239" s="79"/>
      <c r="B239" s="134" t="s">
        <v>213</v>
      </c>
      <c r="C239" s="53"/>
      <c r="D239" s="54"/>
      <c r="E239" s="55"/>
      <c r="F239" s="54"/>
      <c r="G239" s="55"/>
      <c r="H239" s="54"/>
      <c r="I239" s="56"/>
      <c r="J239" s="54"/>
      <c r="K239" s="55"/>
      <c r="L239" s="76"/>
      <c r="M239" s="55"/>
      <c r="N239" s="76"/>
      <c r="O239" s="55"/>
      <c r="P239" s="76"/>
      <c r="Q239" s="55"/>
      <c r="R239" s="76"/>
      <c r="S239" s="55"/>
      <c r="T239" s="76"/>
      <c r="U239" s="55"/>
      <c r="V239" s="54"/>
      <c r="W239" s="55"/>
      <c r="X239" s="135"/>
      <c r="Y239" s="85"/>
      <c r="Z239" s="71"/>
      <c r="AA239" s="72"/>
      <c r="AB239" s="72"/>
      <c r="AC239" s="73"/>
      <c r="AD239" s="73"/>
      <c r="AE239" s="73"/>
      <c r="AF239" s="73"/>
      <c r="AG239" s="73"/>
      <c r="AH239" s="73"/>
    </row>
    <row r="240" ht="15.75" customHeight="1">
      <c r="A240" s="79"/>
      <c r="B240" s="125" t="s">
        <v>214</v>
      </c>
      <c r="C240" s="53"/>
      <c r="D240" s="54"/>
      <c r="E240" s="55"/>
      <c r="F240" s="54"/>
      <c r="G240" s="55"/>
      <c r="H240" s="54"/>
      <c r="I240" s="56"/>
      <c r="J240" s="54"/>
      <c r="K240" s="55"/>
      <c r="L240" s="76"/>
      <c r="M240" s="76"/>
      <c r="N240" s="76"/>
      <c r="O240" s="55"/>
      <c r="P240" s="76"/>
      <c r="Q240" s="55"/>
      <c r="R240" s="76"/>
      <c r="S240" s="55"/>
      <c r="T240" s="76"/>
      <c r="U240" s="55"/>
      <c r="V240" s="54"/>
      <c r="W240" s="55"/>
      <c r="X240" s="135"/>
      <c r="Y240" s="85"/>
      <c r="Z240" s="71"/>
      <c r="AA240" s="72"/>
      <c r="AB240" s="72"/>
      <c r="AC240" s="73"/>
      <c r="AD240" s="73"/>
      <c r="AE240" s="73"/>
      <c r="AF240" s="73"/>
      <c r="AG240" s="73"/>
      <c r="AH240" s="73"/>
    </row>
    <row r="241" ht="15.75" customHeight="1">
      <c r="A241" s="79"/>
      <c r="B241" s="125" t="s">
        <v>215</v>
      </c>
      <c r="C241" s="53"/>
      <c r="D241" s="54"/>
      <c r="E241" s="55"/>
      <c r="F241" s="54"/>
      <c r="G241" s="55"/>
      <c r="H241" s="54"/>
      <c r="I241" s="56"/>
      <c r="J241" s="54"/>
      <c r="K241" s="55"/>
      <c r="L241" s="76"/>
      <c r="M241" s="76"/>
      <c r="N241" s="76"/>
      <c r="O241" s="55"/>
      <c r="P241" s="76"/>
      <c r="Q241" s="55"/>
      <c r="R241" s="76"/>
      <c r="S241" s="55"/>
      <c r="T241" s="76"/>
      <c r="U241" s="55"/>
      <c r="V241" s="54"/>
      <c r="W241" s="55"/>
      <c r="X241" s="135"/>
      <c r="Y241" s="85"/>
      <c r="Z241" s="71"/>
      <c r="AA241" s="72"/>
      <c r="AB241" s="72"/>
      <c r="AC241" s="73"/>
      <c r="AD241" s="73"/>
      <c r="AE241" s="73"/>
      <c r="AF241" s="73"/>
      <c r="AG241" s="73"/>
      <c r="AH241" s="73"/>
    </row>
    <row r="242" ht="13.5" customHeight="1">
      <c r="A242" s="43">
        <v>10.0</v>
      </c>
      <c r="B242" s="44" t="s">
        <v>216</v>
      </c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6"/>
      <c r="Z242" s="71"/>
      <c r="AA242" s="72"/>
      <c r="AB242" s="72"/>
      <c r="AC242" s="73"/>
      <c r="AD242" s="73"/>
      <c r="AE242" s="73"/>
      <c r="AF242" s="73"/>
      <c r="AG242" s="73"/>
      <c r="AH242" s="73"/>
    </row>
    <row r="243" ht="15.75" customHeight="1">
      <c r="A243" s="47"/>
      <c r="B243" s="48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50"/>
      <c r="Z243" s="71"/>
      <c r="AA243" s="72"/>
      <c r="AB243" s="72"/>
      <c r="AC243" s="73"/>
      <c r="AD243" s="73"/>
      <c r="AE243" s="73"/>
      <c r="AF243" s="73"/>
      <c r="AG243" s="73"/>
      <c r="AH243" s="73"/>
    </row>
    <row r="244" ht="15.75" customHeight="1">
      <c r="A244" s="79"/>
      <c r="B244" s="134" t="s">
        <v>217</v>
      </c>
      <c r="C244" s="53"/>
      <c r="D244" s="54"/>
      <c r="E244" s="55"/>
      <c r="F244" s="54"/>
      <c r="G244" s="55"/>
      <c r="H244" s="54"/>
      <c r="I244" s="56"/>
      <c r="J244" s="54"/>
      <c r="K244" s="55"/>
      <c r="L244" s="76"/>
      <c r="M244" s="55"/>
      <c r="N244" s="76"/>
      <c r="O244" s="55"/>
      <c r="P244" s="76"/>
      <c r="Q244" s="55"/>
      <c r="R244" s="76"/>
      <c r="S244" s="55"/>
      <c r="T244" s="76"/>
      <c r="U244" s="55"/>
      <c r="V244" s="54"/>
      <c r="W244" s="55"/>
      <c r="X244" s="135"/>
      <c r="Y244" s="85"/>
      <c r="Z244" s="71"/>
      <c r="AA244" s="72"/>
      <c r="AB244" s="72"/>
      <c r="AC244" s="73"/>
      <c r="AD244" s="73"/>
      <c r="AE244" s="73"/>
      <c r="AF244" s="73"/>
      <c r="AG244" s="73"/>
      <c r="AH244" s="73"/>
    </row>
    <row r="245" ht="15.75" customHeight="1">
      <c r="A245" s="79"/>
      <c r="B245" s="125" t="s">
        <v>218</v>
      </c>
      <c r="C245" s="53"/>
      <c r="D245" s="54"/>
      <c r="E245" s="55"/>
      <c r="F245" s="54"/>
      <c r="G245" s="55"/>
      <c r="H245" s="54"/>
      <c r="I245" s="56"/>
      <c r="J245" s="54"/>
      <c r="K245" s="55"/>
      <c r="L245" s="76"/>
      <c r="M245" s="55"/>
      <c r="N245" s="76"/>
      <c r="O245" s="55"/>
      <c r="P245" s="76"/>
      <c r="Q245" s="55"/>
      <c r="R245" s="76"/>
      <c r="S245" s="55"/>
      <c r="T245" s="76"/>
      <c r="U245" s="55"/>
      <c r="V245" s="54"/>
      <c r="W245" s="55"/>
      <c r="X245" s="135"/>
      <c r="Y245" s="85"/>
      <c r="Z245" s="71"/>
      <c r="AA245" s="72"/>
      <c r="AB245" s="72"/>
      <c r="AC245" s="73"/>
      <c r="AD245" s="73"/>
      <c r="AE245" s="73"/>
      <c r="AF245" s="73"/>
      <c r="AG245" s="73"/>
      <c r="AH245" s="73"/>
    </row>
    <row r="246" ht="13.5" customHeight="1">
      <c r="A246" s="43">
        <v>11.0</v>
      </c>
      <c r="B246" s="44" t="s">
        <v>219</v>
      </c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6"/>
      <c r="Z246" s="71"/>
      <c r="AA246" s="72"/>
      <c r="AB246" s="72"/>
      <c r="AC246" s="73"/>
      <c r="AD246" s="73"/>
      <c r="AE246" s="73"/>
      <c r="AF246" s="73"/>
      <c r="AG246" s="73"/>
      <c r="AH246" s="73"/>
    </row>
    <row r="247" ht="15.0" customHeight="1">
      <c r="A247" s="47"/>
      <c r="B247" s="48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50"/>
      <c r="Z247" s="71"/>
      <c r="AA247" s="72"/>
      <c r="AB247" s="72"/>
      <c r="AC247" s="73"/>
      <c r="AD247" s="73"/>
      <c r="AE247" s="73"/>
      <c r="AF247" s="73"/>
      <c r="AG247" s="73"/>
      <c r="AH247" s="73"/>
    </row>
    <row r="248" ht="15.75" customHeight="1">
      <c r="A248" s="79"/>
      <c r="B248" s="134" t="s">
        <v>220</v>
      </c>
      <c r="C248" s="53"/>
      <c r="D248" s="54"/>
      <c r="E248" s="55"/>
      <c r="F248" s="54"/>
      <c r="G248" s="55"/>
      <c r="H248" s="54"/>
      <c r="I248" s="56"/>
      <c r="J248" s="54"/>
      <c r="K248" s="55"/>
      <c r="L248" s="76"/>
      <c r="M248" s="55"/>
      <c r="N248" s="76"/>
      <c r="O248" s="55"/>
      <c r="P248" s="76"/>
      <c r="Q248" s="55"/>
      <c r="R248" s="76"/>
      <c r="S248" s="55"/>
      <c r="T248" s="76"/>
      <c r="U248" s="55"/>
      <c r="V248" s="54"/>
      <c r="W248" s="55"/>
      <c r="X248" s="135"/>
      <c r="Y248" s="85"/>
      <c r="Z248" s="71"/>
      <c r="AA248" s="72"/>
      <c r="AB248" s="72"/>
      <c r="AC248" s="73"/>
      <c r="AD248" s="73"/>
      <c r="AE248" s="73"/>
      <c r="AF248" s="73"/>
      <c r="AG248" s="73"/>
      <c r="AH248" s="73"/>
    </row>
    <row r="249" ht="15.75" customHeight="1">
      <c r="A249" s="79"/>
      <c r="B249" s="125" t="s">
        <v>221</v>
      </c>
      <c r="C249" s="53"/>
      <c r="D249" s="54"/>
      <c r="E249" s="55"/>
      <c r="F249" s="54"/>
      <c r="G249" s="55"/>
      <c r="H249" s="54"/>
      <c r="I249" s="56"/>
      <c r="J249" s="54"/>
      <c r="K249" s="55"/>
      <c r="L249" s="76"/>
      <c r="M249" s="55"/>
      <c r="N249" s="76"/>
      <c r="O249" s="55"/>
      <c r="P249" s="76"/>
      <c r="Q249" s="55"/>
      <c r="R249" s="76"/>
      <c r="S249" s="55"/>
      <c r="T249" s="76"/>
      <c r="U249" s="55"/>
      <c r="V249" s="54"/>
      <c r="W249" s="55"/>
      <c r="X249" s="135"/>
      <c r="Y249" s="85"/>
      <c r="Z249" s="71"/>
      <c r="AA249" s="72"/>
      <c r="AB249" s="72"/>
      <c r="AC249" s="73"/>
      <c r="AD249" s="73"/>
      <c r="AE249" s="73"/>
      <c r="AF249" s="73"/>
      <c r="AG249" s="73"/>
      <c r="AH249" s="73"/>
    </row>
    <row r="250" ht="15.75" customHeight="1">
      <c r="A250" s="79"/>
      <c r="B250" s="125" t="s">
        <v>222</v>
      </c>
      <c r="C250" s="53"/>
      <c r="D250" s="54"/>
      <c r="E250" s="55"/>
      <c r="F250" s="54"/>
      <c r="G250" s="55"/>
      <c r="H250" s="54"/>
      <c r="I250" s="56"/>
      <c r="J250" s="54"/>
      <c r="K250" s="55"/>
      <c r="L250" s="76"/>
      <c r="M250" s="55"/>
      <c r="N250" s="76"/>
      <c r="O250" s="55"/>
      <c r="P250" s="76"/>
      <c r="Q250" s="55"/>
      <c r="R250" s="76"/>
      <c r="S250" s="55"/>
      <c r="T250" s="76"/>
      <c r="U250" s="55"/>
      <c r="V250" s="54"/>
      <c r="W250" s="55"/>
      <c r="X250" s="135"/>
      <c r="Y250" s="85"/>
      <c r="Z250" s="71"/>
      <c r="AA250" s="72"/>
      <c r="AB250" s="72"/>
      <c r="AC250" s="73"/>
      <c r="AD250" s="73"/>
      <c r="AE250" s="73"/>
      <c r="AF250" s="73"/>
      <c r="AG250" s="73"/>
      <c r="AH250" s="73"/>
    </row>
    <row r="251" ht="15.75" customHeight="1">
      <c r="A251" s="79"/>
      <c r="B251" s="125" t="s">
        <v>223</v>
      </c>
      <c r="C251" s="53"/>
      <c r="D251" s="54"/>
      <c r="E251" s="55"/>
      <c r="F251" s="54"/>
      <c r="G251" s="55"/>
      <c r="H251" s="54"/>
      <c r="I251" s="56"/>
      <c r="J251" s="54"/>
      <c r="K251" s="55"/>
      <c r="L251" s="76"/>
      <c r="M251" s="55"/>
      <c r="N251" s="76"/>
      <c r="O251" s="55"/>
      <c r="P251" s="76"/>
      <c r="Q251" s="55"/>
      <c r="R251" s="76"/>
      <c r="S251" s="55"/>
      <c r="T251" s="76"/>
      <c r="U251" s="55"/>
      <c r="V251" s="54"/>
      <c r="W251" s="55"/>
      <c r="X251" s="135"/>
      <c r="Y251" s="85"/>
      <c r="Z251" s="71"/>
      <c r="AA251" s="72"/>
      <c r="AB251" s="72"/>
      <c r="AC251" s="73"/>
      <c r="AD251" s="73"/>
      <c r="AE251" s="73"/>
      <c r="AF251" s="73"/>
      <c r="AG251" s="73"/>
      <c r="AH251" s="73"/>
    </row>
    <row r="252" ht="15.75" customHeight="1">
      <c r="A252" s="79"/>
      <c r="B252" s="125" t="s">
        <v>224</v>
      </c>
      <c r="C252" s="53"/>
      <c r="D252" s="54"/>
      <c r="E252" s="55"/>
      <c r="F252" s="54"/>
      <c r="G252" s="55"/>
      <c r="H252" s="54"/>
      <c r="I252" s="56"/>
      <c r="J252" s="54"/>
      <c r="K252" s="55"/>
      <c r="L252" s="76"/>
      <c r="M252" s="55"/>
      <c r="N252" s="76"/>
      <c r="O252" s="55"/>
      <c r="P252" s="76"/>
      <c r="Q252" s="55"/>
      <c r="R252" s="76"/>
      <c r="S252" s="55"/>
      <c r="T252" s="76"/>
      <c r="U252" s="55"/>
      <c r="V252" s="54"/>
      <c r="W252" s="55"/>
      <c r="X252" s="135"/>
      <c r="Y252" s="85"/>
      <c r="Z252" s="71"/>
      <c r="AA252" s="72"/>
      <c r="AB252" s="72"/>
      <c r="AC252" s="73"/>
      <c r="AD252" s="73"/>
      <c r="AE252" s="73"/>
      <c r="AF252" s="73"/>
      <c r="AG252" s="73"/>
      <c r="AH252" s="73"/>
    </row>
    <row r="253" ht="15.75" customHeight="1">
      <c r="A253" s="79"/>
      <c r="B253" s="125" t="s">
        <v>225</v>
      </c>
      <c r="C253" s="53"/>
      <c r="D253" s="54"/>
      <c r="E253" s="55"/>
      <c r="F253" s="54"/>
      <c r="G253" s="55"/>
      <c r="H253" s="54"/>
      <c r="I253" s="56"/>
      <c r="J253" s="54"/>
      <c r="K253" s="55"/>
      <c r="L253" s="76"/>
      <c r="M253" s="55"/>
      <c r="N253" s="76"/>
      <c r="O253" s="55"/>
      <c r="P253" s="76"/>
      <c r="Q253" s="55"/>
      <c r="R253" s="76"/>
      <c r="S253" s="55"/>
      <c r="T253" s="76"/>
      <c r="U253" s="55"/>
      <c r="V253" s="54"/>
      <c r="W253" s="55"/>
      <c r="X253" s="135"/>
      <c r="Y253" s="85"/>
      <c r="Z253" s="71"/>
      <c r="AA253" s="72"/>
      <c r="AB253" s="72"/>
      <c r="AC253" s="73"/>
      <c r="AD253" s="73"/>
      <c r="AE253" s="73"/>
      <c r="AF253" s="73"/>
      <c r="AG253" s="73"/>
      <c r="AH253" s="73"/>
    </row>
    <row r="254" ht="15.75" customHeight="1">
      <c r="A254" s="79"/>
      <c r="B254" s="125" t="s">
        <v>226</v>
      </c>
      <c r="C254" s="53"/>
      <c r="D254" s="54"/>
      <c r="E254" s="55"/>
      <c r="F254" s="54"/>
      <c r="G254" s="55"/>
      <c r="H254" s="54"/>
      <c r="I254" s="56"/>
      <c r="J254" s="54"/>
      <c r="K254" s="55"/>
      <c r="L254" s="76"/>
      <c r="M254" s="55"/>
      <c r="N254" s="76"/>
      <c r="O254" s="55"/>
      <c r="P254" s="76"/>
      <c r="Q254" s="55"/>
      <c r="R254" s="76"/>
      <c r="S254" s="55"/>
      <c r="T254" s="76"/>
      <c r="U254" s="55"/>
      <c r="V254" s="54"/>
      <c r="W254" s="55"/>
      <c r="X254" s="135"/>
      <c r="Y254" s="85"/>
      <c r="Z254" s="71"/>
      <c r="AA254" s="72"/>
      <c r="AB254" s="72"/>
      <c r="AC254" s="73"/>
      <c r="AD254" s="73"/>
      <c r="AE254" s="73"/>
      <c r="AF254" s="73"/>
      <c r="AG254" s="73"/>
      <c r="AH254" s="73"/>
    </row>
    <row r="255" ht="19.5" customHeight="1">
      <c r="A255" s="79"/>
      <c r="B255" s="125" t="s">
        <v>227</v>
      </c>
      <c r="C255" s="53"/>
      <c r="D255" s="54"/>
      <c r="E255" s="55"/>
      <c r="F255" s="54"/>
      <c r="G255" s="55"/>
      <c r="H255" s="54"/>
      <c r="I255" s="56"/>
      <c r="J255" s="54"/>
      <c r="K255" s="55"/>
      <c r="L255" s="76"/>
      <c r="M255" s="55"/>
      <c r="N255" s="76"/>
      <c r="O255" s="55"/>
      <c r="P255" s="76"/>
      <c r="Q255" s="55"/>
      <c r="R255" s="76"/>
      <c r="S255" s="55"/>
      <c r="T255" s="76"/>
      <c r="U255" s="55"/>
      <c r="V255" s="54"/>
      <c r="W255" s="55"/>
      <c r="X255" s="135"/>
      <c r="Y255" s="85"/>
      <c r="Z255" s="71"/>
      <c r="AA255" s="72"/>
      <c r="AB255" s="72"/>
      <c r="AC255" s="73"/>
      <c r="AD255" s="73"/>
      <c r="AE255" s="73"/>
      <c r="AF255" s="73"/>
      <c r="AG255" s="73"/>
      <c r="AH255" s="73"/>
    </row>
    <row r="256" ht="13.5" customHeight="1">
      <c r="A256" s="43">
        <v>12.0</v>
      </c>
      <c r="B256" s="44" t="s">
        <v>228</v>
      </c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6"/>
      <c r="Z256" s="71"/>
      <c r="AA256" s="72"/>
      <c r="AB256" s="72"/>
      <c r="AC256" s="73"/>
      <c r="AD256" s="73"/>
      <c r="AE256" s="73"/>
      <c r="AF256" s="73"/>
      <c r="AG256" s="73"/>
      <c r="AH256" s="73"/>
    </row>
    <row r="257" ht="15.75" customHeight="1">
      <c r="A257" s="47"/>
      <c r="B257" s="48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50"/>
      <c r="Z257" s="71"/>
      <c r="AA257" s="72"/>
      <c r="AB257" s="72"/>
      <c r="AC257" s="73"/>
      <c r="AD257" s="73"/>
      <c r="AE257" s="73"/>
      <c r="AF257" s="73"/>
      <c r="AG257" s="73"/>
      <c r="AH257" s="73"/>
    </row>
    <row r="258" ht="15.75" customHeight="1">
      <c r="A258" s="79"/>
      <c r="B258" s="127" t="s">
        <v>229</v>
      </c>
      <c r="C258" s="53"/>
      <c r="D258" s="54"/>
      <c r="E258" s="55"/>
      <c r="F258" s="54"/>
      <c r="G258" s="55"/>
      <c r="H258" s="54"/>
      <c r="I258" s="56"/>
      <c r="J258" s="54"/>
      <c r="K258" s="55"/>
      <c r="L258" s="76"/>
      <c r="M258" s="55"/>
      <c r="N258" s="76"/>
      <c r="O258" s="55"/>
      <c r="P258" s="76"/>
      <c r="Q258" s="55"/>
      <c r="R258" s="76"/>
      <c r="S258" s="55"/>
      <c r="T258" s="76"/>
      <c r="U258" s="55"/>
      <c r="V258" s="54"/>
      <c r="W258" s="55"/>
      <c r="X258" s="77"/>
      <c r="Y258" s="61"/>
      <c r="Z258" s="71"/>
      <c r="AA258" s="72"/>
      <c r="AB258" s="72"/>
      <c r="AC258" s="73"/>
      <c r="AD258" s="73"/>
      <c r="AE258" s="73"/>
      <c r="AF258" s="73"/>
      <c r="AG258" s="73"/>
      <c r="AH258" s="73"/>
    </row>
    <row r="259" ht="15.75" customHeight="1">
      <c r="A259" s="79"/>
      <c r="B259" s="128" t="s">
        <v>230</v>
      </c>
      <c r="C259" s="53"/>
      <c r="D259" s="54"/>
      <c r="E259" s="55"/>
      <c r="F259" s="54"/>
      <c r="G259" s="55"/>
      <c r="H259" s="54"/>
      <c r="I259" s="56"/>
      <c r="J259" s="54"/>
      <c r="K259" s="55"/>
      <c r="L259" s="76"/>
      <c r="M259" s="55"/>
      <c r="N259" s="76"/>
      <c r="O259" s="55"/>
      <c r="P259" s="76"/>
      <c r="Q259" s="55"/>
      <c r="R259" s="76"/>
      <c r="S259" s="55"/>
      <c r="T259" s="76"/>
      <c r="U259" s="55"/>
      <c r="V259" s="54"/>
      <c r="W259" s="55"/>
      <c r="X259" s="77"/>
      <c r="Y259" s="61"/>
      <c r="Z259" s="71"/>
      <c r="AA259" s="72"/>
      <c r="AB259" s="72"/>
      <c r="AC259" s="73"/>
      <c r="AD259" s="73"/>
      <c r="AE259" s="73"/>
      <c r="AF259" s="73"/>
      <c r="AG259" s="73"/>
      <c r="AH259" s="73"/>
    </row>
    <row r="260" ht="15.75" customHeight="1">
      <c r="A260" s="79"/>
      <c r="B260" s="128" t="s">
        <v>231</v>
      </c>
      <c r="C260" s="53"/>
      <c r="D260" s="54"/>
      <c r="E260" s="55"/>
      <c r="F260" s="54"/>
      <c r="G260" s="55"/>
      <c r="H260" s="54"/>
      <c r="I260" s="56"/>
      <c r="J260" s="54"/>
      <c r="K260" s="55"/>
      <c r="L260" s="76"/>
      <c r="M260" s="55"/>
      <c r="N260" s="76"/>
      <c r="O260" s="55"/>
      <c r="P260" s="76"/>
      <c r="Q260" s="55"/>
      <c r="R260" s="76"/>
      <c r="S260" s="55"/>
      <c r="T260" s="76"/>
      <c r="U260" s="55"/>
      <c r="V260" s="54"/>
      <c r="W260" s="55"/>
      <c r="X260" s="77"/>
      <c r="Y260" s="61"/>
      <c r="Z260" s="71"/>
      <c r="AA260" s="72"/>
      <c r="AB260" s="72"/>
      <c r="AC260" s="73"/>
      <c r="AD260" s="73"/>
      <c r="AE260" s="73"/>
      <c r="AF260" s="73"/>
      <c r="AG260" s="73"/>
      <c r="AH260" s="73"/>
    </row>
    <row r="261" ht="15.75" customHeight="1">
      <c r="A261" s="79"/>
      <c r="B261" s="128" t="s">
        <v>232</v>
      </c>
      <c r="C261" s="53"/>
      <c r="D261" s="54"/>
      <c r="E261" s="55"/>
      <c r="F261" s="54"/>
      <c r="G261" s="55"/>
      <c r="H261" s="54"/>
      <c r="I261" s="56"/>
      <c r="J261" s="54"/>
      <c r="K261" s="55"/>
      <c r="L261" s="76"/>
      <c r="M261" s="55"/>
      <c r="N261" s="76"/>
      <c r="O261" s="55"/>
      <c r="P261" s="76"/>
      <c r="Q261" s="55"/>
      <c r="R261" s="76"/>
      <c r="S261" s="55"/>
      <c r="T261" s="76"/>
      <c r="U261" s="55"/>
      <c r="V261" s="54"/>
      <c r="W261" s="55"/>
      <c r="X261" s="135"/>
      <c r="Y261" s="85"/>
      <c r="Z261" s="71"/>
      <c r="AA261" s="72"/>
      <c r="AB261" s="72"/>
      <c r="AC261" s="73"/>
      <c r="AD261" s="73"/>
      <c r="AE261" s="73"/>
      <c r="AF261" s="73"/>
      <c r="AG261" s="73"/>
      <c r="AH261" s="73"/>
    </row>
    <row r="262" ht="15.75" customHeight="1">
      <c r="A262" s="79"/>
      <c r="B262" s="128" t="s">
        <v>233</v>
      </c>
      <c r="C262" s="53"/>
      <c r="D262" s="54"/>
      <c r="E262" s="55"/>
      <c r="F262" s="54"/>
      <c r="G262" s="55"/>
      <c r="H262" s="54"/>
      <c r="I262" s="56"/>
      <c r="J262" s="54"/>
      <c r="K262" s="55"/>
      <c r="L262" s="76"/>
      <c r="M262" s="55"/>
      <c r="N262" s="76"/>
      <c r="O262" s="55"/>
      <c r="P262" s="76"/>
      <c r="Q262" s="55"/>
      <c r="R262" s="76"/>
      <c r="S262" s="55"/>
      <c r="T262" s="76"/>
      <c r="U262" s="55"/>
      <c r="V262" s="54"/>
      <c r="W262" s="55"/>
      <c r="X262" s="135"/>
      <c r="Y262" s="85"/>
      <c r="Z262" s="71"/>
      <c r="AA262" s="72"/>
      <c r="AB262" s="72"/>
      <c r="AC262" s="73"/>
      <c r="AD262" s="73"/>
      <c r="AE262" s="73"/>
      <c r="AF262" s="73"/>
      <c r="AG262" s="73"/>
      <c r="AH262" s="73"/>
    </row>
    <row r="263" ht="15.75" customHeight="1">
      <c r="A263" s="79"/>
      <c r="B263" s="128" t="s">
        <v>234</v>
      </c>
      <c r="C263" s="53"/>
      <c r="D263" s="54"/>
      <c r="E263" s="55"/>
      <c r="F263" s="54"/>
      <c r="G263" s="55"/>
      <c r="H263" s="54"/>
      <c r="I263" s="56"/>
      <c r="J263" s="54"/>
      <c r="K263" s="55"/>
      <c r="L263" s="76"/>
      <c r="M263" s="55"/>
      <c r="N263" s="76"/>
      <c r="O263" s="55"/>
      <c r="P263" s="76"/>
      <c r="Q263" s="55"/>
      <c r="R263" s="76"/>
      <c r="S263" s="55"/>
      <c r="T263" s="76"/>
      <c r="U263" s="55"/>
      <c r="V263" s="54"/>
      <c r="W263" s="55"/>
      <c r="X263" s="135"/>
      <c r="Y263" s="85"/>
      <c r="Z263" s="71"/>
      <c r="AA263" s="72"/>
      <c r="AB263" s="72"/>
      <c r="AC263" s="73"/>
      <c r="AD263" s="73"/>
      <c r="AE263" s="73"/>
      <c r="AF263" s="73"/>
      <c r="AG263" s="73"/>
      <c r="AH263" s="73"/>
    </row>
    <row r="264" ht="15.75" customHeight="1">
      <c r="A264" s="79"/>
      <c r="B264" s="128" t="s">
        <v>235</v>
      </c>
      <c r="C264" s="53"/>
      <c r="D264" s="54"/>
      <c r="E264" s="55"/>
      <c r="F264" s="54"/>
      <c r="G264" s="55"/>
      <c r="H264" s="54"/>
      <c r="I264" s="56"/>
      <c r="J264" s="54"/>
      <c r="K264" s="55"/>
      <c r="L264" s="76"/>
      <c r="M264" s="55"/>
      <c r="N264" s="76"/>
      <c r="O264" s="55"/>
      <c r="P264" s="76"/>
      <c r="Q264" s="55"/>
      <c r="R264" s="76"/>
      <c r="S264" s="55"/>
      <c r="T264" s="76"/>
      <c r="U264" s="55"/>
      <c r="V264" s="54"/>
      <c r="W264" s="55"/>
      <c r="X264" s="135"/>
      <c r="Y264" s="85"/>
      <c r="Z264" s="71"/>
      <c r="AA264" s="72"/>
      <c r="AB264" s="72"/>
      <c r="AC264" s="73"/>
      <c r="AD264" s="73"/>
      <c r="AE264" s="73"/>
      <c r="AF264" s="73"/>
      <c r="AG264" s="73"/>
      <c r="AH264" s="73"/>
    </row>
    <row r="265" ht="13.5" customHeight="1">
      <c r="A265" s="79"/>
      <c r="B265" s="128" t="s">
        <v>236</v>
      </c>
      <c r="C265" s="53"/>
      <c r="D265" s="54"/>
      <c r="E265" s="55"/>
      <c r="F265" s="54"/>
      <c r="G265" s="55"/>
      <c r="H265" s="54"/>
      <c r="I265" s="56"/>
      <c r="J265" s="54"/>
      <c r="K265" s="55"/>
      <c r="L265" s="76"/>
      <c r="M265" s="55"/>
      <c r="N265" s="76"/>
      <c r="O265" s="55"/>
      <c r="P265" s="76"/>
      <c r="Q265" s="55"/>
      <c r="R265" s="76"/>
      <c r="S265" s="55"/>
      <c r="T265" s="76"/>
      <c r="U265" s="55"/>
      <c r="V265" s="54"/>
      <c r="W265" s="55"/>
      <c r="X265" s="135"/>
      <c r="Y265" s="85"/>
      <c r="Z265" s="71"/>
      <c r="AA265" s="72"/>
      <c r="AB265" s="72"/>
      <c r="AC265" s="73"/>
      <c r="AD265" s="73"/>
      <c r="AE265" s="73"/>
      <c r="AF265" s="73"/>
      <c r="AG265" s="73"/>
      <c r="AH265" s="73"/>
    </row>
    <row r="266" ht="13.5" customHeight="1">
      <c r="A266" s="43">
        <v>13.0</v>
      </c>
      <c r="B266" s="136" t="s">
        <v>237</v>
      </c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6"/>
      <c r="Z266" s="71"/>
      <c r="AA266" s="72"/>
      <c r="AB266" s="72"/>
      <c r="AC266" s="73"/>
      <c r="AD266" s="73"/>
      <c r="AE266" s="73"/>
      <c r="AF266" s="73"/>
      <c r="AG266" s="73"/>
      <c r="AH266" s="73"/>
    </row>
    <row r="267" ht="15.75" customHeight="1">
      <c r="A267" s="47"/>
      <c r="B267" s="48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50"/>
      <c r="Z267" s="71"/>
      <c r="AA267" s="72"/>
      <c r="AB267" s="72"/>
      <c r="AC267" s="73"/>
      <c r="AD267" s="73"/>
      <c r="AE267" s="73"/>
      <c r="AF267" s="73"/>
      <c r="AG267" s="73"/>
      <c r="AH267" s="73"/>
    </row>
    <row r="268" ht="15.75" customHeight="1">
      <c r="A268" s="79"/>
      <c r="B268" s="52" t="s">
        <v>238</v>
      </c>
      <c r="C268" s="53"/>
      <c r="D268" s="54"/>
      <c r="E268" s="55"/>
      <c r="F268" s="54"/>
      <c r="G268" s="55"/>
      <c r="H268" s="54"/>
      <c r="I268" s="56"/>
      <c r="J268" s="54"/>
      <c r="K268" s="55"/>
      <c r="L268" s="76"/>
      <c r="M268" s="55"/>
      <c r="N268" s="76"/>
      <c r="O268" s="55"/>
      <c r="P268" s="76"/>
      <c r="Q268" s="55"/>
      <c r="R268" s="76"/>
      <c r="S268" s="55"/>
      <c r="T268" s="76"/>
      <c r="U268" s="55"/>
      <c r="V268" s="54"/>
      <c r="W268" s="55"/>
      <c r="X268" s="77"/>
      <c r="Y268" s="61"/>
      <c r="Z268" s="71"/>
      <c r="AA268" s="72"/>
      <c r="AB268" s="72"/>
      <c r="AC268" s="73"/>
      <c r="AD268" s="73"/>
      <c r="AE268" s="73"/>
      <c r="AF268" s="73"/>
      <c r="AG268" s="73"/>
      <c r="AH268" s="73"/>
    </row>
    <row r="269" ht="15.75" customHeight="1">
      <c r="A269" s="79"/>
      <c r="B269" s="62" t="s">
        <v>239</v>
      </c>
      <c r="C269" s="53"/>
      <c r="D269" s="54"/>
      <c r="E269" s="55"/>
      <c r="F269" s="54"/>
      <c r="G269" s="55"/>
      <c r="H269" s="54"/>
      <c r="I269" s="56"/>
      <c r="J269" s="54"/>
      <c r="K269" s="55"/>
      <c r="L269" s="76"/>
      <c r="M269" s="55"/>
      <c r="N269" s="76"/>
      <c r="O269" s="55"/>
      <c r="P269" s="76"/>
      <c r="Q269" s="55"/>
      <c r="R269" s="76"/>
      <c r="S269" s="55"/>
      <c r="T269" s="76"/>
      <c r="U269" s="55"/>
      <c r="V269" s="54"/>
      <c r="W269" s="55"/>
      <c r="X269" s="77"/>
      <c r="Y269" s="61"/>
      <c r="Z269" s="71"/>
      <c r="AA269" s="72"/>
      <c r="AB269" s="72"/>
      <c r="AC269" s="73"/>
      <c r="AD269" s="73"/>
      <c r="AE269" s="73"/>
      <c r="AF269" s="73"/>
      <c r="AG269" s="73"/>
      <c r="AH269" s="73"/>
    </row>
    <row r="270" ht="15.75" customHeight="1">
      <c r="A270" s="79"/>
      <c r="B270" s="62" t="s">
        <v>240</v>
      </c>
      <c r="C270" s="53"/>
      <c r="D270" s="54"/>
      <c r="E270" s="55"/>
      <c r="F270" s="54"/>
      <c r="G270" s="55"/>
      <c r="H270" s="54"/>
      <c r="I270" s="56"/>
      <c r="J270" s="54"/>
      <c r="K270" s="55"/>
      <c r="L270" s="76"/>
      <c r="M270" s="55"/>
      <c r="N270" s="76"/>
      <c r="O270" s="55"/>
      <c r="P270" s="76"/>
      <c r="Q270" s="55"/>
      <c r="R270" s="76"/>
      <c r="S270" s="55"/>
      <c r="T270" s="76"/>
      <c r="U270" s="55"/>
      <c r="V270" s="54"/>
      <c r="W270" s="55"/>
      <c r="X270" s="77"/>
      <c r="Y270" s="61"/>
      <c r="Z270" s="71"/>
      <c r="AA270" s="72"/>
      <c r="AB270" s="72"/>
      <c r="AC270" s="73"/>
      <c r="AD270" s="73"/>
      <c r="AE270" s="73"/>
      <c r="AF270" s="73"/>
      <c r="AG270" s="73"/>
      <c r="AH270" s="73"/>
    </row>
    <row r="271" ht="15.75" customHeight="1">
      <c r="A271" s="79"/>
      <c r="B271" s="62" t="s">
        <v>241</v>
      </c>
      <c r="C271" s="53"/>
      <c r="D271" s="54"/>
      <c r="E271" s="55"/>
      <c r="F271" s="54"/>
      <c r="G271" s="55"/>
      <c r="H271" s="54"/>
      <c r="I271" s="56"/>
      <c r="J271" s="54"/>
      <c r="K271" s="55"/>
      <c r="L271" s="76"/>
      <c r="M271" s="55"/>
      <c r="N271" s="76"/>
      <c r="O271" s="55"/>
      <c r="P271" s="76"/>
      <c r="Q271" s="55"/>
      <c r="R271" s="76"/>
      <c r="S271" s="55"/>
      <c r="T271" s="76"/>
      <c r="U271" s="55"/>
      <c r="V271" s="54"/>
      <c r="W271" s="55"/>
      <c r="X271" s="77"/>
      <c r="Y271" s="61"/>
      <c r="Z271" s="71"/>
      <c r="AA271" s="72"/>
      <c r="AB271" s="72"/>
      <c r="AC271" s="73"/>
      <c r="AD271" s="73"/>
      <c r="AE271" s="73"/>
      <c r="AF271" s="73"/>
      <c r="AG271" s="73"/>
      <c r="AH271" s="73"/>
    </row>
    <row r="272" ht="13.5" customHeight="1">
      <c r="A272" s="43">
        <v>14.0</v>
      </c>
      <c r="B272" s="44" t="s">
        <v>242</v>
      </c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6"/>
      <c r="Z272" s="71"/>
      <c r="AA272" s="72"/>
      <c r="AB272" s="72"/>
      <c r="AC272" s="73"/>
      <c r="AD272" s="73"/>
      <c r="AE272" s="73"/>
      <c r="AF272" s="73"/>
      <c r="AG272" s="73"/>
      <c r="AH272" s="73"/>
    </row>
    <row r="273" ht="16.5" customHeight="1">
      <c r="A273" s="47"/>
      <c r="B273" s="48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50"/>
      <c r="Z273" s="71"/>
      <c r="AA273" s="72"/>
      <c r="AB273" s="72"/>
      <c r="AC273" s="73"/>
      <c r="AD273" s="73"/>
      <c r="AE273" s="73"/>
      <c r="AF273" s="73"/>
      <c r="AG273" s="73"/>
      <c r="AH273" s="73"/>
    </row>
    <row r="274" ht="15.75" customHeight="1">
      <c r="A274" s="79"/>
      <c r="B274" s="127" t="s">
        <v>243</v>
      </c>
      <c r="C274" s="53"/>
      <c r="D274" s="54"/>
      <c r="E274" s="55"/>
      <c r="F274" s="54"/>
      <c r="G274" s="55"/>
      <c r="H274" s="54"/>
      <c r="I274" s="56"/>
      <c r="J274" s="54"/>
      <c r="K274" s="55"/>
      <c r="L274" s="76"/>
      <c r="M274" s="55"/>
      <c r="N274" s="76"/>
      <c r="O274" s="55"/>
      <c r="P274" s="76"/>
      <c r="Q274" s="55"/>
      <c r="R274" s="76"/>
      <c r="S274" s="55"/>
      <c r="T274" s="76"/>
      <c r="U274" s="55"/>
      <c r="V274" s="54"/>
      <c r="W274" s="55"/>
      <c r="X274" s="77"/>
      <c r="Y274" s="61"/>
      <c r="Z274" s="71"/>
      <c r="AA274" s="72"/>
      <c r="AB274" s="72"/>
      <c r="AC274" s="73"/>
      <c r="AD274" s="73"/>
      <c r="AE274" s="73"/>
      <c r="AF274" s="73"/>
      <c r="AG274" s="73"/>
      <c r="AH274" s="73"/>
    </row>
    <row r="275" ht="15.75" customHeight="1">
      <c r="A275" s="79"/>
      <c r="B275" s="128" t="s">
        <v>244</v>
      </c>
      <c r="C275" s="53"/>
      <c r="D275" s="54"/>
      <c r="E275" s="55"/>
      <c r="F275" s="54"/>
      <c r="G275" s="55"/>
      <c r="H275" s="54"/>
      <c r="I275" s="56"/>
      <c r="J275" s="54"/>
      <c r="K275" s="55"/>
      <c r="L275" s="76"/>
      <c r="M275" s="55"/>
      <c r="N275" s="76"/>
      <c r="O275" s="55"/>
      <c r="P275" s="76"/>
      <c r="Q275" s="55"/>
      <c r="R275" s="76"/>
      <c r="S275" s="55"/>
      <c r="T275" s="76"/>
      <c r="U275" s="55"/>
      <c r="V275" s="54"/>
      <c r="W275" s="55"/>
      <c r="X275" s="77"/>
      <c r="Y275" s="61"/>
      <c r="Z275" s="71"/>
      <c r="AA275" s="72"/>
      <c r="AB275" s="72"/>
      <c r="AC275" s="73"/>
      <c r="AD275" s="73"/>
      <c r="AE275" s="73"/>
      <c r="AF275" s="73"/>
      <c r="AG275" s="73"/>
      <c r="AH275" s="73"/>
    </row>
    <row r="276" ht="15.75" customHeight="1">
      <c r="A276" s="79"/>
      <c r="B276" s="128" t="s">
        <v>245</v>
      </c>
      <c r="C276" s="53"/>
      <c r="D276" s="54"/>
      <c r="E276" s="55"/>
      <c r="F276" s="54"/>
      <c r="G276" s="55"/>
      <c r="H276" s="54"/>
      <c r="I276" s="56"/>
      <c r="J276" s="54"/>
      <c r="K276" s="55"/>
      <c r="L276" s="76"/>
      <c r="M276" s="55"/>
      <c r="N276" s="76"/>
      <c r="O276" s="55"/>
      <c r="P276" s="76"/>
      <c r="Q276" s="55"/>
      <c r="R276" s="76"/>
      <c r="S276" s="55"/>
      <c r="T276" s="76"/>
      <c r="U276" s="55"/>
      <c r="V276" s="54"/>
      <c r="W276" s="55"/>
      <c r="X276" s="77"/>
      <c r="Y276" s="61"/>
      <c r="Z276" s="71"/>
      <c r="AA276" s="72"/>
      <c r="AB276" s="72"/>
      <c r="AC276" s="73"/>
      <c r="AD276" s="73"/>
      <c r="AE276" s="73"/>
      <c r="AF276" s="73"/>
      <c r="AG276" s="73"/>
      <c r="AH276" s="73"/>
    </row>
    <row r="277" ht="16.5" customHeight="1">
      <c r="A277" s="79"/>
      <c r="B277" s="128" t="s">
        <v>246</v>
      </c>
      <c r="C277" s="53"/>
      <c r="D277" s="54"/>
      <c r="E277" s="55"/>
      <c r="F277" s="54"/>
      <c r="G277" s="55"/>
      <c r="H277" s="54"/>
      <c r="I277" s="56"/>
      <c r="J277" s="54"/>
      <c r="K277" s="55"/>
      <c r="L277" s="76"/>
      <c r="M277" s="55"/>
      <c r="N277" s="76"/>
      <c r="O277" s="55"/>
      <c r="P277" s="76"/>
      <c r="Q277" s="55"/>
      <c r="R277" s="76"/>
      <c r="S277" s="55"/>
      <c r="T277" s="76"/>
      <c r="U277" s="55"/>
      <c r="V277" s="54"/>
      <c r="W277" s="55"/>
      <c r="X277" s="135"/>
      <c r="Y277" s="85"/>
      <c r="Z277" s="71"/>
      <c r="AA277" s="72"/>
      <c r="AB277" s="72"/>
      <c r="AC277" s="73"/>
      <c r="AD277" s="73"/>
      <c r="AE277" s="73"/>
      <c r="AF277" s="73"/>
      <c r="AG277" s="73"/>
      <c r="AH277" s="73"/>
    </row>
    <row r="278" ht="13.5" customHeight="1">
      <c r="A278" s="43">
        <v>15.0</v>
      </c>
      <c r="B278" s="44" t="s">
        <v>247</v>
      </c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6"/>
      <c r="Z278" s="71"/>
      <c r="AA278" s="72"/>
      <c r="AB278" s="72"/>
      <c r="AC278" s="73"/>
      <c r="AD278" s="73"/>
      <c r="AE278" s="73"/>
      <c r="AF278" s="73"/>
      <c r="AG278" s="73"/>
      <c r="AH278" s="73"/>
    </row>
    <row r="279" ht="16.5" customHeight="1">
      <c r="A279" s="47"/>
      <c r="B279" s="48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50"/>
      <c r="Z279" s="71"/>
      <c r="AA279" s="72"/>
      <c r="AB279" s="72"/>
      <c r="AC279" s="73"/>
      <c r="AD279" s="73"/>
      <c r="AE279" s="73"/>
      <c r="AF279" s="73"/>
      <c r="AG279" s="73"/>
      <c r="AH279" s="73"/>
    </row>
    <row r="280" ht="15.75" customHeight="1">
      <c r="A280" s="79"/>
      <c r="B280" s="127" t="s">
        <v>248</v>
      </c>
      <c r="C280" s="53"/>
      <c r="D280" s="54"/>
      <c r="E280" s="55"/>
      <c r="F280" s="76"/>
      <c r="G280" s="55"/>
      <c r="H280" s="76"/>
      <c r="I280" s="55"/>
      <c r="J280" s="76"/>
      <c r="K280" s="55"/>
      <c r="L280" s="76"/>
      <c r="M280" s="55"/>
      <c r="N280" s="76"/>
      <c r="O280" s="55"/>
      <c r="P280" s="76"/>
      <c r="Q280" s="55"/>
      <c r="R280" s="76"/>
      <c r="S280" s="55"/>
      <c r="T280" s="76"/>
      <c r="U280" s="55"/>
      <c r="V280" s="54"/>
      <c r="W280" s="55"/>
      <c r="X280" s="77"/>
      <c r="Y280" s="61" t="s">
        <v>249</v>
      </c>
      <c r="Z280" s="71"/>
      <c r="AA280" s="72"/>
      <c r="AB280" s="72"/>
      <c r="AC280" s="73"/>
      <c r="AD280" s="73"/>
      <c r="AE280" s="73"/>
      <c r="AF280" s="73"/>
      <c r="AG280" s="73"/>
      <c r="AH280" s="73"/>
    </row>
    <row r="281" ht="15.75" customHeight="1">
      <c r="A281" s="79"/>
      <c r="B281" s="128" t="s">
        <v>250</v>
      </c>
      <c r="C281" s="53"/>
      <c r="D281" s="54"/>
      <c r="E281" s="55"/>
      <c r="F281" s="76"/>
      <c r="G281" s="55"/>
      <c r="H281" s="76"/>
      <c r="I281" s="55"/>
      <c r="J281" s="76"/>
      <c r="K281" s="55"/>
      <c r="L281" s="76"/>
      <c r="M281" s="55"/>
      <c r="N281" s="76"/>
      <c r="O281" s="55"/>
      <c r="P281" s="76"/>
      <c r="Q281" s="55"/>
      <c r="R281" s="76"/>
      <c r="S281" s="55"/>
      <c r="T281" s="76"/>
      <c r="U281" s="55"/>
      <c r="V281" s="54"/>
      <c r="W281" s="55"/>
      <c r="X281" s="77"/>
      <c r="Y281" s="61" t="s">
        <v>251</v>
      </c>
      <c r="Z281" s="71"/>
      <c r="AA281" s="72"/>
      <c r="AB281" s="72"/>
      <c r="AC281" s="73"/>
      <c r="AD281" s="73"/>
      <c r="AE281" s="73"/>
      <c r="AF281" s="73"/>
      <c r="AG281" s="73"/>
      <c r="AH281" s="73"/>
    </row>
    <row r="282" ht="15.75" customHeight="1">
      <c r="A282" s="79"/>
      <c r="B282" s="128" t="s">
        <v>252</v>
      </c>
      <c r="C282" s="53"/>
      <c r="D282" s="54"/>
      <c r="E282" s="55"/>
      <c r="F282" s="76"/>
      <c r="G282" s="55"/>
      <c r="H282" s="76"/>
      <c r="I282" s="55"/>
      <c r="J282" s="76"/>
      <c r="K282" s="55"/>
      <c r="L282" s="76"/>
      <c r="M282" s="55"/>
      <c r="N282" s="76"/>
      <c r="O282" s="55"/>
      <c r="P282" s="76"/>
      <c r="Q282" s="55"/>
      <c r="R282" s="76"/>
      <c r="S282" s="55"/>
      <c r="T282" s="76"/>
      <c r="U282" s="55"/>
      <c r="V282" s="54"/>
      <c r="W282" s="55"/>
      <c r="X282" s="77"/>
      <c r="Y282" s="61"/>
      <c r="Z282" s="71"/>
      <c r="AA282" s="72"/>
      <c r="AB282" s="72"/>
      <c r="AC282" s="73"/>
      <c r="AD282" s="73"/>
      <c r="AE282" s="73"/>
      <c r="AF282" s="73"/>
      <c r="AG282" s="73"/>
      <c r="AH282" s="73"/>
    </row>
    <row r="283" ht="15.75" customHeight="1">
      <c r="A283" s="79"/>
      <c r="B283" s="127" t="s">
        <v>253</v>
      </c>
      <c r="C283" s="53"/>
      <c r="D283" s="54"/>
      <c r="E283" s="55"/>
      <c r="F283" s="76"/>
      <c r="G283" s="55"/>
      <c r="H283" s="76"/>
      <c r="I283" s="55"/>
      <c r="J283" s="76"/>
      <c r="K283" s="55"/>
      <c r="L283" s="76"/>
      <c r="M283" s="55"/>
      <c r="N283" s="76"/>
      <c r="O283" s="55"/>
      <c r="P283" s="76"/>
      <c r="Q283" s="55"/>
      <c r="R283" s="76"/>
      <c r="S283" s="55"/>
      <c r="T283" s="76"/>
      <c r="U283" s="55"/>
      <c r="V283" s="54"/>
      <c r="W283" s="55"/>
      <c r="X283" s="77"/>
      <c r="Y283" s="61"/>
      <c r="Z283" s="71"/>
      <c r="AA283" s="72"/>
      <c r="AB283" s="72"/>
      <c r="AC283" s="73"/>
      <c r="AD283" s="73"/>
      <c r="AE283" s="73"/>
      <c r="AF283" s="73"/>
      <c r="AG283" s="73"/>
      <c r="AH283" s="73"/>
    </row>
    <row r="284" ht="15.75" customHeight="1">
      <c r="A284" s="79"/>
      <c r="B284" s="128" t="s">
        <v>254</v>
      </c>
      <c r="C284" s="53"/>
      <c r="D284" s="54"/>
      <c r="E284" s="55"/>
      <c r="F284" s="76"/>
      <c r="G284" s="55"/>
      <c r="H284" s="76"/>
      <c r="I284" s="55"/>
      <c r="J284" s="76"/>
      <c r="K284" s="55"/>
      <c r="L284" s="76"/>
      <c r="M284" s="55"/>
      <c r="N284" s="76"/>
      <c r="O284" s="55"/>
      <c r="P284" s="76"/>
      <c r="Q284" s="55"/>
      <c r="R284" s="76"/>
      <c r="S284" s="55"/>
      <c r="T284" s="76"/>
      <c r="U284" s="55"/>
      <c r="V284" s="54"/>
      <c r="W284" s="55"/>
      <c r="X284" s="77"/>
      <c r="Y284" s="61"/>
      <c r="Z284" s="71"/>
      <c r="AA284" s="72"/>
      <c r="AB284" s="72"/>
      <c r="AC284" s="73"/>
      <c r="AD284" s="73"/>
      <c r="AE284" s="73"/>
      <c r="AF284" s="73"/>
      <c r="AG284" s="73"/>
      <c r="AH284" s="73"/>
    </row>
    <row r="285" ht="15.75" customHeight="1">
      <c r="A285" s="79"/>
      <c r="B285" s="128" t="s">
        <v>255</v>
      </c>
      <c r="C285" s="53"/>
      <c r="D285" s="54"/>
      <c r="E285" s="55"/>
      <c r="F285" s="76"/>
      <c r="G285" s="55"/>
      <c r="H285" s="76"/>
      <c r="I285" s="55"/>
      <c r="J285" s="76"/>
      <c r="K285" s="55"/>
      <c r="L285" s="76"/>
      <c r="M285" s="55"/>
      <c r="N285" s="76"/>
      <c r="O285" s="55"/>
      <c r="P285" s="76"/>
      <c r="Q285" s="55"/>
      <c r="R285" s="76"/>
      <c r="S285" s="55"/>
      <c r="T285" s="76"/>
      <c r="U285" s="55"/>
      <c r="V285" s="54"/>
      <c r="W285" s="55"/>
      <c r="X285" s="77"/>
      <c r="Y285" s="61"/>
      <c r="Z285" s="71"/>
      <c r="AA285" s="72"/>
      <c r="AB285" s="72"/>
      <c r="AC285" s="73"/>
      <c r="AD285" s="73"/>
      <c r="AE285" s="73"/>
      <c r="AF285" s="73"/>
      <c r="AG285" s="73"/>
      <c r="AH285" s="73"/>
    </row>
    <row r="286" ht="15.75" customHeight="1">
      <c r="A286" s="79"/>
      <c r="B286" s="128" t="s">
        <v>256</v>
      </c>
      <c r="C286" s="53"/>
      <c r="D286" s="54"/>
      <c r="E286" s="55"/>
      <c r="F286" s="76"/>
      <c r="G286" s="55"/>
      <c r="H286" s="76"/>
      <c r="I286" s="55"/>
      <c r="J286" s="76"/>
      <c r="K286" s="55"/>
      <c r="L286" s="76"/>
      <c r="M286" s="55"/>
      <c r="N286" s="76"/>
      <c r="O286" s="55"/>
      <c r="P286" s="76"/>
      <c r="Q286" s="55"/>
      <c r="R286" s="76"/>
      <c r="S286" s="55"/>
      <c r="T286" s="76"/>
      <c r="U286" s="55"/>
      <c r="V286" s="54"/>
      <c r="W286" s="55"/>
      <c r="X286" s="77"/>
      <c r="Y286" s="61"/>
      <c r="Z286" s="71"/>
      <c r="AA286" s="72"/>
      <c r="AB286" s="72"/>
      <c r="AC286" s="73"/>
      <c r="AD286" s="73"/>
      <c r="AE286" s="73"/>
      <c r="AF286" s="73"/>
      <c r="AG286" s="73"/>
      <c r="AH286" s="73"/>
    </row>
    <row r="287" ht="15.75" customHeight="1">
      <c r="A287" s="79"/>
      <c r="B287" s="128" t="s">
        <v>257</v>
      </c>
      <c r="C287" s="53"/>
      <c r="D287" s="54"/>
      <c r="E287" s="55"/>
      <c r="F287" s="76"/>
      <c r="G287" s="55"/>
      <c r="H287" s="76"/>
      <c r="I287" s="55"/>
      <c r="J287" s="76"/>
      <c r="K287" s="55"/>
      <c r="L287" s="76"/>
      <c r="M287" s="55"/>
      <c r="N287" s="76"/>
      <c r="O287" s="55"/>
      <c r="P287" s="76"/>
      <c r="Q287" s="55"/>
      <c r="R287" s="76"/>
      <c r="S287" s="55"/>
      <c r="T287" s="76"/>
      <c r="U287" s="55"/>
      <c r="V287" s="54"/>
      <c r="W287" s="55"/>
      <c r="X287" s="135"/>
      <c r="Y287" s="85"/>
      <c r="Z287" s="71"/>
      <c r="AA287" s="72"/>
      <c r="AB287" s="72"/>
      <c r="AC287" s="73"/>
      <c r="AD287" s="73"/>
      <c r="AE287" s="73"/>
      <c r="AF287" s="73"/>
      <c r="AG287" s="73"/>
      <c r="AH287" s="73"/>
    </row>
    <row r="288" ht="16.5" customHeight="1">
      <c r="A288" s="79"/>
      <c r="B288" s="128" t="s">
        <v>258</v>
      </c>
      <c r="C288" s="53"/>
      <c r="D288" s="54"/>
      <c r="E288" s="55"/>
      <c r="F288" s="76"/>
      <c r="G288" s="55"/>
      <c r="H288" s="76"/>
      <c r="I288" s="55"/>
      <c r="J288" s="76"/>
      <c r="K288" s="55"/>
      <c r="L288" s="76"/>
      <c r="M288" s="55"/>
      <c r="N288" s="76"/>
      <c r="O288" s="55"/>
      <c r="P288" s="76"/>
      <c r="Q288" s="55"/>
      <c r="R288" s="76"/>
      <c r="S288" s="55"/>
      <c r="T288" s="76"/>
      <c r="U288" s="55"/>
      <c r="V288" s="54"/>
      <c r="W288" s="55"/>
      <c r="X288" s="135"/>
      <c r="Y288" s="85"/>
      <c r="Z288" s="71"/>
      <c r="AA288" s="72"/>
      <c r="AB288" s="72"/>
      <c r="AC288" s="73"/>
      <c r="AD288" s="73"/>
      <c r="AE288" s="73"/>
      <c r="AF288" s="73"/>
      <c r="AG288" s="73"/>
      <c r="AH288" s="73"/>
    </row>
    <row r="289" ht="22.5" customHeight="1">
      <c r="A289" s="137" t="s">
        <v>54</v>
      </c>
      <c r="B289" s="138"/>
      <c r="C289" s="138"/>
      <c r="D289" s="138"/>
      <c r="E289" s="138"/>
      <c r="F289" s="138"/>
      <c r="G289" s="138"/>
      <c r="H289" s="138"/>
      <c r="I289" s="138"/>
      <c r="J289" s="138"/>
      <c r="K289" s="138"/>
      <c r="L289" s="138"/>
      <c r="M289" s="138"/>
      <c r="N289" s="138"/>
      <c r="O289" s="138"/>
      <c r="P289" s="138"/>
      <c r="Q289" s="138"/>
      <c r="R289" s="138"/>
      <c r="S289" s="138"/>
      <c r="T289" s="138"/>
      <c r="U289" s="138"/>
      <c r="V289" s="138"/>
      <c r="W289" s="138"/>
      <c r="X289" s="138"/>
      <c r="Y289" s="139"/>
      <c r="Z289" s="71"/>
      <c r="AA289" s="72"/>
      <c r="AB289" s="72"/>
      <c r="AC289" s="73"/>
      <c r="AD289" s="73"/>
      <c r="AE289" s="73"/>
      <c r="AF289" s="73"/>
      <c r="AG289" s="73"/>
      <c r="AH289" s="73"/>
    </row>
    <row r="290" ht="13.5" customHeight="1">
      <c r="A290" s="140">
        <v>1.0</v>
      </c>
      <c r="B290" s="141" t="s">
        <v>259</v>
      </c>
      <c r="Y290" s="142"/>
      <c r="Z290" s="71"/>
      <c r="AA290" s="72"/>
      <c r="AB290" s="72"/>
      <c r="AC290" s="73"/>
      <c r="AD290" s="73"/>
      <c r="AE290" s="73"/>
      <c r="AF290" s="73"/>
      <c r="AG290" s="73"/>
      <c r="AH290" s="73"/>
    </row>
    <row r="291" ht="13.5" customHeight="1">
      <c r="A291" s="47"/>
      <c r="B291" s="48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50"/>
      <c r="Z291" s="71"/>
      <c r="AA291" s="72"/>
      <c r="AB291" s="72"/>
      <c r="AC291" s="73"/>
      <c r="AD291" s="73"/>
      <c r="AE291" s="73"/>
      <c r="AF291" s="73"/>
      <c r="AG291" s="73"/>
      <c r="AH291" s="73"/>
    </row>
    <row r="292" ht="15.75" customHeight="1">
      <c r="A292" s="79"/>
      <c r="B292" s="143" t="s">
        <v>260</v>
      </c>
      <c r="C292" s="53"/>
      <c r="D292" s="54"/>
      <c r="E292" s="55"/>
      <c r="F292" s="54"/>
      <c r="G292" s="55"/>
      <c r="H292" s="54"/>
      <c r="I292" s="56"/>
      <c r="J292" s="54"/>
      <c r="K292" s="55"/>
      <c r="L292" s="76"/>
      <c r="M292" s="55"/>
      <c r="N292" s="76"/>
      <c r="O292" s="55"/>
      <c r="P292" s="76"/>
      <c r="Q292" s="55"/>
      <c r="R292" s="76"/>
      <c r="S292" s="55"/>
      <c r="T292" s="76"/>
      <c r="U292" s="55"/>
      <c r="V292" s="54"/>
      <c r="W292" s="55"/>
      <c r="X292" s="77"/>
      <c r="Y292" s="61"/>
      <c r="Z292" s="71"/>
      <c r="AA292" s="72"/>
      <c r="AB292" s="72"/>
      <c r="AC292" s="73"/>
      <c r="AD292" s="73"/>
      <c r="AE292" s="73"/>
      <c r="AF292" s="73"/>
      <c r="AG292" s="73"/>
      <c r="AH292" s="73"/>
    </row>
    <row r="293" ht="13.5" customHeight="1">
      <c r="A293" s="140">
        <v>2.0</v>
      </c>
      <c r="B293" s="141" t="s">
        <v>261</v>
      </c>
      <c r="Y293" s="142"/>
      <c r="Z293" s="71"/>
      <c r="AA293" s="72"/>
      <c r="AB293" s="72"/>
      <c r="AC293" s="73"/>
      <c r="AD293" s="73"/>
      <c r="AE293" s="73"/>
      <c r="AF293" s="73"/>
      <c r="AG293" s="73"/>
      <c r="AH293" s="73"/>
    </row>
    <row r="294" ht="13.5" customHeight="1">
      <c r="A294" s="47"/>
      <c r="B294" s="48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50"/>
      <c r="Z294" s="71"/>
      <c r="AA294" s="72"/>
      <c r="AB294" s="72"/>
      <c r="AC294" s="73"/>
      <c r="AD294" s="73"/>
      <c r="AE294" s="73"/>
      <c r="AF294" s="73"/>
      <c r="AG294" s="73"/>
      <c r="AH294" s="73"/>
    </row>
    <row r="295" ht="15.75" customHeight="1">
      <c r="A295" s="79"/>
      <c r="B295" s="143" t="s">
        <v>262</v>
      </c>
      <c r="C295" s="53"/>
      <c r="D295" s="54"/>
      <c r="E295" s="55"/>
      <c r="F295" s="54"/>
      <c r="G295" s="55"/>
      <c r="H295" s="54"/>
      <c r="I295" s="56"/>
      <c r="J295" s="54"/>
      <c r="K295" s="55"/>
      <c r="L295" s="76"/>
      <c r="M295" s="55"/>
      <c r="N295" s="76"/>
      <c r="O295" s="55"/>
      <c r="P295" s="76"/>
      <c r="Q295" s="55"/>
      <c r="R295" s="76"/>
      <c r="S295" s="55"/>
      <c r="T295" s="76"/>
      <c r="U295" s="55"/>
      <c r="V295" s="54"/>
      <c r="W295" s="55"/>
      <c r="X295" s="77"/>
      <c r="Y295" s="61"/>
      <c r="Z295" s="71"/>
      <c r="AA295" s="72"/>
      <c r="AB295" s="72"/>
      <c r="AC295" s="73"/>
      <c r="AD295" s="73"/>
      <c r="AE295" s="73"/>
      <c r="AF295" s="73"/>
      <c r="AG295" s="73"/>
      <c r="AH295" s="73"/>
    </row>
    <row r="296" ht="13.5" customHeight="1">
      <c r="A296" s="43">
        <v>3.0</v>
      </c>
      <c r="B296" s="44" t="s">
        <v>263</v>
      </c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6"/>
      <c r="Z296" s="71"/>
      <c r="AA296" s="72"/>
      <c r="AB296" s="72"/>
      <c r="AC296" s="73"/>
      <c r="AD296" s="73"/>
      <c r="AE296" s="73"/>
      <c r="AF296" s="73"/>
      <c r="AG296" s="73"/>
      <c r="AH296" s="73"/>
    </row>
    <row r="297" ht="13.5" customHeight="1">
      <c r="A297" s="47"/>
      <c r="B297" s="48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50"/>
      <c r="Z297" s="71"/>
      <c r="AA297" s="72"/>
      <c r="AB297" s="72"/>
      <c r="AC297" s="73"/>
      <c r="AD297" s="73"/>
      <c r="AE297" s="73"/>
      <c r="AF297" s="73"/>
      <c r="AG297" s="73"/>
      <c r="AH297" s="73"/>
    </row>
    <row r="298" ht="15.75" customHeight="1">
      <c r="A298" s="79"/>
      <c r="B298" s="127" t="s">
        <v>264</v>
      </c>
      <c r="C298" s="53"/>
      <c r="D298" s="54"/>
      <c r="E298" s="55"/>
      <c r="F298" s="54"/>
      <c r="G298" s="55"/>
      <c r="H298" s="54"/>
      <c r="I298" s="56"/>
      <c r="J298" s="54"/>
      <c r="K298" s="55"/>
      <c r="L298" s="76"/>
      <c r="M298" s="55"/>
      <c r="N298" s="76"/>
      <c r="O298" s="55"/>
      <c r="P298" s="76"/>
      <c r="Q298" s="55"/>
      <c r="R298" s="76"/>
      <c r="S298" s="55"/>
      <c r="T298" s="76"/>
      <c r="U298" s="55"/>
      <c r="V298" s="54"/>
      <c r="W298" s="55"/>
      <c r="X298" s="77"/>
      <c r="Y298" s="61"/>
      <c r="Z298" s="71"/>
      <c r="AA298" s="72"/>
      <c r="AB298" s="72"/>
      <c r="AC298" s="73"/>
      <c r="AD298" s="73"/>
      <c r="AE298" s="73"/>
      <c r="AF298" s="73"/>
      <c r="AG298" s="73"/>
      <c r="AH298" s="73"/>
    </row>
    <row r="299" ht="15.75" customHeight="1">
      <c r="A299" s="79"/>
      <c r="B299" s="128" t="s">
        <v>265</v>
      </c>
      <c r="C299" s="53"/>
      <c r="D299" s="54"/>
      <c r="E299" s="55"/>
      <c r="F299" s="54"/>
      <c r="G299" s="55"/>
      <c r="H299" s="76"/>
      <c r="I299" s="56"/>
      <c r="J299" s="76"/>
      <c r="K299" s="55"/>
      <c r="L299" s="76"/>
      <c r="M299" s="55"/>
      <c r="N299" s="76"/>
      <c r="O299" s="55"/>
      <c r="P299" s="76"/>
      <c r="Q299" s="55"/>
      <c r="R299" s="76"/>
      <c r="S299" s="55"/>
      <c r="T299" s="76"/>
      <c r="U299" s="55"/>
      <c r="V299" s="54"/>
      <c r="W299" s="55"/>
      <c r="X299" s="77"/>
      <c r="Y299" s="61"/>
      <c r="Z299" s="71"/>
      <c r="AA299" s="72"/>
      <c r="AB299" s="72"/>
      <c r="AC299" s="73"/>
      <c r="AD299" s="73"/>
      <c r="AE299" s="73"/>
      <c r="AF299" s="73"/>
      <c r="AG299" s="73"/>
      <c r="AH299" s="73"/>
    </row>
    <row r="300" ht="13.5" customHeight="1">
      <c r="A300" s="43">
        <v>4.0</v>
      </c>
      <c r="B300" s="44" t="s">
        <v>266</v>
      </c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6"/>
      <c r="Z300" s="71"/>
      <c r="AA300" s="72"/>
      <c r="AB300" s="72"/>
      <c r="AC300" s="73"/>
      <c r="AD300" s="73"/>
      <c r="AE300" s="73"/>
      <c r="AF300" s="73"/>
      <c r="AG300" s="73"/>
      <c r="AH300" s="73"/>
    </row>
    <row r="301" ht="17.25" customHeight="1">
      <c r="A301" s="47"/>
      <c r="B301" s="48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50"/>
      <c r="Z301" s="71"/>
      <c r="AA301" s="72"/>
      <c r="AB301" s="72"/>
      <c r="AC301" s="73"/>
      <c r="AD301" s="73"/>
      <c r="AE301" s="73"/>
      <c r="AF301" s="73"/>
      <c r="AG301" s="73"/>
      <c r="AH301" s="73"/>
    </row>
    <row r="302" ht="15.75" customHeight="1">
      <c r="A302" s="79"/>
      <c r="B302" s="127" t="s">
        <v>267</v>
      </c>
      <c r="C302" s="53"/>
      <c r="D302" s="54"/>
      <c r="E302" s="55"/>
      <c r="F302" s="54"/>
      <c r="G302" s="55"/>
      <c r="H302" s="54"/>
      <c r="I302" s="56"/>
      <c r="J302" s="54"/>
      <c r="K302" s="55"/>
      <c r="L302" s="76"/>
      <c r="M302" s="55"/>
      <c r="N302" s="76"/>
      <c r="O302" s="55"/>
      <c r="P302" s="76"/>
      <c r="Q302" s="55"/>
      <c r="R302" s="76"/>
      <c r="S302" s="55"/>
      <c r="T302" s="76"/>
      <c r="U302" s="55"/>
      <c r="V302" s="54"/>
      <c r="W302" s="55"/>
      <c r="X302" s="77"/>
      <c r="Y302" s="61"/>
      <c r="Z302" s="71"/>
      <c r="AA302" s="72"/>
      <c r="AB302" s="72"/>
      <c r="AC302" s="73"/>
      <c r="AD302" s="73"/>
      <c r="AE302" s="73"/>
      <c r="AF302" s="73"/>
      <c r="AG302" s="73"/>
      <c r="AH302" s="73"/>
    </row>
    <row r="303" ht="15.75" customHeight="1">
      <c r="A303" s="79"/>
      <c r="B303" s="128" t="s">
        <v>268</v>
      </c>
      <c r="C303" s="53"/>
      <c r="D303" s="54"/>
      <c r="E303" s="55"/>
      <c r="F303" s="54"/>
      <c r="G303" s="55"/>
      <c r="H303" s="54"/>
      <c r="I303" s="56"/>
      <c r="J303" s="54"/>
      <c r="K303" s="55"/>
      <c r="L303" s="76"/>
      <c r="M303" s="55"/>
      <c r="N303" s="76"/>
      <c r="O303" s="55"/>
      <c r="P303" s="76"/>
      <c r="Q303" s="55"/>
      <c r="R303" s="76"/>
      <c r="S303" s="55"/>
      <c r="T303" s="76"/>
      <c r="U303" s="55"/>
      <c r="V303" s="54"/>
      <c r="W303" s="55"/>
      <c r="X303" s="77"/>
      <c r="Y303" s="61"/>
      <c r="Z303" s="71"/>
      <c r="AA303" s="72"/>
      <c r="AB303" s="72"/>
      <c r="AC303" s="73"/>
      <c r="AD303" s="73"/>
      <c r="AE303" s="73"/>
      <c r="AF303" s="73"/>
      <c r="AG303" s="73"/>
      <c r="AH303" s="73"/>
    </row>
    <row r="304" ht="13.5" customHeight="1">
      <c r="A304" s="43">
        <v>5.0</v>
      </c>
      <c r="B304" s="44" t="s">
        <v>269</v>
      </c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6"/>
      <c r="Z304" s="71"/>
      <c r="AA304" s="72"/>
      <c r="AB304" s="72"/>
      <c r="AC304" s="73"/>
      <c r="AD304" s="73"/>
      <c r="AE304" s="73"/>
      <c r="AF304" s="73"/>
      <c r="AG304" s="73"/>
      <c r="AH304" s="73"/>
    </row>
    <row r="305" ht="17.25" customHeight="1">
      <c r="A305" s="47"/>
      <c r="B305" s="48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50"/>
      <c r="Z305" s="71"/>
      <c r="AA305" s="72"/>
      <c r="AB305" s="72"/>
      <c r="AC305" s="73"/>
      <c r="AD305" s="73"/>
      <c r="AE305" s="73"/>
      <c r="AF305" s="73"/>
      <c r="AG305" s="73"/>
      <c r="AH305" s="73"/>
    </row>
    <row r="306" ht="15.75" customHeight="1">
      <c r="A306" s="79"/>
      <c r="B306" s="52" t="s">
        <v>270</v>
      </c>
      <c r="C306" s="53"/>
      <c r="D306" s="54"/>
      <c r="E306" s="55"/>
      <c r="F306" s="54"/>
      <c r="G306" s="55"/>
      <c r="H306" s="54"/>
      <c r="I306" s="56"/>
      <c r="J306" s="54"/>
      <c r="K306" s="55"/>
      <c r="L306" s="76"/>
      <c r="M306" s="55"/>
      <c r="N306" s="76"/>
      <c r="O306" s="55"/>
      <c r="P306" s="76"/>
      <c r="Q306" s="55"/>
      <c r="R306" s="76"/>
      <c r="S306" s="55"/>
      <c r="T306" s="76"/>
      <c r="U306" s="55"/>
      <c r="V306" s="54"/>
      <c r="W306" s="55"/>
      <c r="X306" s="77"/>
      <c r="Y306" s="61"/>
      <c r="Z306" s="71"/>
      <c r="AA306" s="72"/>
      <c r="AB306" s="72"/>
      <c r="AC306" s="73"/>
      <c r="AD306" s="73"/>
      <c r="AE306" s="73"/>
      <c r="AF306" s="73"/>
      <c r="AG306" s="73"/>
      <c r="AH306" s="73"/>
    </row>
    <row r="307" ht="15.75" customHeight="1">
      <c r="A307" s="79"/>
      <c r="B307" s="62" t="s">
        <v>271</v>
      </c>
      <c r="C307" s="53"/>
      <c r="D307" s="54"/>
      <c r="E307" s="55"/>
      <c r="F307" s="54"/>
      <c r="G307" s="55"/>
      <c r="H307" s="54"/>
      <c r="I307" s="56"/>
      <c r="J307" s="54"/>
      <c r="K307" s="55"/>
      <c r="L307" s="76"/>
      <c r="M307" s="55"/>
      <c r="N307" s="76"/>
      <c r="O307" s="55"/>
      <c r="P307" s="76"/>
      <c r="Q307" s="55"/>
      <c r="R307" s="76"/>
      <c r="S307" s="55"/>
      <c r="T307" s="76"/>
      <c r="U307" s="55"/>
      <c r="V307" s="54"/>
      <c r="W307" s="55"/>
      <c r="X307" s="77"/>
      <c r="Y307" s="61"/>
      <c r="Z307" s="71"/>
      <c r="AA307" s="72"/>
      <c r="AB307" s="72"/>
      <c r="AC307" s="73"/>
      <c r="AD307" s="73"/>
      <c r="AE307" s="73"/>
      <c r="AF307" s="73"/>
      <c r="AG307" s="73"/>
      <c r="AH307" s="73"/>
    </row>
    <row r="308" ht="13.5" customHeight="1">
      <c r="A308" s="43">
        <v>6.0</v>
      </c>
      <c r="B308" s="44" t="s">
        <v>272</v>
      </c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6"/>
      <c r="Z308" s="71"/>
      <c r="AA308" s="72"/>
      <c r="AB308" s="72"/>
      <c r="AC308" s="73"/>
      <c r="AD308" s="73"/>
      <c r="AE308" s="73"/>
      <c r="AF308" s="73"/>
      <c r="AG308" s="73"/>
      <c r="AH308" s="73"/>
    </row>
    <row r="309" ht="17.25" customHeight="1">
      <c r="A309" s="47"/>
      <c r="B309" s="48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50"/>
      <c r="Z309" s="71"/>
      <c r="AA309" s="72"/>
      <c r="AB309" s="72"/>
      <c r="AC309" s="73"/>
      <c r="AD309" s="73"/>
      <c r="AE309" s="73"/>
      <c r="AF309" s="73"/>
      <c r="AG309" s="73"/>
      <c r="AH309" s="73"/>
    </row>
    <row r="310" ht="15.75" customHeight="1">
      <c r="A310" s="79"/>
      <c r="B310" s="52" t="s">
        <v>273</v>
      </c>
      <c r="C310" s="53"/>
      <c r="D310" s="54"/>
      <c r="E310" s="55"/>
      <c r="F310" s="54"/>
      <c r="G310" s="55"/>
      <c r="H310" s="54"/>
      <c r="I310" s="56"/>
      <c r="J310" s="54"/>
      <c r="K310" s="55"/>
      <c r="L310" s="76"/>
      <c r="M310" s="55"/>
      <c r="N310" s="76"/>
      <c r="O310" s="55"/>
      <c r="P310" s="76"/>
      <c r="Q310" s="55"/>
      <c r="R310" s="76"/>
      <c r="S310" s="55"/>
      <c r="T310" s="76"/>
      <c r="U310" s="55"/>
      <c r="V310" s="54"/>
      <c r="W310" s="55"/>
      <c r="X310" s="77"/>
      <c r="Y310" s="61"/>
      <c r="Z310" s="71"/>
      <c r="AA310" s="72"/>
      <c r="AB310" s="72"/>
      <c r="AC310" s="73"/>
      <c r="AD310" s="73"/>
      <c r="AE310" s="73"/>
      <c r="AF310" s="73"/>
      <c r="AG310" s="73"/>
      <c r="AH310" s="73"/>
    </row>
    <row r="311" ht="15.75" customHeight="1">
      <c r="A311" s="79"/>
      <c r="B311" s="62" t="s">
        <v>274</v>
      </c>
      <c r="C311" s="53"/>
      <c r="D311" s="54"/>
      <c r="E311" s="55"/>
      <c r="F311" s="54"/>
      <c r="G311" s="55"/>
      <c r="H311" s="54"/>
      <c r="I311" s="56"/>
      <c r="J311" s="54"/>
      <c r="K311" s="55"/>
      <c r="L311" s="76"/>
      <c r="M311" s="55"/>
      <c r="N311" s="76"/>
      <c r="O311" s="55"/>
      <c r="P311" s="76"/>
      <c r="Q311" s="55"/>
      <c r="R311" s="76"/>
      <c r="S311" s="55"/>
      <c r="T311" s="76"/>
      <c r="U311" s="55"/>
      <c r="V311" s="54"/>
      <c r="W311" s="55"/>
      <c r="X311" s="77"/>
      <c r="Y311" s="61"/>
      <c r="Z311" s="71"/>
      <c r="AA311" s="72"/>
      <c r="AB311" s="72"/>
      <c r="AC311" s="73"/>
      <c r="AD311" s="73"/>
      <c r="AE311" s="73"/>
      <c r="AF311" s="73"/>
      <c r="AG311" s="73"/>
      <c r="AH311" s="73"/>
    </row>
    <row r="312" ht="15.75" customHeight="1">
      <c r="A312" s="79"/>
      <c r="B312" s="62" t="s">
        <v>275</v>
      </c>
      <c r="C312" s="53"/>
      <c r="D312" s="54"/>
      <c r="E312" s="55"/>
      <c r="F312" s="54"/>
      <c r="G312" s="55"/>
      <c r="H312" s="54"/>
      <c r="I312" s="56"/>
      <c r="J312" s="54"/>
      <c r="K312" s="55"/>
      <c r="L312" s="76"/>
      <c r="M312" s="55"/>
      <c r="N312" s="76"/>
      <c r="O312" s="55"/>
      <c r="P312" s="76"/>
      <c r="Q312" s="55"/>
      <c r="R312" s="76"/>
      <c r="S312" s="55"/>
      <c r="T312" s="76"/>
      <c r="U312" s="55"/>
      <c r="V312" s="54"/>
      <c r="W312" s="55"/>
      <c r="X312" s="77"/>
      <c r="Y312" s="61"/>
      <c r="Z312" s="71"/>
      <c r="AA312" s="72"/>
      <c r="AB312" s="72"/>
      <c r="AC312" s="73"/>
      <c r="AD312" s="73"/>
      <c r="AE312" s="73"/>
      <c r="AF312" s="73"/>
      <c r="AG312" s="73"/>
      <c r="AH312" s="73"/>
    </row>
    <row r="313" ht="15.75" customHeight="1">
      <c r="A313" s="79"/>
      <c r="B313" s="62" t="s">
        <v>276</v>
      </c>
      <c r="C313" s="53"/>
      <c r="D313" s="54"/>
      <c r="E313" s="55"/>
      <c r="F313" s="54"/>
      <c r="G313" s="55"/>
      <c r="H313" s="54"/>
      <c r="I313" s="56"/>
      <c r="J313" s="54"/>
      <c r="K313" s="55"/>
      <c r="L313" s="76"/>
      <c r="M313" s="55"/>
      <c r="N313" s="76"/>
      <c r="O313" s="55"/>
      <c r="P313" s="76"/>
      <c r="Q313" s="55"/>
      <c r="R313" s="76"/>
      <c r="S313" s="55"/>
      <c r="T313" s="76"/>
      <c r="U313" s="55"/>
      <c r="V313" s="54"/>
      <c r="W313" s="55"/>
      <c r="X313" s="77"/>
      <c r="Y313" s="61"/>
      <c r="Z313" s="71"/>
      <c r="AA313" s="72"/>
      <c r="AB313" s="72"/>
      <c r="AC313" s="73"/>
      <c r="AD313" s="73"/>
      <c r="AE313" s="73"/>
      <c r="AF313" s="73"/>
      <c r="AG313" s="73"/>
      <c r="AH313" s="73"/>
    </row>
    <row r="314" ht="13.5" customHeight="1">
      <c r="A314" s="43">
        <v>7.0</v>
      </c>
      <c r="B314" s="44" t="s">
        <v>277</v>
      </c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6"/>
      <c r="Z314" s="71"/>
      <c r="AA314" s="72"/>
      <c r="AB314" s="72"/>
      <c r="AC314" s="73"/>
      <c r="AD314" s="73"/>
      <c r="AE314" s="73"/>
      <c r="AF314" s="73"/>
      <c r="AG314" s="73"/>
      <c r="AH314" s="73"/>
    </row>
    <row r="315" ht="17.25" customHeight="1">
      <c r="A315" s="47"/>
      <c r="B315" s="48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50"/>
      <c r="Z315" s="71"/>
      <c r="AA315" s="72"/>
      <c r="AB315" s="72"/>
      <c r="AC315" s="73"/>
      <c r="AD315" s="73"/>
      <c r="AE315" s="73"/>
      <c r="AF315" s="73"/>
      <c r="AG315" s="73"/>
      <c r="AH315" s="73"/>
    </row>
    <row r="316" ht="15.75" customHeight="1">
      <c r="A316" s="79"/>
      <c r="B316" s="52" t="s">
        <v>278</v>
      </c>
      <c r="C316" s="53"/>
      <c r="D316" s="54"/>
      <c r="E316" s="55"/>
      <c r="F316" s="54"/>
      <c r="G316" s="55"/>
      <c r="H316" s="54"/>
      <c r="I316" s="56"/>
      <c r="J316" s="54"/>
      <c r="K316" s="55"/>
      <c r="L316" s="76"/>
      <c r="M316" s="55"/>
      <c r="N316" s="76"/>
      <c r="O316" s="55"/>
      <c r="P316" s="76"/>
      <c r="Q316" s="55"/>
      <c r="R316" s="76"/>
      <c r="S316" s="55"/>
      <c r="T316" s="76"/>
      <c r="U316" s="55"/>
      <c r="V316" s="54"/>
      <c r="W316" s="55"/>
      <c r="X316" s="77"/>
      <c r="Y316" s="61"/>
      <c r="Z316" s="71"/>
      <c r="AA316" s="72"/>
      <c r="AB316" s="72"/>
      <c r="AC316" s="73"/>
      <c r="AD316" s="73"/>
      <c r="AE316" s="73"/>
      <c r="AF316" s="73"/>
      <c r="AG316" s="73"/>
      <c r="AH316" s="73"/>
    </row>
    <row r="317" ht="15.75" customHeight="1">
      <c r="A317" s="79"/>
      <c r="B317" s="62" t="s">
        <v>279</v>
      </c>
      <c r="C317" s="53"/>
      <c r="D317" s="54"/>
      <c r="E317" s="55"/>
      <c r="F317" s="54"/>
      <c r="G317" s="55"/>
      <c r="H317" s="54"/>
      <c r="I317" s="56"/>
      <c r="J317" s="54"/>
      <c r="K317" s="55"/>
      <c r="L317" s="76"/>
      <c r="M317" s="55"/>
      <c r="N317" s="76"/>
      <c r="O317" s="55"/>
      <c r="P317" s="76"/>
      <c r="Q317" s="55"/>
      <c r="R317" s="76"/>
      <c r="S317" s="55"/>
      <c r="T317" s="76"/>
      <c r="U317" s="55"/>
      <c r="V317" s="54"/>
      <c r="W317" s="55"/>
      <c r="X317" s="77"/>
      <c r="Y317" s="61"/>
      <c r="Z317" s="71"/>
      <c r="AA317" s="72"/>
      <c r="AB317" s="72"/>
      <c r="AC317" s="73"/>
      <c r="AD317" s="73"/>
      <c r="AE317" s="73"/>
      <c r="AF317" s="73"/>
      <c r="AG317" s="73"/>
      <c r="AH317" s="73"/>
    </row>
    <row r="318" ht="13.5" customHeight="1">
      <c r="A318" s="43">
        <v>8.0</v>
      </c>
      <c r="B318" s="44" t="s">
        <v>280</v>
      </c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6"/>
      <c r="Z318" s="71"/>
      <c r="AA318" s="72"/>
      <c r="AB318" s="72"/>
      <c r="AC318" s="73"/>
      <c r="AD318" s="73"/>
      <c r="AE318" s="73"/>
      <c r="AF318" s="73"/>
      <c r="AG318" s="73"/>
      <c r="AH318" s="73"/>
    </row>
    <row r="319" ht="17.25" customHeight="1">
      <c r="A319" s="47"/>
      <c r="B319" s="48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50"/>
      <c r="Z319" s="71"/>
      <c r="AA319" s="72"/>
      <c r="AB319" s="72"/>
      <c r="AC319" s="73"/>
      <c r="AD319" s="73"/>
      <c r="AE319" s="73"/>
      <c r="AF319" s="73"/>
      <c r="AG319" s="73"/>
      <c r="AH319" s="73"/>
    </row>
    <row r="320" ht="15.75" customHeight="1">
      <c r="A320" s="79"/>
      <c r="B320" s="52" t="s">
        <v>281</v>
      </c>
      <c r="C320" s="53"/>
      <c r="D320" s="54"/>
      <c r="E320" s="55"/>
      <c r="F320" s="54"/>
      <c r="G320" s="55"/>
      <c r="H320" s="54"/>
      <c r="I320" s="56"/>
      <c r="J320" s="54"/>
      <c r="K320" s="55"/>
      <c r="L320" s="76"/>
      <c r="M320" s="55"/>
      <c r="N320" s="76"/>
      <c r="O320" s="55"/>
      <c r="P320" s="76"/>
      <c r="Q320" s="55"/>
      <c r="R320" s="76"/>
      <c r="S320" s="55"/>
      <c r="T320" s="76"/>
      <c r="U320" s="55"/>
      <c r="V320" s="54"/>
      <c r="W320" s="55"/>
      <c r="X320" s="77"/>
      <c r="Y320" s="61"/>
      <c r="Z320" s="71"/>
      <c r="AA320" s="72"/>
      <c r="AB320" s="72"/>
      <c r="AC320" s="73"/>
      <c r="AD320" s="73"/>
      <c r="AE320" s="73"/>
      <c r="AF320" s="73"/>
      <c r="AG320" s="73"/>
      <c r="AH320" s="73"/>
    </row>
    <row r="321" ht="15.75" customHeight="1">
      <c r="A321" s="79"/>
      <c r="B321" s="62" t="s">
        <v>282</v>
      </c>
      <c r="C321" s="53"/>
      <c r="D321" s="54"/>
      <c r="E321" s="55"/>
      <c r="F321" s="54"/>
      <c r="G321" s="55"/>
      <c r="H321" s="54"/>
      <c r="I321" s="56"/>
      <c r="J321" s="54"/>
      <c r="K321" s="55"/>
      <c r="L321" s="76"/>
      <c r="M321" s="55"/>
      <c r="N321" s="76"/>
      <c r="O321" s="55"/>
      <c r="P321" s="76"/>
      <c r="Q321" s="55"/>
      <c r="R321" s="76"/>
      <c r="S321" s="55"/>
      <c r="T321" s="76"/>
      <c r="U321" s="55"/>
      <c r="V321" s="54"/>
      <c r="W321" s="55"/>
      <c r="X321" s="77"/>
      <c r="Y321" s="61"/>
      <c r="Z321" s="71"/>
      <c r="AA321" s="72"/>
      <c r="AB321" s="72"/>
      <c r="AC321" s="73"/>
      <c r="AD321" s="73"/>
      <c r="AE321" s="73"/>
      <c r="AF321" s="73"/>
      <c r="AG321" s="73"/>
      <c r="AH321" s="73"/>
    </row>
    <row r="322" ht="13.5" customHeight="1">
      <c r="A322" s="43">
        <v>9.0</v>
      </c>
      <c r="B322" s="44" t="s">
        <v>283</v>
      </c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6"/>
      <c r="Z322" s="71"/>
      <c r="AA322" s="72"/>
      <c r="AB322" s="72"/>
      <c r="AC322" s="73"/>
      <c r="AD322" s="73"/>
      <c r="AE322" s="73"/>
      <c r="AF322" s="73"/>
      <c r="AG322" s="73"/>
      <c r="AH322" s="73"/>
    </row>
    <row r="323" ht="17.25" customHeight="1">
      <c r="A323" s="47"/>
      <c r="B323" s="48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50"/>
      <c r="Z323" s="71"/>
      <c r="AA323" s="72"/>
      <c r="AB323" s="72"/>
      <c r="AC323" s="73"/>
      <c r="AD323" s="73"/>
      <c r="AE323" s="73"/>
      <c r="AF323" s="73"/>
      <c r="AG323" s="73"/>
      <c r="AH323" s="73"/>
    </row>
    <row r="324" ht="15.75" customHeight="1">
      <c r="A324" s="79"/>
      <c r="B324" s="52" t="s">
        <v>284</v>
      </c>
      <c r="C324" s="53"/>
      <c r="D324" s="54"/>
      <c r="E324" s="55"/>
      <c r="F324" s="54"/>
      <c r="G324" s="55"/>
      <c r="H324" s="54"/>
      <c r="I324" s="56"/>
      <c r="J324" s="54"/>
      <c r="K324" s="55"/>
      <c r="L324" s="76"/>
      <c r="M324" s="55"/>
      <c r="N324" s="76"/>
      <c r="O324" s="55"/>
      <c r="P324" s="76"/>
      <c r="Q324" s="55"/>
      <c r="R324" s="76"/>
      <c r="S324" s="55"/>
      <c r="T324" s="76"/>
      <c r="U324" s="55"/>
      <c r="V324" s="54"/>
      <c r="W324" s="55"/>
      <c r="X324" s="77"/>
      <c r="Y324" s="61"/>
      <c r="Z324" s="71"/>
      <c r="AA324" s="72"/>
      <c r="AB324" s="72"/>
      <c r="AC324" s="73"/>
      <c r="AD324" s="73"/>
      <c r="AE324" s="73"/>
      <c r="AF324" s="73"/>
      <c r="AG324" s="73"/>
      <c r="AH324" s="73"/>
    </row>
    <row r="325" ht="15.75" customHeight="1">
      <c r="A325" s="79"/>
      <c r="B325" s="62" t="s">
        <v>285</v>
      </c>
      <c r="C325" s="53"/>
      <c r="D325" s="54"/>
      <c r="E325" s="55"/>
      <c r="F325" s="54"/>
      <c r="G325" s="55"/>
      <c r="H325" s="54"/>
      <c r="I325" s="56"/>
      <c r="J325" s="54"/>
      <c r="K325" s="55"/>
      <c r="L325" s="76"/>
      <c r="M325" s="55"/>
      <c r="N325" s="76"/>
      <c r="O325" s="55"/>
      <c r="P325" s="76"/>
      <c r="Q325" s="55"/>
      <c r="R325" s="76"/>
      <c r="S325" s="55"/>
      <c r="T325" s="76"/>
      <c r="U325" s="55"/>
      <c r="V325" s="54"/>
      <c r="W325" s="55"/>
      <c r="X325" s="77"/>
      <c r="Y325" s="61"/>
      <c r="Z325" s="71"/>
      <c r="AA325" s="72"/>
      <c r="AB325" s="72"/>
      <c r="AC325" s="73"/>
      <c r="AD325" s="73"/>
      <c r="AE325" s="73"/>
      <c r="AF325" s="73"/>
      <c r="AG325" s="73"/>
      <c r="AH325" s="73"/>
    </row>
    <row r="326" ht="13.5" customHeight="1">
      <c r="A326" s="43">
        <v>10.0</v>
      </c>
      <c r="B326" s="44" t="s">
        <v>286</v>
      </c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6"/>
      <c r="Z326" s="71"/>
      <c r="AA326" s="72"/>
      <c r="AB326" s="72"/>
      <c r="AC326" s="73"/>
      <c r="AD326" s="73"/>
      <c r="AE326" s="73"/>
      <c r="AF326" s="73"/>
      <c r="AG326" s="73"/>
      <c r="AH326" s="73"/>
    </row>
    <row r="327" ht="17.25" customHeight="1">
      <c r="A327" s="47"/>
      <c r="B327" s="48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50"/>
      <c r="Z327" s="71"/>
      <c r="AA327" s="72"/>
      <c r="AB327" s="72"/>
      <c r="AC327" s="73"/>
      <c r="AD327" s="73"/>
      <c r="AE327" s="73"/>
      <c r="AF327" s="73"/>
      <c r="AG327" s="73"/>
      <c r="AH327" s="73"/>
    </row>
    <row r="328" ht="15.75" customHeight="1">
      <c r="A328" s="79"/>
      <c r="B328" s="52" t="s">
        <v>287</v>
      </c>
      <c r="C328" s="53"/>
      <c r="D328" s="54"/>
      <c r="E328" s="55"/>
      <c r="F328" s="54"/>
      <c r="G328" s="55"/>
      <c r="H328" s="54"/>
      <c r="I328" s="56"/>
      <c r="J328" s="54"/>
      <c r="K328" s="55"/>
      <c r="L328" s="76"/>
      <c r="M328" s="55"/>
      <c r="N328" s="76"/>
      <c r="O328" s="55"/>
      <c r="P328" s="76"/>
      <c r="Q328" s="55"/>
      <c r="R328" s="76"/>
      <c r="S328" s="55"/>
      <c r="T328" s="76"/>
      <c r="U328" s="55"/>
      <c r="V328" s="54"/>
      <c r="W328" s="55"/>
      <c r="X328" s="77"/>
      <c r="Y328" s="61"/>
      <c r="Z328" s="71"/>
      <c r="AA328" s="72"/>
      <c r="AB328" s="72"/>
      <c r="AC328" s="73"/>
      <c r="AD328" s="73"/>
      <c r="AE328" s="73"/>
      <c r="AF328" s="73"/>
      <c r="AG328" s="73"/>
      <c r="AH328" s="73"/>
    </row>
    <row r="329" ht="15.75" customHeight="1">
      <c r="A329" s="79"/>
      <c r="B329" s="62" t="s">
        <v>288</v>
      </c>
      <c r="C329" s="53"/>
      <c r="D329" s="54"/>
      <c r="E329" s="55"/>
      <c r="F329" s="54"/>
      <c r="G329" s="55"/>
      <c r="H329" s="54"/>
      <c r="I329" s="56"/>
      <c r="J329" s="54"/>
      <c r="K329" s="55"/>
      <c r="L329" s="76"/>
      <c r="M329" s="55"/>
      <c r="N329" s="76"/>
      <c r="O329" s="55"/>
      <c r="P329" s="76"/>
      <c r="Q329" s="55"/>
      <c r="R329" s="76"/>
      <c r="S329" s="55"/>
      <c r="T329" s="76"/>
      <c r="U329" s="55"/>
      <c r="V329" s="54"/>
      <c r="W329" s="55"/>
      <c r="X329" s="77"/>
      <c r="Y329" s="61"/>
      <c r="Z329" s="71"/>
      <c r="AA329" s="72"/>
      <c r="AB329" s="72"/>
      <c r="AC329" s="73"/>
      <c r="AD329" s="73"/>
      <c r="AE329" s="73"/>
      <c r="AF329" s="73"/>
      <c r="AG329" s="73"/>
      <c r="AH329" s="73"/>
    </row>
    <row r="330" ht="15.75" customHeight="1">
      <c r="A330" s="79"/>
      <c r="B330" s="62" t="s">
        <v>289</v>
      </c>
      <c r="C330" s="53"/>
      <c r="D330" s="54"/>
      <c r="E330" s="55"/>
      <c r="F330" s="54"/>
      <c r="G330" s="55"/>
      <c r="H330" s="54"/>
      <c r="I330" s="56"/>
      <c r="J330" s="54"/>
      <c r="K330" s="55"/>
      <c r="L330" s="76"/>
      <c r="M330" s="55"/>
      <c r="N330" s="76"/>
      <c r="O330" s="55"/>
      <c r="P330" s="76"/>
      <c r="Q330" s="55"/>
      <c r="R330" s="76"/>
      <c r="S330" s="55"/>
      <c r="T330" s="76"/>
      <c r="U330" s="55"/>
      <c r="V330" s="54"/>
      <c r="W330" s="55"/>
      <c r="X330" s="77"/>
      <c r="Y330" s="61"/>
      <c r="Z330" s="71"/>
      <c r="AA330" s="72"/>
      <c r="AB330" s="72"/>
      <c r="AC330" s="73"/>
      <c r="AD330" s="73"/>
      <c r="AE330" s="73"/>
      <c r="AF330" s="73"/>
      <c r="AG330" s="73"/>
      <c r="AH330" s="73"/>
    </row>
    <row r="331" ht="15.75" customHeight="1">
      <c r="A331" s="79"/>
      <c r="B331" s="62" t="s">
        <v>290</v>
      </c>
      <c r="C331" s="53"/>
      <c r="D331" s="54"/>
      <c r="E331" s="55"/>
      <c r="F331" s="54"/>
      <c r="G331" s="55"/>
      <c r="H331" s="54"/>
      <c r="I331" s="56"/>
      <c r="J331" s="54"/>
      <c r="K331" s="55"/>
      <c r="L331" s="76"/>
      <c r="M331" s="55"/>
      <c r="N331" s="76"/>
      <c r="O331" s="55"/>
      <c r="P331" s="76"/>
      <c r="Q331" s="55"/>
      <c r="R331" s="76"/>
      <c r="S331" s="55"/>
      <c r="T331" s="76"/>
      <c r="U331" s="55"/>
      <c r="V331" s="54"/>
      <c r="W331" s="55"/>
      <c r="X331" s="77"/>
      <c r="Y331" s="61"/>
      <c r="Z331" s="71"/>
      <c r="AA331" s="72"/>
      <c r="AB331" s="72"/>
      <c r="AC331" s="73"/>
      <c r="AD331" s="73"/>
      <c r="AE331" s="73"/>
      <c r="AF331" s="73"/>
      <c r="AG331" s="73"/>
      <c r="AH331" s="73"/>
    </row>
    <row r="332" ht="13.5" customHeight="1">
      <c r="A332" s="43">
        <v>11.0</v>
      </c>
      <c r="B332" s="44" t="s">
        <v>291</v>
      </c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6"/>
      <c r="Z332" s="71"/>
      <c r="AA332" s="72"/>
      <c r="AB332" s="72"/>
      <c r="AC332" s="73"/>
      <c r="AD332" s="73"/>
      <c r="AE332" s="73"/>
      <c r="AF332" s="73"/>
      <c r="AG332" s="73"/>
      <c r="AH332" s="73"/>
    </row>
    <row r="333" ht="17.25" customHeight="1">
      <c r="A333" s="47"/>
      <c r="B333" s="48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50"/>
      <c r="Z333" s="71"/>
      <c r="AA333" s="72"/>
      <c r="AB333" s="72"/>
      <c r="AC333" s="73"/>
      <c r="AD333" s="73"/>
      <c r="AE333" s="73"/>
      <c r="AF333" s="73"/>
      <c r="AG333" s="73"/>
      <c r="AH333" s="73"/>
    </row>
    <row r="334" ht="15.75" customHeight="1">
      <c r="A334" s="79"/>
      <c r="B334" s="52" t="s">
        <v>292</v>
      </c>
      <c r="C334" s="53"/>
      <c r="D334" s="54"/>
      <c r="E334" s="55"/>
      <c r="F334" s="54"/>
      <c r="G334" s="55"/>
      <c r="H334" s="54"/>
      <c r="I334" s="56"/>
      <c r="J334" s="54"/>
      <c r="K334" s="55"/>
      <c r="L334" s="76"/>
      <c r="M334" s="55"/>
      <c r="N334" s="76"/>
      <c r="O334" s="55"/>
      <c r="P334" s="76"/>
      <c r="Q334" s="55"/>
      <c r="R334" s="76"/>
      <c r="S334" s="55"/>
      <c r="T334" s="76"/>
      <c r="U334" s="55"/>
      <c r="V334" s="54"/>
      <c r="W334" s="55"/>
      <c r="X334" s="77"/>
      <c r="Y334" s="61"/>
      <c r="Z334" s="71"/>
      <c r="AA334" s="72"/>
      <c r="AB334" s="72"/>
      <c r="AC334" s="73"/>
      <c r="AD334" s="73"/>
      <c r="AE334" s="73"/>
      <c r="AF334" s="73"/>
      <c r="AG334" s="73"/>
      <c r="AH334" s="73"/>
    </row>
    <row r="335" ht="15.75" customHeight="1">
      <c r="A335" s="79"/>
      <c r="B335" s="62" t="s">
        <v>293</v>
      </c>
      <c r="C335" s="53"/>
      <c r="D335" s="54"/>
      <c r="E335" s="55"/>
      <c r="F335" s="54"/>
      <c r="G335" s="55"/>
      <c r="H335" s="54"/>
      <c r="I335" s="56"/>
      <c r="J335" s="54"/>
      <c r="K335" s="55"/>
      <c r="L335" s="76"/>
      <c r="M335" s="55"/>
      <c r="N335" s="76"/>
      <c r="O335" s="55"/>
      <c r="P335" s="76"/>
      <c r="Q335" s="55"/>
      <c r="R335" s="76"/>
      <c r="S335" s="55"/>
      <c r="T335" s="76"/>
      <c r="U335" s="55"/>
      <c r="V335" s="54"/>
      <c r="W335" s="55"/>
      <c r="X335" s="77"/>
      <c r="Y335" s="61"/>
      <c r="Z335" s="71"/>
      <c r="AA335" s="72"/>
      <c r="AB335" s="72"/>
      <c r="AC335" s="73"/>
      <c r="AD335" s="73"/>
      <c r="AE335" s="73"/>
      <c r="AF335" s="73"/>
      <c r="AG335" s="73"/>
      <c r="AH335" s="73"/>
    </row>
    <row r="336" ht="15.75" customHeight="1">
      <c r="A336" s="79"/>
      <c r="B336" s="62" t="s">
        <v>294</v>
      </c>
      <c r="C336" s="53"/>
      <c r="D336" s="54"/>
      <c r="E336" s="55"/>
      <c r="F336" s="54"/>
      <c r="G336" s="55"/>
      <c r="H336" s="54"/>
      <c r="I336" s="56"/>
      <c r="J336" s="54"/>
      <c r="K336" s="55"/>
      <c r="L336" s="76"/>
      <c r="M336" s="55"/>
      <c r="N336" s="76"/>
      <c r="O336" s="55"/>
      <c r="P336" s="76"/>
      <c r="Q336" s="55"/>
      <c r="R336" s="76"/>
      <c r="S336" s="55"/>
      <c r="T336" s="76"/>
      <c r="U336" s="55"/>
      <c r="V336" s="54"/>
      <c r="W336" s="55"/>
      <c r="X336" s="77"/>
      <c r="Y336" s="61"/>
      <c r="Z336" s="71"/>
      <c r="AA336" s="72"/>
      <c r="AB336" s="72"/>
      <c r="AC336" s="73"/>
      <c r="AD336" s="73"/>
      <c r="AE336" s="73"/>
      <c r="AF336" s="73"/>
      <c r="AG336" s="73"/>
      <c r="AH336" s="73"/>
    </row>
    <row r="337" ht="15.75" customHeight="1">
      <c r="A337" s="79"/>
      <c r="B337" s="62" t="s">
        <v>295</v>
      </c>
      <c r="C337" s="53"/>
      <c r="D337" s="54"/>
      <c r="E337" s="55"/>
      <c r="F337" s="54"/>
      <c r="G337" s="55"/>
      <c r="H337" s="54"/>
      <c r="I337" s="56"/>
      <c r="J337" s="54"/>
      <c r="K337" s="55"/>
      <c r="L337" s="76"/>
      <c r="M337" s="55"/>
      <c r="N337" s="76"/>
      <c r="O337" s="55"/>
      <c r="P337" s="76"/>
      <c r="Q337" s="55"/>
      <c r="R337" s="76"/>
      <c r="S337" s="55"/>
      <c r="T337" s="76"/>
      <c r="U337" s="55"/>
      <c r="V337" s="54"/>
      <c r="W337" s="55"/>
      <c r="X337" s="77"/>
      <c r="Y337" s="61"/>
      <c r="Z337" s="71"/>
      <c r="AA337" s="72"/>
      <c r="AB337" s="72"/>
      <c r="AC337" s="73"/>
      <c r="AD337" s="73"/>
      <c r="AE337" s="73"/>
      <c r="AF337" s="73"/>
      <c r="AG337" s="73"/>
      <c r="AH337" s="73"/>
    </row>
    <row r="338" ht="13.5" customHeight="1">
      <c r="A338" s="43">
        <v>12.0</v>
      </c>
      <c r="B338" s="44" t="s">
        <v>296</v>
      </c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6"/>
      <c r="Z338" s="71"/>
      <c r="AA338" s="72"/>
      <c r="AB338" s="72"/>
      <c r="AC338" s="73"/>
      <c r="AD338" s="73"/>
      <c r="AE338" s="73"/>
      <c r="AF338" s="73"/>
      <c r="AG338" s="73"/>
      <c r="AH338" s="73"/>
    </row>
    <row r="339" ht="17.25" customHeight="1">
      <c r="A339" s="47"/>
      <c r="B339" s="48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50"/>
      <c r="Z339" s="71"/>
      <c r="AA339" s="72"/>
      <c r="AB339" s="72"/>
      <c r="AC339" s="73"/>
      <c r="AD339" s="73"/>
      <c r="AE339" s="73"/>
      <c r="AF339" s="73"/>
      <c r="AG339" s="73"/>
      <c r="AH339" s="73"/>
    </row>
    <row r="340" ht="15.75" customHeight="1">
      <c r="A340" s="79"/>
      <c r="B340" s="52" t="s">
        <v>297</v>
      </c>
      <c r="C340" s="53"/>
      <c r="D340" s="54"/>
      <c r="E340" s="55"/>
      <c r="F340" s="54"/>
      <c r="G340" s="55"/>
      <c r="H340" s="54"/>
      <c r="I340" s="56"/>
      <c r="J340" s="54"/>
      <c r="K340" s="55"/>
      <c r="L340" s="76"/>
      <c r="M340" s="55"/>
      <c r="N340" s="76"/>
      <c r="O340" s="55"/>
      <c r="P340" s="76"/>
      <c r="Q340" s="55"/>
      <c r="R340" s="76"/>
      <c r="S340" s="55"/>
      <c r="T340" s="76"/>
      <c r="U340" s="55"/>
      <c r="V340" s="54"/>
      <c r="W340" s="55"/>
      <c r="X340" s="77"/>
      <c r="Y340" s="61"/>
      <c r="Z340" s="71"/>
      <c r="AA340" s="72"/>
      <c r="AB340" s="72"/>
      <c r="AC340" s="73"/>
      <c r="AD340" s="73"/>
      <c r="AE340" s="73"/>
      <c r="AF340" s="73"/>
      <c r="AG340" s="73"/>
      <c r="AH340" s="73"/>
    </row>
    <row r="341" ht="15.75" customHeight="1">
      <c r="A341" s="79"/>
      <c r="B341" s="62" t="s">
        <v>298</v>
      </c>
      <c r="C341" s="53"/>
      <c r="D341" s="54"/>
      <c r="E341" s="55"/>
      <c r="F341" s="54"/>
      <c r="G341" s="55"/>
      <c r="H341" s="54"/>
      <c r="I341" s="56"/>
      <c r="J341" s="54"/>
      <c r="K341" s="55"/>
      <c r="L341" s="76"/>
      <c r="M341" s="55"/>
      <c r="N341" s="76"/>
      <c r="O341" s="55"/>
      <c r="P341" s="76"/>
      <c r="Q341" s="55"/>
      <c r="R341" s="76"/>
      <c r="S341" s="55"/>
      <c r="T341" s="76"/>
      <c r="U341" s="55"/>
      <c r="V341" s="54"/>
      <c r="W341" s="55"/>
      <c r="X341" s="77"/>
      <c r="Y341" s="61"/>
      <c r="Z341" s="71"/>
      <c r="AA341" s="72"/>
      <c r="AB341" s="72"/>
      <c r="AC341" s="73"/>
      <c r="AD341" s="73"/>
      <c r="AE341" s="73"/>
      <c r="AF341" s="73"/>
      <c r="AG341" s="73"/>
      <c r="AH341" s="73"/>
    </row>
    <row r="342" ht="15.75" customHeight="1">
      <c r="A342" s="79"/>
      <c r="B342" s="62" t="s">
        <v>299</v>
      </c>
      <c r="C342" s="53"/>
      <c r="D342" s="54"/>
      <c r="E342" s="55"/>
      <c r="F342" s="54"/>
      <c r="G342" s="55"/>
      <c r="H342" s="54"/>
      <c r="I342" s="56"/>
      <c r="J342" s="54"/>
      <c r="K342" s="55"/>
      <c r="L342" s="76"/>
      <c r="M342" s="55"/>
      <c r="N342" s="76"/>
      <c r="O342" s="55"/>
      <c r="P342" s="76"/>
      <c r="Q342" s="55"/>
      <c r="R342" s="76"/>
      <c r="S342" s="55"/>
      <c r="T342" s="76"/>
      <c r="U342" s="55"/>
      <c r="V342" s="54"/>
      <c r="W342" s="55"/>
      <c r="X342" s="77"/>
      <c r="Y342" s="61"/>
      <c r="Z342" s="71"/>
      <c r="AA342" s="72"/>
      <c r="AB342" s="72"/>
      <c r="AC342" s="73"/>
      <c r="AD342" s="73"/>
      <c r="AE342" s="73"/>
      <c r="AF342" s="73"/>
      <c r="AG342" s="73"/>
      <c r="AH342" s="73"/>
    </row>
    <row r="343" ht="15.75" customHeight="1">
      <c r="A343" s="79"/>
      <c r="B343" s="62" t="s">
        <v>300</v>
      </c>
      <c r="C343" s="53"/>
      <c r="D343" s="54"/>
      <c r="E343" s="55"/>
      <c r="F343" s="54"/>
      <c r="G343" s="55"/>
      <c r="H343" s="54"/>
      <c r="I343" s="56"/>
      <c r="J343" s="54"/>
      <c r="K343" s="55"/>
      <c r="L343" s="76"/>
      <c r="M343" s="55"/>
      <c r="N343" s="76"/>
      <c r="O343" s="55"/>
      <c r="P343" s="76"/>
      <c r="Q343" s="55"/>
      <c r="R343" s="76"/>
      <c r="S343" s="55"/>
      <c r="T343" s="76"/>
      <c r="U343" s="55"/>
      <c r="V343" s="54"/>
      <c r="W343" s="55"/>
      <c r="X343" s="77"/>
      <c r="Y343" s="61"/>
      <c r="Z343" s="71"/>
      <c r="AA343" s="72"/>
      <c r="AB343" s="72"/>
      <c r="AC343" s="73"/>
      <c r="AD343" s="73"/>
      <c r="AE343" s="73"/>
      <c r="AF343" s="73"/>
      <c r="AG343" s="73"/>
      <c r="AH343" s="73"/>
    </row>
    <row r="344" ht="13.5" customHeight="1">
      <c r="A344" s="43">
        <v>13.0</v>
      </c>
      <c r="B344" s="44" t="s">
        <v>301</v>
      </c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6"/>
      <c r="Z344" s="71"/>
      <c r="AA344" s="72"/>
      <c r="AB344" s="72"/>
      <c r="AC344" s="73"/>
      <c r="AD344" s="73"/>
      <c r="AE344" s="73"/>
      <c r="AF344" s="73"/>
      <c r="AG344" s="73"/>
      <c r="AH344" s="73"/>
    </row>
    <row r="345" ht="17.25" customHeight="1">
      <c r="A345" s="47"/>
      <c r="B345" s="48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50"/>
      <c r="Z345" s="71"/>
      <c r="AA345" s="72"/>
      <c r="AB345" s="72"/>
      <c r="AC345" s="73"/>
      <c r="AD345" s="73"/>
      <c r="AE345" s="73"/>
      <c r="AF345" s="73"/>
      <c r="AG345" s="73"/>
      <c r="AH345" s="73"/>
    </row>
    <row r="346" ht="15.75" customHeight="1">
      <c r="A346" s="79"/>
      <c r="B346" s="52" t="s">
        <v>302</v>
      </c>
      <c r="C346" s="53"/>
      <c r="D346" s="54"/>
      <c r="E346" s="55"/>
      <c r="F346" s="54"/>
      <c r="G346" s="55"/>
      <c r="H346" s="54"/>
      <c r="I346" s="56"/>
      <c r="J346" s="54"/>
      <c r="K346" s="55"/>
      <c r="L346" s="76"/>
      <c r="M346" s="55"/>
      <c r="N346" s="76"/>
      <c r="O346" s="55"/>
      <c r="P346" s="76"/>
      <c r="Q346" s="55"/>
      <c r="R346" s="76"/>
      <c r="S346" s="55"/>
      <c r="T346" s="76"/>
      <c r="U346" s="55"/>
      <c r="V346" s="54"/>
      <c r="W346" s="55"/>
      <c r="X346" s="77"/>
      <c r="Y346" s="61"/>
      <c r="Z346" s="71"/>
      <c r="AA346" s="72"/>
      <c r="AB346" s="72"/>
      <c r="AC346" s="73"/>
      <c r="AD346" s="73"/>
      <c r="AE346" s="73"/>
      <c r="AF346" s="73"/>
      <c r="AG346" s="73"/>
      <c r="AH346" s="73"/>
    </row>
    <row r="347" ht="15.75" customHeight="1">
      <c r="A347" s="79"/>
      <c r="B347" s="62" t="s">
        <v>303</v>
      </c>
      <c r="C347" s="53"/>
      <c r="D347" s="54"/>
      <c r="E347" s="55"/>
      <c r="F347" s="54"/>
      <c r="G347" s="55"/>
      <c r="H347" s="54"/>
      <c r="I347" s="56"/>
      <c r="J347" s="54"/>
      <c r="K347" s="55"/>
      <c r="L347" s="76"/>
      <c r="M347" s="55"/>
      <c r="N347" s="76"/>
      <c r="O347" s="55"/>
      <c r="P347" s="76"/>
      <c r="Q347" s="55"/>
      <c r="R347" s="76"/>
      <c r="S347" s="55"/>
      <c r="T347" s="76"/>
      <c r="U347" s="55"/>
      <c r="V347" s="54"/>
      <c r="W347" s="55"/>
      <c r="X347" s="77"/>
      <c r="Y347" s="61"/>
      <c r="Z347" s="71"/>
      <c r="AA347" s="72"/>
      <c r="AB347" s="72"/>
      <c r="AC347" s="73"/>
      <c r="AD347" s="73"/>
      <c r="AE347" s="73"/>
      <c r="AF347" s="73"/>
      <c r="AG347" s="73"/>
      <c r="AH347" s="73"/>
    </row>
    <row r="348" ht="15.75" customHeight="1">
      <c r="A348" s="79"/>
      <c r="B348" s="62" t="s">
        <v>304</v>
      </c>
      <c r="C348" s="53"/>
      <c r="D348" s="54"/>
      <c r="E348" s="55"/>
      <c r="F348" s="54"/>
      <c r="G348" s="55"/>
      <c r="H348" s="54"/>
      <c r="I348" s="56"/>
      <c r="J348" s="54"/>
      <c r="K348" s="55"/>
      <c r="L348" s="76"/>
      <c r="M348" s="55"/>
      <c r="N348" s="76"/>
      <c r="O348" s="55"/>
      <c r="P348" s="76"/>
      <c r="Q348" s="55"/>
      <c r="R348" s="76"/>
      <c r="S348" s="55"/>
      <c r="T348" s="76"/>
      <c r="U348" s="55"/>
      <c r="V348" s="54"/>
      <c r="W348" s="55"/>
      <c r="X348" s="77"/>
      <c r="Y348" s="61"/>
      <c r="Z348" s="71"/>
      <c r="AA348" s="72"/>
      <c r="AB348" s="72"/>
      <c r="AC348" s="73"/>
      <c r="AD348" s="73"/>
      <c r="AE348" s="73"/>
      <c r="AF348" s="73"/>
      <c r="AG348" s="73"/>
      <c r="AH348" s="73"/>
    </row>
    <row r="349" ht="15.75" customHeight="1">
      <c r="A349" s="79"/>
      <c r="B349" s="62" t="s">
        <v>305</v>
      </c>
      <c r="C349" s="53"/>
      <c r="D349" s="54"/>
      <c r="E349" s="55"/>
      <c r="F349" s="54"/>
      <c r="G349" s="55"/>
      <c r="H349" s="54"/>
      <c r="I349" s="56"/>
      <c r="J349" s="54"/>
      <c r="K349" s="55"/>
      <c r="L349" s="76"/>
      <c r="M349" s="55"/>
      <c r="N349" s="76"/>
      <c r="O349" s="55"/>
      <c r="P349" s="76"/>
      <c r="Q349" s="55"/>
      <c r="R349" s="76"/>
      <c r="S349" s="55"/>
      <c r="T349" s="76"/>
      <c r="U349" s="55"/>
      <c r="V349" s="54"/>
      <c r="W349" s="55"/>
      <c r="X349" s="77"/>
      <c r="Y349" s="61"/>
      <c r="Z349" s="71"/>
      <c r="AA349" s="72"/>
      <c r="AB349" s="72"/>
      <c r="AC349" s="73"/>
      <c r="AD349" s="73"/>
      <c r="AE349" s="73"/>
      <c r="AF349" s="73"/>
      <c r="AG349" s="73"/>
      <c r="AH349" s="73"/>
    </row>
    <row r="350" ht="13.5" customHeight="1">
      <c r="A350" s="43">
        <v>14.0</v>
      </c>
      <c r="B350" s="44" t="s">
        <v>306</v>
      </c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6"/>
      <c r="Z350" s="71"/>
      <c r="AA350" s="72"/>
      <c r="AB350" s="72"/>
      <c r="AC350" s="73"/>
      <c r="AD350" s="73"/>
      <c r="AE350" s="73"/>
      <c r="AF350" s="73"/>
      <c r="AG350" s="73"/>
      <c r="AH350" s="73"/>
    </row>
    <row r="351" ht="17.25" customHeight="1">
      <c r="A351" s="47"/>
      <c r="B351" s="48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50"/>
      <c r="Z351" s="71"/>
      <c r="AA351" s="72"/>
      <c r="AB351" s="72"/>
      <c r="AC351" s="73"/>
      <c r="AD351" s="73"/>
      <c r="AE351" s="73"/>
      <c r="AF351" s="73"/>
      <c r="AG351" s="73"/>
      <c r="AH351" s="73"/>
    </row>
    <row r="352" ht="15.75" customHeight="1">
      <c r="A352" s="79"/>
      <c r="B352" s="52" t="s">
        <v>307</v>
      </c>
      <c r="C352" s="53"/>
      <c r="D352" s="54"/>
      <c r="E352" s="55"/>
      <c r="F352" s="54"/>
      <c r="G352" s="55"/>
      <c r="H352" s="54"/>
      <c r="I352" s="56"/>
      <c r="J352" s="54"/>
      <c r="K352" s="55"/>
      <c r="L352" s="76"/>
      <c r="M352" s="55"/>
      <c r="N352" s="76"/>
      <c r="O352" s="55"/>
      <c r="P352" s="76"/>
      <c r="Q352" s="55"/>
      <c r="R352" s="76"/>
      <c r="S352" s="55"/>
      <c r="T352" s="76"/>
      <c r="U352" s="55"/>
      <c r="V352" s="54"/>
      <c r="W352" s="55"/>
      <c r="X352" s="77"/>
      <c r="Y352" s="61"/>
      <c r="Z352" s="71"/>
      <c r="AA352" s="72"/>
      <c r="AB352" s="72"/>
      <c r="AC352" s="73"/>
      <c r="AD352" s="73"/>
      <c r="AE352" s="73"/>
      <c r="AF352" s="73"/>
      <c r="AG352" s="73"/>
      <c r="AH352" s="73"/>
    </row>
    <row r="353" ht="15.75" customHeight="1">
      <c r="A353" s="79"/>
      <c r="B353" s="62" t="s">
        <v>308</v>
      </c>
      <c r="C353" s="53"/>
      <c r="D353" s="54"/>
      <c r="E353" s="55"/>
      <c r="F353" s="54"/>
      <c r="G353" s="55"/>
      <c r="H353" s="54"/>
      <c r="I353" s="56"/>
      <c r="J353" s="54"/>
      <c r="K353" s="55"/>
      <c r="L353" s="76"/>
      <c r="M353" s="55"/>
      <c r="N353" s="76"/>
      <c r="O353" s="55"/>
      <c r="P353" s="76"/>
      <c r="Q353" s="55"/>
      <c r="R353" s="76"/>
      <c r="S353" s="55"/>
      <c r="T353" s="76"/>
      <c r="U353" s="55"/>
      <c r="V353" s="54"/>
      <c r="W353" s="55"/>
      <c r="X353" s="77"/>
      <c r="Y353" s="61"/>
      <c r="Z353" s="71"/>
      <c r="AA353" s="72"/>
      <c r="AB353" s="72"/>
      <c r="AC353" s="73"/>
      <c r="AD353" s="73"/>
      <c r="AE353" s="73"/>
      <c r="AF353" s="73"/>
      <c r="AG353" s="73"/>
      <c r="AH353" s="73"/>
    </row>
    <row r="354" ht="13.5" customHeight="1">
      <c r="A354" s="43">
        <v>15.0</v>
      </c>
      <c r="B354" s="44" t="s">
        <v>309</v>
      </c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6"/>
      <c r="Z354" s="71"/>
      <c r="AA354" s="72"/>
      <c r="AB354" s="72"/>
      <c r="AC354" s="73"/>
      <c r="AD354" s="73"/>
      <c r="AE354" s="73"/>
      <c r="AF354" s="73"/>
      <c r="AG354" s="73"/>
      <c r="AH354" s="73"/>
    </row>
    <row r="355" ht="17.25" customHeight="1">
      <c r="A355" s="47"/>
      <c r="B355" s="48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50"/>
      <c r="Z355" s="71"/>
      <c r="AA355" s="72"/>
      <c r="AB355" s="72"/>
      <c r="AC355" s="73"/>
      <c r="AD355" s="73"/>
      <c r="AE355" s="73"/>
      <c r="AF355" s="73"/>
      <c r="AG355" s="73"/>
      <c r="AH355" s="73"/>
    </row>
    <row r="356" ht="15.75" customHeight="1">
      <c r="A356" s="79"/>
      <c r="B356" s="52" t="s">
        <v>310</v>
      </c>
      <c r="C356" s="53"/>
      <c r="D356" s="54"/>
      <c r="E356" s="55"/>
      <c r="F356" s="54"/>
      <c r="G356" s="55"/>
      <c r="H356" s="54"/>
      <c r="I356" s="56"/>
      <c r="J356" s="54"/>
      <c r="K356" s="55"/>
      <c r="L356" s="76"/>
      <c r="M356" s="55"/>
      <c r="N356" s="76"/>
      <c r="O356" s="55"/>
      <c r="P356" s="76"/>
      <c r="Q356" s="55"/>
      <c r="R356" s="76"/>
      <c r="S356" s="55"/>
      <c r="T356" s="76"/>
      <c r="U356" s="55"/>
      <c r="V356" s="54"/>
      <c r="W356" s="55"/>
      <c r="X356" s="77"/>
      <c r="Y356" s="61"/>
      <c r="Z356" s="71"/>
      <c r="AA356" s="72"/>
      <c r="AB356" s="72"/>
      <c r="AC356" s="73"/>
      <c r="AD356" s="73"/>
      <c r="AE356" s="73"/>
      <c r="AF356" s="73"/>
      <c r="AG356" s="73"/>
      <c r="AH356" s="73"/>
    </row>
    <row r="357" ht="15.75" customHeight="1">
      <c r="A357" s="79"/>
      <c r="B357" s="62" t="s">
        <v>311</v>
      </c>
      <c r="C357" s="53"/>
      <c r="D357" s="54"/>
      <c r="E357" s="55"/>
      <c r="F357" s="54"/>
      <c r="G357" s="55"/>
      <c r="H357" s="54"/>
      <c r="I357" s="56"/>
      <c r="J357" s="54"/>
      <c r="K357" s="55"/>
      <c r="L357" s="76"/>
      <c r="M357" s="55"/>
      <c r="N357" s="76"/>
      <c r="O357" s="55"/>
      <c r="P357" s="76"/>
      <c r="Q357" s="55"/>
      <c r="R357" s="76"/>
      <c r="S357" s="55"/>
      <c r="T357" s="76"/>
      <c r="U357" s="55"/>
      <c r="V357" s="54"/>
      <c r="W357" s="55"/>
      <c r="X357" s="77"/>
      <c r="Y357" s="61"/>
      <c r="Z357" s="71"/>
      <c r="AA357" s="72"/>
      <c r="AB357" s="72"/>
      <c r="AC357" s="73"/>
      <c r="AD357" s="73"/>
      <c r="AE357" s="73"/>
      <c r="AF357" s="73"/>
      <c r="AG357" s="73"/>
      <c r="AH357" s="73"/>
    </row>
    <row r="358" ht="13.5" customHeight="1">
      <c r="A358" s="43">
        <v>16.0</v>
      </c>
      <c r="B358" s="44" t="s">
        <v>312</v>
      </c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6"/>
      <c r="Z358" s="71"/>
      <c r="AA358" s="72"/>
      <c r="AB358" s="72"/>
      <c r="AC358" s="73"/>
      <c r="AD358" s="73"/>
      <c r="AE358" s="73"/>
      <c r="AF358" s="73"/>
      <c r="AG358" s="73"/>
      <c r="AH358" s="73"/>
    </row>
    <row r="359" ht="17.25" customHeight="1">
      <c r="A359" s="47"/>
      <c r="B359" s="48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50"/>
      <c r="Z359" s="71"/>
      <c r="AA359" s="72"/>
      <c r="AB359" s="72"/>
      <c r="AC359" s="73"/>
      <c r="AD359" s="73"/>
      <c r="AE359" s="73"/>
      <c r="AF359" s="73"/>
      <c r="AG359" s="73"/>
      <c r="AH359" s="73"/>
    </row>
    <row r="360" ht="15.75" customHeight="1">
      <c r="A360" s="79"/>
      <c r="B360" s="128" t="s">
        <v>313</v>
      </c>
      <c r="C360" s="53"/>
      <c r="D360" s="54"/>
      <c r="E360" s="55"/>
      <c r="F360" s="54"/>
      <c r="G360" s="55"/>
      <c r="H360" s="54"/>
      <c r="I360" s="56"/>
      <c r="J360" s="54"/>
      <c r="K360" s="55"/>
      <c r="L360" s="76"/>
      <c r="M360" s="55"/>
      <c r="N360" s="76"/>
      <c r="O360" s="55"/>
      <c r="P360" s="76"/>
      <c r="Q360" s="55"/>
      <c r="R360" s="76"/>
      <c r="S360" s="55"/>
      <c r="T360" s="76"/>
      <c r="U360" s="55"/>
      <c r="V360" s="54"/>
      <c r="W360" s="55"/>
      <c r="X360" s="77"/>
      <c r="Y360" s="61"/>
      <c r="Z360" s="71"/>
      <c r="AA360" s="72"/>
      <c r="AB360" s="72"/>
      <c r="AC360" s="73"/>
      <c r="AD360" s="73"/>
      <c r="AE360" s="73"/>
      <c r="AF360" s="73"/>
      <c r="AG360" s="73"/>
      <c r="AH360" s="73"/>
    </row>
    <row r="361" ht="13.5" customHeight="1">
      <c r="A361" s="43">
        <v>17.0</v>
      </c>
      <c r="B361" s="44" t="s">
        <v>314</v>
      </c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6"/>
      <c r="Z361" s="71"/>
      <c r="AA361" s="72"/>
      <c r="AB361" s="72"/>
      <c r="AC361" s="73"/>
      <c r="AD361" s="73"/>
      <c r="AE361" s="73"/>
      <c r="AF361" s="73"/>
      <c r="AG361" s="73"/>
      <c r="AH361" s="73"/>
    </row>
    <row r="362" ht="17.25" customHeight="1">
      <c r="A362" s="47"/>
      <c r="B362" s="48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50"/>
      <c r="Z362" s="71"/>
      <c r="AA362" s="72"/>
      <c r="AB362" s="72"/>
      <c r="AC362" s="73"/>
      <c r="AD362" s="73"/>
      <c r="AE362" s="73"/>
      <c r="AF362" s="73"/>
      <c r="AG362" s="73"/>
      <c r="AH362" s="73"/>
    </row>
    <row r="363" ht="15.75" customHeight="1">
      <c r="A363" s="79"/>
      <c r="B363" s="127" t="s">
        <v>315</v>
      </c>
      <c r="C363" s="53"/>
      <c r="D363" s="54"/>
      <c r="E363" s="55"/>
      <c r="F363" s="76"/>
      <c r="G363" s="55"/>
      <c r="H363" s="76"/>
      <c r="I363" s="55"/>
      <c r="J363" s="76"/>
      <c r="K363" s="55"/>
      <c r="L363" s="76"/>
      <c r="M363" s="55"/>
      <c r="N363" s="76"/>
      <c r="O363" s="55"/>
      <c r="P363" s="76"/>
      <c r="Q363" s="55"/>
      <c r="R363" s="76"/>
      <c r="S363" s="55"/>
      <c r="T363" s="76"/>
      <c r="U363" s="55"/>
      <c r="V363" s="54"/>
      <c r="W363" s="55"/>
      <c r="X363" s="77"/>
      <c r="Y363" s="61"/>
      <c r="Z363" s="71"/>
      <c r="AA363" s="72"/>
      <c r="AB363" s="72"/>
      <c r="AC363" s="73"/>
      <c r="AD363" s="73"/>
      <c r="AE363" s="73"/>
      <c r="AF363" s="73"/>
      <c r="AG363" s="73"/>
      <c r="AH363" s="73"/>
    </row>
    <row r="364" ht="15.75" customHeight="1">
      <c r="A364" s="79"/>
      <c r="B364" s="128" t="s">
        <v>316</v>
      </c>
      <c r="C364" s="53"/>
      <c r="D364" s="54"/>
      <c r="E364" s="55"/>
      <c r="F364" s="76"/>
      <c r="G364" s="55"/>
      <c r="H364" s="76"/>
      <c r="I364" s="55"/>
      <c r="J364" s="76"/>
      <c r="K364" s="55"/>
      <c r="L364" s="76"/>
      <c r="M364" s="55"/>
      <c r="N364" s="76"/>
      <c r="O364" s="55"/>
      <c r="P364" s="76"/>
      <c r="Q364" s="55"/>
      <c r="R364" s="76"/>
      <c r="S364" s="55"/>
      <c r="T364" s="76"/>
      <c r="U364" s="55"/>
      <c r="V364" s="54"/>
      <c r="W364" s="55"/>
      <c r="X364" s="77"/>
      <c r="Y364" s="61"/>
      <c r="Z364" s="71"/>
      <c r="AA364" s="72"/>
      <c r="AB364" s="72"/>
      <c r="AC364" s="73"/>
      <c r="AD364" s="73"/>
      <c r="AE364" s="73"/>
      <c r="AF364" s="73"/>
      <c r="AG364" s="73"/>
      <c r="AH364" s="73"/>
    </row>
    <row r="365" ht="15.75" customHeight="1">
      <c r="A365" s="79"/>
      <c r="B365" s="128" t="s">
        <v>317</v>
      </c>
      <c r="C365" s="53"/>
      <c r="D365" s="54"/>
      <c r="E365" s="55"/>
      <c r="F365" s="76"/>
      <c r="G365" s="55"/>
      <c r="H365" s="76"/>
      <c r="I365" s="55"/>
      <c r="J365" s="76"/>
      <c r="K365" s="55"/>
      <c r="L365" s="76"/>
      <c r="M365" s="55"/>
      <c r="N365" s="76"/>
      <c r="O365" s="55"/>
      <c r="P365" s="76"/>
      <c r="Q365" s="55"/>
      <c r="R365" s="76"/>
      <c r="S365" s="55"/>
      <c r="T365" s="76"/>
      <c r="U365" s="55"/>
      <c r="V365" s="54"/>
      <c r="W365" s="55"/>
      <c r="X365" s="77"/>
      <c r="Y365" s="61"/>
      <c r="Z365" s="71"/>
      <c r="AA365" s="72"/>
      <c r="AB365" s="72"/>
      <c r="AC365" s="73"/>
      <c r="AD365" s="73"/>
      <c r="AE365" s="73"/>
      <c r="AF365" s="73"/>
      <c r="AG365" s="73"/>
      <c r="AH365" s="73"/>
    </row>
    <row r="366" ht="36.75" customHeight="1">
      <c r="A366" s="89" t="s">
        <v>318</v>
      </c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2"/>
      <c r="Z366" s="71"/>
      <c r="AA366" s="72"/>
      <c r="AB366" s="72"/>
      <c r="AC366" s="73"/>
      <c r="AD366" s="73"/>
      <c r="AE366" s="73"/>
      <c r="AF366" s="73"/>
      <c r="AG366" s="73"/>
      <c r="AH366" s="73"/>
    </row>
    <row r="367" ht="16.5" customHeight="1">
      <c r="A367" s="40" t="s">
        <v>319</v>
      </c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2"/>
      <c r="Z367" s="71"/>
      <c r="AA367" s="72"/>
      <c r="AB367" s="72"/>
      <c r="AC367" s="73"/>
      <c r="AD367" s="73"/>
      <c r="AE367" s="73"/>
      <c r="AF367" s="73"/>
      <c r="AG367" s="73"/>
      <c r="AH367" s="73"/>
    </row>
    <row r="368" ht="20.25" customHeight="1">
      <c r="A368" s="144">
        <v>1.0</v>
      </c>
      <c r="B368" s="90" t="s">
        <v>320</v>
      </c>
      <c r="C368" s="79"/>
      <c r="D368" s="145" t="s">
        <v>321</v>
      </c>
      <c r="E368" s="146"/>
      <c r="F368" s="147" t="s">
        <v>322</v>
      </c>
      <c r="G368" s="146"/>
      <c r="H368" s="145" t="s">
        <v>323</v>
      </c>
      <c r="I368" s="146"/>
      <c r="J368" s="147" t="s">
        <v>324</v>
      </c>
      <c r="K368" s="146"/>
      <c r="L368" s="147" t="s">
        <v>325</v>
      </c>
      <c r="M368" s="146"/>
      <c r="N368" s="147" t="s">
        <v>326</v>
      </c>
      <c r="O368" s="146"/>
      <c r="P368" s="147" t="s">
        <v>327</v>
      </c>
      <c r="Q368" s="146"/>
      <c r="R368" s="147" t="s">
        <v>328</v>
      </c>
      <c r="S368" s="146"/>
      <c r="T368" s="147" t="s">
        <v>329</v>
      </c>
      <c r="U368" s="146"/>
      <c r="V368" s="147" t="s">
        <v>330</v>
      </c>
      <c r="W368" s="146"/>
      <c r="X368" s="148"/>
      <c r="Y368" s="149"/>
      <c r="Z368" s="71"/>
      <c r="AA368" s="72"/>
      <c r="AB368" s="72"/>
      <c r="AC368" s="73"/>
      <c r="AD368" s="73"/>
      <c r="AE368" s="73"/>
      <c r="AF368" s="73"/>
      <c r="AG368" s="73"/>
      <c r="AH368" s="73"/>
    </row>
    <row r="369" ht="19.5" customHeight="1">
      <c r="A369" s="150"/>
      <c r="B369" s="43" t="s">
        <v>331</v>
      </c>
      <c r="C369" s="99" t="s">
        <v>10</v>
      </c>
      <c r="D369" s="151"/>
      <c r="E369" s="152"/>
      <c r="F369" s="153"/>
      <c r="G369" s="152"/>
      <c r="H369" s="153"/>
      <c r="I369" s="152"/>
      <c r="J369" s="153"/>
      <c r="K369" s="152"/>
      <c r="L369" s="153"/>
      <c r="M369" s="152"/>
      <c r="N369" s="153"/>
      <c r="O369" s="152"/>
      <c r="P369" s="154"/>
      <c r="Q369" s="155"/>
      <c r="R369" s="154"/>
      <c r="S369" s="155"/>
      <c r="T369" s="154"/>
      <c r="U369" s="155"/>
      <c r="V369" s="154"/>
      <c r="W369" s="155"/>
      <c r="X369" s="135"/>
      <c r="Y369" s="149"/>
      <c r="Z369" s="71"/>
      <c r="AA369" s="72"/>
      <c r="AB369" s="72"/>
      <c r="AC369" s="73"/>
      <c r="AD369" s="73"/>
      <c r="AE369" s="73"/>
      <c r="AF369" s="73"/>
      <c r="AG369" s="73"/>
      <c r="AH369" s="73"/>
    </row>
    <row r="370" ht="16.5" customHeight="1">
      <c r="A370" s="156"/>
      <c r="B370" s="156"/>
      <c r="C370" s="156"/>
      <c r="D370" s="147" t="s">
        <v>332</v>
      </c>
      <c r="E370" s="146"/>
      <c r="F370" s="147" t="s">
        <v>333</v>
      </c>
      <c r="G370" s="146"/>
      <c r="H370" s="147" t="s">
        <v>334</v>
      </c>
      <c r="I370" s="146"/>
      <c r="J370" s="147" t="s">
        <v>335</v>
      </c>
      <c r="K370" s="146"/>
      <c r="L370" s="147" t="s">
        <v>336</v>
      </c>
      <c r="M370" s="146"/>
      <c r="N370" s="147" t="s">
        <v>337</v>
      </c>
      <c r="O370" s="146"/>
      <c r="P370" s="147" t="s">
        <v>338</v>
      </c>
      <c r="Q370" s="146"/>
      <c r="R370" s="147" t="s">
        <v>339</v>
      </c>
      <c r="S370" s="146"/>
      <c r="T370" s="147" t="s">
        <v>340</v>
      </c>
      <c r="U370" s="146"/>
      <c r="V370" s="147" t="s">
        <v>341</v>
      </c>
      <c r="W370" s="146"/>
      <c r="X370" s="157"/>
      <c r="Y370" s="149"/>
      <c r="Z370" s="71"/>
      <c r="AA370" s="72"/>
      <c r="AB370" s="72"/>
      <c r="AC370" s="73"/>
      <c r="AD370" s="73"/>
      <c r="AE370" s="73"/>
      <c r="AF370" s="73"/>
      <c r="AG370" s="73"/>
      <c r="AH370" s="73"/>
    </row>
    <row r="371" ht="17.25" customHeight="1">
      <c r="A371" s="156"/>
      <c r="B371" s="156"/>
      <c r="C371" s="156"/>
      <c r="D371" s="158"/>
      <c r="E371" s="155"/>
      <c r="F371" s="158"/>
      <c r="G371" s="155"/>
      <c r="H371" s="158"/>
      <c r="I371" s="155"/>
      <c r="J371" s="158"/>
      <c r="K371" s="155"/>
      <c r="L371" s="158"/>
      <c r="M371" s="155"/>
      <c r="N371" s="158"/>
      <c r="O371" s="155"/>
      <c r="P371" s="158"/>
      <c r="Q371" s="155"/>
      <c r="R371" s="158"/>
      <c r="S371" s="155"/>
      <c r="T371" s="158"/>
      <c r="U371" s="155"/>
      <c r="V371" s="158"/>
      <c r="W371" s="155"/>
      <c r="X371" s="159"/>
      <c r="Y371" s="160"/>
      <c r="Z371" s="71"/>
      <c r="AA371" s="72"/>
      <c r="AB371" s="72"/>
      <c r="AC371" s="73"/>
      <c r="AD371" s="73"/>
      <c r="AE371" s="73"/>
      <c r="AF371" s="73"/>
      <c r="AG371" s="73"/>
      <c r="AH371" s="73"/>
    </row>
    <row r="372" ht="16.5" customHeight="1">
      <c r="A372" s="156"/>
      <c r="B372" s="156"/>
      <c r="C372" s="156"/>
      <c r="D372" s="147" t="s">
        <v>342</v>
      </c>
      <c r="E372" s="146"/>
      <c r="F372" s="147" t="s">
        <v>343</v>
      </c>
      <c r="G372" s="146"/>
      <c r="H372" s="147" t="s">
        <v>344</v>
      </c>
      <c r="I372" s="146"/>
      <c r="J372" s="147" t="s">
        <v>345</v>
      </c>
      <c r="K372" s="146"/>
      <c r="L372" s="161"/>
      <c r="M372" s="46"/>
      <c r="N372" s="161"/>
      <c r="O372" s="46"/>
      <c r="P372" s="161"/>
      <c r="Q372" s="46"/>
      <c r="R372" s="161"/>
      <c r="S372" s="46"/>
      <c r="T372" s="161"/>
      <c r="U372" s="46"/>
      <c r="V372" s="161"/>
      <c r="W372" s="46"/>
      <c r="X372" s="157"/>
      <c r="Y372" s="149"/>
      <c r="Z372" s="71"/>
      <c r="AA372" s="72"/>
      <c r="AB372" s="72"/>
      <c r="AC372" s="73"/>
      <c r="AD372" s="73"/>
      <c r="AE372" s="73"/>
      <c r="AF372" s="73"/>
      <c r="AG372" s="73"/>
      <c r="AH372" s="73"/>
    </row>
    <row r="373" ht="17.25" customHeight="1">
      <c r="A373" s="47"/>
      <c r="B373" s="47"/>
      <c r="C373" s="47"/>
      <c r="D373" s="158"/>
      <c r="E373" s="155"/>
      <c r="F373" s="158"/>
      <c r="G373" s="155"/>
      <c r="H373" s="158"/>
      <c r="I373" s="155"/>
      <c r="J373" s="158"/>
      <c r="K373" s="155"/>
      <c r="L373" s="48"/>
      <c r="M373" s="50"/>
      <c r="N373" s="48"/>
      <c r="O373" s="50"/>
      <c r="P373" s="48"/>
      <c r="Q373" s="50"/>
      <c r="R373" s="48"/>
      <c r="S373" s="50"/>
      <c r="T373" s="48"/>
      <c r="U373" s="50"/>
      <c r="V373" s="48"/>
      <c r="W373" s="50"/>
      <c r="X373" s="159"/>
      <c r="Y373" s="160"/>
      <c r="Z373" s="71"/>
      <c r="AA373" s="72"/>
      <c r="AB373" s="72"/>
      <c r="AC373" s="73"/>
      <c r="AD373" s="73"/>
      <c r="AE373" s="73"/>
      <c r="AF373" s="73"/>
      <c r="AG373" s="73"/>
      <c r="AH373" s="73"/>
    </row>
    <row r="374" ht="20.25" customHeight="1">
      <c r="A374" s="144">
        <v>1.0</v>
      </c>
      <c r="B374" s="90" t="s">
        <v>346</v>
      </c>
      <c r="C374" s="79"/>
      <c r="D374" s="145" t="s">
        <v>347</v>
      </c>
      <c r="E374" s="146"/>
      <c r="F374" s="147" t="s">
        <v>322</v>
      </c>
      <c r="G374" s="146"/>
      <c r="H374" s="145" t="s">
        <v>348</v>
      </c>
      <c r="I374" s="146"/>
      <c r="J374" s="147" t="s">
        <v>324</v>
      </c>
      <c r="K374" s="146"/>
      <c r="L374" s="147" t="s">
        <v>325</v>
      </c>
      <c r="M374" s="146"/>
      <c r="N374" s="147" t="s">
        <v>326</v>
      </c>
      <c r="O374" s="146"/>
      <c r="P374" s="147" t="s">
        <v>327</v>
      </c>
      <c r="Q374" s="146"/>
      <c r="R374" s="147" t="s">
        <v>328</v>
      </c>
      <c r="S374" s="146"/>
      <c r="T374" s="147" t="s">
        <v>329</v>
      </c>
      <c r="U374" s="146"/>
      <c r="V374" s="147" t="s">
        <v>330</v>
      </c>
      <c r="W374" s="146"/>
      <c r="X374" s="148"/>
      <c r="Y374" s="149"/>
      <c r="Z374" s="71"/>
      <c r="AA374" s="72"/>
      <c r="AB374" s="72"/>
      <c r="AC374" s="73"/>
      <c r="AD374" s="73"/>
      <c r="AE374" s="73"/>
      <c r="AF374" s="73"/>
      <c r="AG374" s="73"/>
      <c r="AH374" s="73"/>
    </row>
    <row r="375" ht="19.5" customHeight="1">
      <c r="A375" s="150"/>
      <c r="B375" s="43" t="s">
        <v>331</v>
      </c>
      <c r="C375" s="99" t="s">
        <v>10</v>
      </c>
      <c r="D375" s="151"/>
      <c r="E375" s="152"/>
      <c r="F375" s="153"/>
      <c r="G375" s="152"/>
      <c r="H375" s="153"/>
      <c r="I375" s="152"/>
      <c r="J375" s="153"/>
      <c r="K375" s="152"/>
      <c r="L375" s="153"/>
      <c r="M375" s="152"/>
      <c r="N375" s="153"/>
      <c r="O375" s="152"/>
      <c r="P375" s="154"/>
      <c r="Q375" s="155"/>
      <c r="R375" s="154"/>
      <c r="S375" s="155"/>
      <c r="T375" s="154"/>
      <c r="U375" s="155"/>
      <c r="V375" s="154"/>
      <c r="W375" s="155"/>
      <c r="X375" s="135"/>
      <c r="Y375" s="149"/>
      <c r="Z375" s="71"/>
      <c r="AA375" s="72"/>
      <c r="AB375" s="72"/>
      <c r="AC375" s="73"/>
      <c r="AD375" s="73"/>
      <c r="AE375" s="73"/>
      <c r="AF375" s="73"/>
      <c r="AG375" s="73"/>
      <c r="AH375" s="73"/>
    </row>
    <row r="376" ht="16.5" customHeight="1">
      <c r="A376" s="156"/>
      <c r="B376" s="156"/>
      <c r="C376" s="156"/>
      <c r="D376" s="147" t="s">
        <v>332</v>
      </c>
      <c r="E376" s="146"/>
      <c r="F376" s="147" t="s">
        <v>333</v>
      </c>
      <c r="G376" s="146"/>
      <c r="H376" s="147" t="s">
        <v>334</v>
      </c>
      <c r="I376" s="146"/>
      <c r="J376" s="147" t="s">
        <v>335</v>
      </c>
      <c r="K376" s="146"/>
      <c r="L376" s="147" t="s">
        <v>336</v>
      </c>
      <c r="M376" s="146"/>
      <c r="N376" s="147" t="s">
        <v>337</v>
      </c>
      <c r="O376" s="146"/>
      <c r="P376" s="147" t="s">
        <v>338</v>
      </c>
      <c r="Q376" s="146"/>
      <c r="R376" s="147" t="s">
        <v>339</v>
      </c>
      <c r="S376" s="146"/>
      <c r="T376" s="147" t="s">
        <v>340</v>
      </c>
      <c r="U376" s="146"/>
      <c r="V376" s="147" t="s">
        <v>341</v>
      </c>
      <c r="W376" s="146"/>
      <c r="X376" s="157"/>
      <c r="Y376" s="149"/>
      <c r="Z376" s="71"/>
      <c r="AA376" s="72"/>
      <c r="AB376" s="72"/>
      <c r="AC376" s="73"/>
      <c r="AD376" s="73"/>
      <c r="AE376" s="73"/>
      <c r="AF376" s="73"/>
      <c r="AG376" s="73"/>
      <c r="AH376" s="73"/>
    </row>
    <row r="377" ht="17.25" customHeight="1">
      <c r="A377" s="156"/>
      <c r="B377" s="156"/>
      <c r="C377" s="156"/>
      <c r="D377" s="158"/>
      <c r="E377" s="155"/>
      <c r="F377" s="158"/>
      <c r="G377" s="155"/>
      <c r="H377" s="158"/>
      <c r="I377" s="155"/>
      <c r="J377" s="158"/>
      <c r="K377" s="155"/>
      <c r="L377" s="158"/>
      <c r="M377" s="155"/>
      <c r="N377" s="158"/>
      <c r="O377" s="155"/>
      <c r="P377" s="158"/>
      <c r="Q377" s="155"/>
      <c r="R377" s="158"/>
      <c r="S377" s="155"/>
      <c r="T377" s="158"/>
      <c r="U377" s="155"/>
      <c r="V377" s="158"/>
      <c r="W377" s="155"/>
      <c r="X377" s="159"/>
      <c r="Y377" s="160"/>
      <c r="Z377" s="71"/>
      <c r="AA377" s="72"/>
      <c r="AB377" s="72"/>
      <c r="AC377" s="73"/>
      <c r="AD377" s="73"/>
      <c r="AE377" s="73"/>
      <c r="AF377" s="73"/>
      <c r="AG377" s="73"/>
      <c r="AH377" s="73"/>
    </row>
    <row r="378" ht="16.5" customHeight="1">
      <c r="A378" s="156"/>
      <c r="B378" s="156"/>
      <c r="C378" s="156"/>
      <c r="D378" s="147" t="s">
        <v>342</v>
      </c>
      <c r="E378" s="146"/>
      <c r="F378" s="147" t="s">
        <v>343</v>
      </c>
      <c r="G378" s="146"/>
      <c r="H378" s="147" t="s">
        <v>344</v>
      </c>
      <c r="I378" s="146"/>
      <c r="J378" s="147" t="s">
        <v>345</v>
      </c>
      <c r="K378" s="146"/>
      <c r="L378" s="161"/>
      <c r="M378" s="46"/>
      <c r="N378" s="161"/>
      <c r="O378" s="46"/>
      <c r="P378" s="161"/>
      <c r="Q378" s="46"/>
      <c r="R378" s="161"/>
      <c r="S378" s="46"/>
      <c r="T378" s="161"/>
      <c r="U378" s="46"/>
      <c r="V378" s="161"/>
      <c r="W378" s="46"/>
      <c r="X378" s="157"/>
      <c r="Y378" s="149"/>
      <c r="Z378" s="71"/>
      <c r="AA378" s="72"/>
      <c r="AB378" s="72"/>
      <c r="AC378" s="73"/>
      <c r="AD378" s="73"/>
      <c r="AE378" s="73"/>
      <c r="AF378" s="73"/>
      <c r="AG378" s="73"/>
      <c r="AH378" s="73"/>
    </row>
    <row r="379" ht="17.25" customHeight="1">
      <c r="A379" s="47"/>
      <c r="B379" s="47"/>
      <c r="C379" s="47"/>
      <c r="D379" s="158"/>
      <c r="E379" s="155"/>
      <c r="F379" s="158"/>
      <c r="G379" s="155"/>
      <c r="H379" s="158"/>
      <c r="I379" s="155"/>
      <c r="J379" s="158"/>
      <c r="K379" s="155"/>
      <c r="L379" s="48"/>
      <c r="M379" s="50"/>
      <c r="N379" s="48"/>
      <c r="O379" s="50"/>
      <c r="P379" s="48"/>
      <c r="Q379" s="50"/>
      <c r="R379" s="48"/>
      <c r="S379" s="50"/>
      <c r="T379" s="48"/>
      <c r="U379" s="50"/>
      <c r="V379" s="48"/>
      <c r="W379" s="50"/>
      <c r="X379" s="159"/>
      <c r="Y379" s="160"/>
      <c r="Z379" s="71"/>
      <c r="AA379" s="72"/>
      <c r="AB379" s="72"/>
      <c r="AC379" s="73"/>
      <c r="AD379" s="73"/>
      <c r="AE379" s="73"/>
      <c r="AF379" s="73"/>
      <c r="AG379" s="73"/>
      <c r="AH379" s="73"/>
    </row>
    <row r="380" ht="20.25" customHeight="1">
      <c r="A380" s="144">
        <v>1.0</v>
      </c>
      <c r="B380" s="90" t="s">
        <v>349</v>
      </c>
      <c r="C380" s="79"/>
      <c r="D380" s="145" t="s">
        <v>350</v>
      </c>
      <c r="E380" s="146"/>
      <c r="F380" s="147" t="s">
        <v>322</v>
      </c>
      <c r="G380" s="146"/>
      <c r="H380" s="145" t="s">
        <v>351</v>
      </c>
      <c r="I380" s="146"/>
      <c r="J380" s="147" t="s">
        <v>324</v>
      </c>
      <c r="K380" s="146"/>
      <c r="L380" s="147" t="s">
        <v>325</v>
      </c>
      <c r="M380" s="146"/>
      <c r="N380" s="147" t="s">
        <v>326</v>
      </c>
      <c r="O380" s="146"/>
      <c r="P380" s="147" t="s">
        <v>327</v>
      </c>
      <c r="Q380" s="146"/>
      <c r="R380" s="147" t="s">
        <v>328</v>
      </c>
      <c r="S380" s="146"/>
      <c r="T380" s="147" t="s">
        <v>329</v>
      </c>
      <c r="U380" s="146"/>
      <c r="V380" s="147" t="s">
        <v>330</v>
      </c>
      <c r="W380" s="146"/>
      <c r="X380" s="148"/>
      <c r="Y380" s="149"/>
      <c r="Z380" s="71"/>
      <c r="AA380" s="72"/>
      <c r="AB380" s="72"/>
      <c r="AC380" s="73"/>
      <c r="AD380" s="73"/>
      <c r="AE380" s="73"/>
      <c r="AF380" s="73"/>
      <c r="AG380" s="73"/>
      <c r="AH380" s="73"/>
    </row>
    <row r="381" ht="19.5" customHeight="1">
      <c r="A381" s="150"/>
      <c r="B381" s="43" t="s">
        <v>331</v>
      </c>
      <c r="C381" s="99" t="s">
        <v>10</v>
      </c>
      <c r="D381" s="151"/>
      <c r="E381" s="152"/>
      <c r="F381" s="153"/>
      <c r="G381" s="152"/>
      <c r="H381" s="153"/>
      <c r="I381" s="152"/>
      <c r="J381" s="153"/>
      <c r="K381" s="152"/>
      <c r="L381" s="153"/>
      <c r="M381" s="152"/>
      <c r="N381" s="153"/>
      <c r="O381" s="152"/>
      <c r="P381" s="154"/>
      <c r="Q381" s="155"/>
      <c r="R381" s="154"/>
      <c r="S381" s="155"/>
      <c r="T381" s="154"/>
      <c r="U381" s="155"/>
      <c r="V381" s="154"/>
      <c r="W381" s="155"/>
      <c r="X381" s="135"/>
      <c r="Y381" s="149"/>
      <c r="Z381" s="71"/>
      <c r="AA381" s="72"/>
      <c r="AB381" s="72"/>
      <c r="AC381" s="73"/>
      <c r="AD381" s="73"/>
      <c r="AE381" s="73"/>
      <c r="AF381" s="73"/>
      <c r="AG381" s="73"/>
      <c r="AH381" s="73"/>
    </row>
    <row r="382" ht="16.5" customHeight="1">
      <c r="A382" s="156"/>
      <c r="B382" s="156"/>
      <c r="C382" s="156"/>
      <c r="D382" s="147" t="s">
        <v>332</v>
      </c>
      <c r="E382" s="146"/>
      <c r="F382" s="147" t="s">
        <v>333</v>
      </c>
      <c r="G382" s="146"/>
      <c r="H382" s="147" t="s">
        <v>334</v>
      </c>
      <c r="I382" s="146"/>
      <c r="J382" s="147" t="s">
        <v>335</v>
      </c>
      <c r="K382" s="146"/>
      <c r="L382" s="147" t="s">
        <v>336</v>
      </c>
      <c r="M382" s="146"/>
      <c r="N382" s="147" t="s">
        <v>337</v>
      </c>
      <c r="O382" s="146"/>
      <c r="P382" s="147" t="s">
        <v>338</v>
      </c>
      <c r="Q382" s="146"/>
      <c r="R382" s="147" t="s">
        <v>339</v>
      </c>
      <c r="S382" s="146"/>
      <c r="T382" s="147" t="s">
        <v>340</v>
      </c>
      <c r="U382" s="146"/>
      <c r="V382" s="147" t="s">
        <v>341</v>
      </c>
      <c r="W382" s="146"/>
      <c r="X382" s="157"/>
      <c r="Y382" s="149"/>
      <c r="Z382" s="71"/>
      <c r="AA382" s="72"/>
      <c r="AB382" s="72"/>
      <c r="AC382" s="73"/>
      <c r="AD382" s="73"/>
      <c r="AE382" s="73"/>
      <c r="AF382" s="73"/>
      <c r="AG382" s="73"/>
      <c r="AH382" s="73"/>
    </row>
    <row r="383" ht="17.25" customHeight="1">
      <c r="A383" s="156"/>
      <c r="B383" s="156"/>
      <c r="C383" s="156"/>
      <c r="D383" s="158"/>
      <c r="E383" s="155"/>
      <c r="F383" s="158"/>
      <c r="G383" s="155"/>
      <c r="H383" s="158"/>
      <c r="I383" s="155"/>
      <c r="J383" s="158"/>
      <c r="K383" s="155"/>
      <c r="L383" s="158"/>
      <c r="M383" s="155"/>
      <c r="N383" s="158"/>
      <c r="O383" s="155"/>
      <c r="P383" s="158"/>
      <c r="Q383" s="155"/>
      <c r="R383" s="158"/>
      <c r="S383" s="155"/>
      <c r="T383" s="158"/>
      <c r="U383" s="155"/>
      <c r="V383" s="158"/>
      <c r="W383" s="155"/>
      <c r="X383" s="159"/>
      <c r="Y383" s="160"/>
      <c r="Z383" s="71"/>
      <c r="AA383" s="72"/>
      <c r="AB383" s="72"/>
      <c r="AC383" s="73"/>
      <c r="AD383" s="73"/>
      <c r="AE383" s="73"/>
      <c r="AF383" s="73"/>
      <c r="AG383" s="73"/>
      <c r="AH383" s="73"/>
    </row>
    <row r="384" ht="16.5" customHeight="1">
      <c r="A384" s="156"/>
      <c r="B384" s="156"/>
      <c r="C384" s="156"/>
      <c r="D384" s="147" t="s">
        <v>342</v>
      </c>
      <c r="E384" s="146"/>
      <c r="F384" s="147" t="s">
        <v>343</v>
      </c>
      <c r="G384" s="146"/>
      <c r="H384" s="147" t="s">
        <v>344</v>
      </c>
      <c r="I384" s="146"/>
      <c r="J384" s="147" t="s">
        <v>345</v>
      </c>
      <c r="K384" s="146"/>
      <c r="L384" s="161"/>
      <c r="M384" s="46"/>
      <c r="N384" s="161"/>
      <c r="O384" s="46"/>
      <c r="P384" s="161"/>
      <c r="Q384" s="46"/>
      <c r="R384" s="161"/>
      <c r="S384" s="46"/>
      <c r="T384" s="161"/>
      <c r="U384" s="46"/>
      <c r="V384" s="161"/>
      <c r="W384" s="46"/>
      <c r="X384" s="157"/>
      <c r="Y384" s="149"/>
      <c r="Z384" s="71"/>
      <c r="AA384" s="72"/>
      <c r="AB384" s="72"/>
      <c r="AC384" s="73"/>
      <c r="AD384" s="73"/>
      <c r="AE384" s="73"/>
      <c r="AF384" s="73"/>
      <c r="AG384" s="73"/>
      <c r="AH384" s="73"/>
    </row>
    <row r="385" ht="17.25" customHeight="1">
      <c r="A385" s="47"/>
      <c r="B385" s="47"/>
      <c r="C385" s="47"/>
      <c r="D385" s="158"/>
      <c r="E385" s="155"/>
      <c r="F385" s="158"/>
      <c r="G385" s="155"/>
      <c r="H385" s="158"/>
      <c r="I385" s="155"/>
      <c r="J385" s="158"/>
      <c r="K385" s="155"/>
      <c r="L385" s="48"/>
      <c r="M385" s="50"/>
      <c r="N385" s="48"/>
      <c r="O385" s="50"/>
      <c r="P385" s="48"/>
      <c r="Q385" s="50"/>
      <c r="R385" s="48"/>
      <c r="S385" s="50"/>
      <c r="T385" s="48"/>
      <c r="U385" s="50"/>
      <c r="V385" s="48"/>
      <c r="W385" s="50"/>
      <c r="X385" s="159"/>
      <c r="Y385" s="160"/>
      <c r="Z385" s="71"/>
      <c r="AA385" s="72"/>
      <c r="AB385" s="72"/>
      <c r="AC385" s="73"/>
      <c r="AD385" s="73"/>
      <c r="AE385" s="73"/>
      <c r="AF385" s="73"/>
      <c r="AG385" s="73"/>
      <c r="AH385" s="73"/>
    </row>
    <row r="386" ht="20.25" customHeight="1">
      <c r="A386" s="144">
        <v>1.0</v>
      </c>
      <c r="B386" s="90" t="s">
        <v>352</v>
      </c>
      <c r="C386" s="79"/>
      <c r="D386" s="145" t="s">
        <v>353</v>
      </c>
      <c r="E386" s="146"/>
      <c r="F386" s="147" t="s">
        <v>322</v>
      </c>
      <c r="G386" s="146"/>
      <c r="H386" s="145" t="s">
        <v>354</v>
      </c>
      <c r="I386" s="146"/>
      <c r="J386" s="147" t="s">
        <v>324</v>
      </c>
      <c r="K386" s="146"/>
      <c r="L386" s="147" t="s">
        <v>325</v>
      </c>
      <c r="M386" s="146"/>
      <c r="N386" s="147" t="s">
        <v>326</v>
      </c>
      <c r="O386" s="146"/>
      <c r="P386" s="147" t="s">
        <v>327</v>
      </c>
      <c r="Q386" s="146"/>
      <c r="R386" s="147" t="s">
        <v>328</v>
      </c>
      <c r="S386" s="146"/>
      <c r="T386" s="147" t="s">
        <v>329</v>
      </c>
      <c r="U386" s="146"/>
      <c r="V386" s="147" t="s">
        <v>330</v>
      </c>
      <c r="W386" s="146"/>
      <c r="X386" s="148"/>
      <c r="Y386" s="149"/>
      <c r="Z386" s="71"/>
      <c r="AA386" s="72"/>
      <c r="AB386" s="72"/>
      <c r="AC386" s="73"/>
      <c r="AD386" s="73"/>
      <c r="AE386" s="73"/>
      <c r="AF386" s="73"/>
      <c r="AG386" s="73"/>
      <c r="AH386" s="73"/>
    </row>
    <row r="387" ht="19.5" customHeight="1">
      <c r="A387" s="150"/>
      <c r="B387" s="43" t="s">
        <v>331</v>
      </c>
      <c r="C387" s="99"/>
      <c r="D387" s="151"/>
      <c r="E387" s="152"/>
      <c r="F387" s="153"/>
      <c r="G387" s="152"/>
      <c r="H387" s="153"/>
      <c r="I387" s="152"/>
      <c r="J387" s="153"/>
      <c r="K387" s="152"/>
      <c r="L387" s="153"/>
      <c r="M387" s="152"/>
      <c r="N387" s="153"/>
      <c r="O387" s="152"/>
      <c r="P387" s="154"/>
      <c r="Q387" s="155"/>
      <c r="R387" s="154"/>
      <c r="S387" s="155"/>
      <c r="T387" s="154"/>
      <c r="U387" s="155"/>
      <c r="V387" s="154"/>
      <c r="W387" s="155"/>
      <c r="X387" s="135"/>
      <c r="Y387" s="149"/>
      <c r="Z387" s="71"/>
      <c r="AA387" s="72"/>
      <c r="AB387" s="72"/>
      <c r="AC387" s="73"/>
      <c r="AD387" s="73"/>
      <c r="AE387" s="73"/>
      <c r="AF387" s="73"/>
      <c r="AG387" s="73"/>
      <c r="AH387" s="73"/>
    </row>
    <row r="388" ht="16.5" customHeight="1">
      <c r="A388" s="156"/>
      <c r="B388" s="156"/>
      <c r="C388" s="156"/>
      <c r="D388" s="147" t="s">
        <v>332</v>
      </c>
      <c r="E388" s="146"/>
      <c r="F388" s="147" t="s">
        <v>333</v>
      </c>
      <c r="G388" s="146"/>
      <c r="H388" s="147" t="s">
        <v>334</v>
      </c>
      <c r="I388" s="146"/>
      <c r="J388" s="147" t="s">
        <v>335</v>
      </c>
      <c r="K388" s="146"/>
      <c r="L388" s="147" t="s">
        <v>336</v>
      </c>
      <c r="M388" s="146"/>
      <c r="N388" s="147" t="s">
        <v>337</v>
      </c>
      <c r="O388" s="146"/>
      <c r="P388" s="147" t="s">
        <v>338</v>
      </c>
      <c r="Q388" s="146"/>
      <c r="R388" s="147" t="s">
        <v>339</v>
      </c>
      <c r="S388" s="146"/>
      <c r="T388" s="147" t="s">
        <v>340</v>
      </c>
      <c r="U388" s="146"/>
      <c r="V388" s="147" t="s">
        <v>341</v>
      </c>
      <c r="W388" s="146"/>
      <c r="X388" s="157"/>
      <c r="Y388" s="149"/>
      <c r="Z388" s="71"/>
      <c r="AA388" s="72"/>
      <c r="AB388" s="72"/>
      <c r="AC388" s="73"/>
      <c r="AD388" s="73"/>
      <c r="AE388" s="73"/>
      <c r="AF388" s="73"/>
      <c r="AG388" s="73"/>
      <c r="AH388" s="73"/>
    </row>
    <row r="389" ht="17.25" customHeight="1">
      <c r="A389" s="156"/>
      <c r="B389" s="156"/>
      <c r="C389" s="156"/>
      <c r="D389" s="158"/>
      <c r="E389" s="155"/>
      <c r="F389" s="158"/>
      <c r="G389" s="155"/>
      <c r="H389" s="158"/>
      <c r="I389" s="155"/>
      <c r="J389" s="158"/>
      <c r="K389" s="155"/>
      <c r="L389" s="158"/>
      <c r="M389" s="155"/>
      <c r="N389" s="158"/>
      <c r="O389" s="155"/>
      <c r="P389" s="158"/>
      <c r="Q389" s="155"/>
      <c r="R389" s="158"/>
      <c r="S389" s="155"/>
      <c r="T389" s="158"/>
      <c r="U389" s="155"/>
      <c r="V389" s="158"/>
      <c r="W389" s="155"/>
      <c r="X389" s="159"/>
      <c r="Y389" s="160"/>
      <c r="Z389" s="71"/>
      <c r="AA389" s="72"/>
      <c r="AB389" s="72"/>
      <c r="AC389" s="73"/>
      <c r="AD389" s="73"/>
      <c r="AE389" s="73"/>
      <c r="AF389" s="73"/>
      <c r="AG389" s="73"/>
      <c r="AH389" s="73"/>
    </row>
    <row r="390" ht="16.5" customHeight="1">
      <c r="A390" s="156"/>
      <c r="B390" s="156"/>
      <c r="C390" s="156"/>
      <c r="D390" s="147" t="s">
        <v>342</v>
      </c>
      <c r="E390" s="146"/>
      <c r="F390" s="147" t="s">
        <v>343</v>
      </c>
      <c r="G390" s="146"/>
      <c r="H390" s="147" t="s">
        <v>344</v>
      </c>
      <c r="I390" s="146"/>
      <c r="J390" s="147" t="s">
        <v>345</v>
      </c>
      <c r="K390" s="146"/>
      <c r="L390" s="161"/>
      <c r="M390" s="46"/>
      <c r="N390" s="161"/>
      <c r="O390" s="46"/>
      <c r="P390" s="161"/>
      <c r="Q390" s="46"/>
      <c r="R390" s="161"/>
      <c r="S390" s="46"/>
      <c r="T390" s="161"/>
      <c r="U390" s="46"/>
      <c r="V390" s="161"/>
      <c r="W390" s="46"/>
      <c r="X390" s="157"/>
      <c r="Y390" s="149"/>
      <c r="Z390" s="71"/>
      <c r="AA390" s="72"/>
      <c r="AB390" s="72"/>
      <c r="AC390" s="73"/>
      <c r="AD390" s="73"/>
      <c r="AE390" s="73"/>
      <c r="AF390" s="73"/>
      <c r="AG390" s="73"/>
      <c r="AH390" s="73"/>
    </row>
    <row r="391" ht="17.25" customHeight="1">
      <c r="A391" s="47"/>
      <c r="B391" s="47"/>
      <c r="C391" s="47"/>
      <c r="D391" s="158"/>
      <c r="E391" s="155"/>
      <c r="F391" s="158"/>
      <c r="G391" s="155"/>
      <c r="H391" s="158"/>
      <c r="I391" s="155"/>
      <c r="J391" s="158"/>
      <c r="K391" s="155"/>
      <c r="L391" s="48"/>
      <c r="M391" s="50"/>
      <c r="N391" s="48"/>
      <c r="O391" s="50"/>
      <c r="P391" s="48"/>
      <c r="Q391" s="50"/>
      <c r="R391" s="48"/>
      <c r="S391" s="50"/>
      <c r="T391" s="48"/>
      <c r="U391" s="50"/>
      <c r="V391" s="48"/>
      <c r="W391" s="50"/>
      <c r="X391" s="159"/>
      <c r="Y391" s="160"/>
      <c r="Z391" s="71"/>
      <c r="AA391" s="72"/>
      <c r="AB391" s="72"/>
      <c r="AC391" s="73"/>
      <c r="AD391" s="73"/>
      <c r="AE391" s="73"/>
      <c r="AF391" s="73"/>
      <c r="AG391" s="73"/>
      <c r="AH391" s="73"/>
    </row>
    <row r="392" ht="20.25" customHeight="1">
      <c r="A392" s="144">
        <v>1.0</v>
      </c>
      <c r="B392" s="90" t="s">
        <v>355</v>
      </c>
      <c r="C392" s="79"/>
      <c r="D392" s="145" t="s">
        <v>356</v>
      </c>
      <c r="E392" s="146"/>
      <c r="F392" s="147" t="s">
        <v>322</v>
      </c>
      <c r="G392" s="146"/>
      <c r="H392" s="145" t="s">
        <v>357</v>
      </c>
      <c r="I392" s="146"/>
      <c r="J392" s="147" t="s">
        <v>324</v>
      </c>
      <c r="K392" s="146"/>
      <c r="L392" s="147" t="s">
        <v>325</v>
      </c>
      <c r="M392" s="146"/>
      <c r="N392" s="147" t="s">
        <v>326</v>
      </c>
      <c r="O392" s="146"/>
      <c r="P392" s="147" t="s">
        <v>327</v>
      </c>
      <c r="Q392" s="146"/>
      <c r="R392" s="147" t="s">
        <v>328</v>
      </c>
      <c r="S392" s="146"/>
      <c r="T392" s="147" t="s">
        <v>329</v>
      </c>
      <c r="U392" s="146"/>
      <c r="V392" s="147" t="s">
        <v>330</v>
      </c>
      <c r="W392" s="146"/>
      <c r="X392" s="148"/>
      <c r="Y392" s="149"/>
      <c r="Z392" s="71"/>
      <c r="AA392" s="72"/>
      <c r="AB392" s="72"/>
      <c r="AC392" s="73"/>
      <c r="AD392" s="73"/>
      <c r="AE392" s="73"/>
      <c r="AF392" s="73"/>
      <c r="AG392" s="73"/>
      <c r="AH392" s="73"/>
    </row>
    <row r="393" ht="19.5" customHeight="1">
      <c r="A393" s="150"/>
      <c r="B393" s="43" t="s">
        <v>331</v>
      </c>
      <c r="C393" s="99" t="s">
        <v>10</v>
      </c>
      <c r="D393" s="151"/>
      <c r="E393" s="152"/>
      <c r="F393" s="153"/>
      <c r="G393" s="152"/>
      <c r="H393" s="153"/>
      <c r="I393" s="152"/>
      <c r="J393" s="153"/>
      <c r="K393" s="152"/>
      <c r="L393" s="153"/>
      <c r="M393" s="152"/>
      <c r="N393" s="153"/>
      <c r="O393" s="152"/>
      <c r="P393" s="154"/>
      <c r="Q393" s="155"/>
      <c r="R393" s="154"/>
      <c r="S393" s="155"/>
      <c r="T393" s="154"/>
      <c r="U393" s="155"/>
      <c r="V393" s="154"/>
      <c r="W393" s="155"/>
      <c r="X393" s="135"/>
      <c r="Y393" s="149"/>
      <c r="Z393" s="71"/>
      <c r="AA393" s="72"/>
      <c r="AB393" s="72"/>
      <c r="AC393" s="73"/>
      <c r="AD393" s="73"/>
      <c r="AE393" s="73"/>
      <c r="AF393" s="73"/>
      <c r="AG393" s="73"/>
      <c r="AH393" s="73"/>
    </row>
    <row r="394" ht="16.5" customHeight="1">
      <c r="A394" s="156"/>
      <c r="B394" s="156"/>
      <c r="C394" s="156"/>
      <c r="D394" s="147"/>
      <c r="E394" s="146"/>
      <c r="F394" s="147" t="s">
        <v>333</v>
      </c>
      <c r="G394" s="146"/>
      <c r="H394" s="147" t="s">
        <v>334</v>
      </c>
      <c r="I394" s="146"/>
      <c r="J394" s="147" t="s">
        <v>335</v>
      </c>
      <c r="K394" s="146"/>
      <c r="L394" s="147" t="s">
        <v>336</v>
      </c>
      <c r="M394" s="146"/>
      <c r="N394" s="147" t="s">
        <v>337</v>
      </c>
      <c r="O394" s="146"/>
      <c r="P394" s="147" t="s">
        <v>338</v>
      </c>
      <c r="Q394" s="146"/>
      <c r="R394" s="147" t="s">
        <v>339</v>
      </c>
      <c r="S394" s="146"/>
      <c r="T394" s="147" t="s">
        <v>340</v>
      </c>
      <c r="U394" s="146"/>
      <c r="V394" s="147" t="s">
        <v>341</v>
      </c>
      <c r="W394" s="146"/>
      <c r="X394" s="157"/>
      <c r="Y394" s="149"/>
      <c r="Z394" s="71"/>
      <c r="AA394" s="72"/>
      <c r="AB394" s="72"/>
      <c r="AC394" s="73"/>
      <c r="AD394" s="73"/>
      <c r="AE394" s="73"/>
      <c r="AF394" s="73"/>
      <c r="AG394" s="73"/>
      <c r="AH394" s="73"/>
    </row>
    <row r="395" ht="17.25" customHeight="1">
      <c r="A395" s="156"/>
      <c r="B395" s="156"/>
      <c r="C395" s="156"/>
      <c r="D395" s="158"/>
      <c r="E395" s="155"/>
      <c r="F395" s="158"/>
      <c r="G395" s="155"/>
      <c r="H395" s="158"/>
      <c r="I395" s="155"/>
      <c r="J395" s="158"/>
      <c r="K395" s="155"/>
      <c r="L395" s="158"/>
      <c r="M395" s="155"/>
      <c r="N395" s="158"/>
      <c r="O395" s="155"/>
      <c r="P395" s="158"/>
      <c r="Q395" s="155"/>
      <c r="R395" s="158"/>
      <c r="S395" s="155"/>
      <c r="T395" s="158"/>
      <c r="U395" s="155"/>
      <c r="V395" s="158"/>
      <c r="W395" s="155"/>
      <c r="X395" s="159"/>
      <c r="Y395" s="160"/>
      <c r="Z395" s="71"/>
      <c r="AA395" s="72"/>
      <c r="AB395" s="72"/>
      <c r="AC395" s="73"/>
      <c r="AD395" s="73"/>
      <c r="AE395" s="73"/>
      <c r="AF395" s="73"/>
      <c r="AG395" s="73"/>
      <c r="AH395" s="73"/>
    </row>
    <row r="396" ht="16.5" customHeight="1">
      <c r="A396" s="156"/>
      <c r="B396" s="156"/>
      <c r="C396" s="156"/>
      <c r="D396" s="147" t="s">
        <v>342</v>
      </c>
      <c r="E396" s="146"/>
      <c r="F396" s="147" t="s">
        <v>343</v>
      </c>
      <c r="G396" s="146"/>
      <c r="H396" s="147" t="s">
        <v>344</v>
      </c>
      <c r="I396" s="146"/>
      <c r="J396" s="147" t="s">
        <v>345</v>
      </c>
      <c r="K396" s="146"/>
      <c r="L396" s="161"/>
      <c r="M396" s="46"/>
      <c r="N396" s="161"/>
      <c r="O396" s="46"/>
      <c r="P396" s="161"/>
      <c r="Q396" s="46"/>
      <c r="R396" s="161"/>
      <c r="S396" s="46"/>
      <c r="T396" s="161"/>
      <c r="U396" s="46"/>
      <c r="V396" s="161"/>
      <c r="W396" s="46"/>
      <c r="X396" s="157"/>
      <c r="Y396" s="149"/>
      <c r="Z396" s="71"/>
      <c r="AA396" s="72"/>
      <c r="AB396" s="72"/>
      <c r="AC396" s="73"/>
      <c r="AD396" s="73"/>
      <c r="AE396" s="73"/>
      <c r="AF396" s="73"/>
      <c r="AG396" s="73"/>
      <c r="AH396" s="73"/>
    </row>
    <row r="397" ht="17.25" customHeight="1">
      <c r="A397" s="47"/>
      <c r="B397" s="47"/>
      <c r="C397" s="47"/>
      <c r="D397" s="158"/>
      <c r="E397" s="155"/>
      <c r="F397" s="158"/>
      <c r="G397" s="155"/>
      <c r="H397" s="158"/>
      <c r="I397" s="155"/>
      <c r="J397" s="158"/>
      <c r="K397" s="155"/>
      <c r="L397" s="48"/>
      <c r="M397" s="50"/>
      <c r="N397" s="48"/>
      <c r="O397" s="50"/>
      <c r="P397" s="48"/>
      <c r="Q397" s="50"/>
      <c r="R397" s="48"/>
      <c r="S397" s="50"/>
      <c r="T397" s="48"/>
      <c r="U397" s="50"/>
      <c r="V397" s="48"/>
      <c r="W397" s="50"/>
      <c r="X397" s="159"/>
      <c r="Y397" s="160"/>
      <c r="Z397" s="71"/>
      <c r="AA397" s="72"/>
      <c r="AB397" s="72"/>
      <c r="AC397" s="73"/>
      <c r="AD397" s="73"/>
      <c r="AE397" s="73"/>
      <c r="AF397" s="73"/>
      <c r="AG397" s="73"/>
      <c r="AH397" s="73"/>
    </row>
    <row r="398" ht="30.75" customHeight="1">
      <c r="A398" s="89" t="s">
        <v>358</v>
      </c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2"/>
      <c r="Z398" s="71"/>
      <c r="AA398" s="72"/>
      <c r="AB398" s="72"/>
      <c r="AC398" s="73"/>
      <c r="AD398" s="73"/>
      <c r="AE398" s="73"/>
      <c r="AF398" s="73"/>
      <c r="AG398" s="73"/>
      <c r="AH398" s="73"/>
    </row>
    <row r="399" ht="15.75" customHeight="1">
      <c r="A399" s="40" t="s">
        <v>19</v>
      </c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2"/>
      <c r="Z399" s="71"/>
      <c r="AA399" s="72"/>
      <c r="AB399" s="72"/>
      <c r="AC399" s="73"/>
      <c r="AD399" s="73"/>
      <c r="AE399" s="73"/>
      <c r="AF399" s="73"/>
      <c r="AG399" s="73"/>
      <c r="AH399" s="73"/>
    </row>
    <row r="400" ht="21.75" customHeight="1">
      <c r="A400" s="162">
        <v>1.0</v>
      </c>
      <c r="B400" s="163" t="s">
        <v>359</v>
      </c>
      <c r="C400" s="164"/>
      <c r="D400" s="147" t="s">
        <v>360</v>
      </c>
      <c r="E400" s="146"/>
      <c r="F400" s="147" t="s">
        <v>361</v>
      </c>
      <c r="G400" s="146"/>
      <c r="H400" s="147" t="s">
        <v>362</v>
      </c>
      <c r="I400" s="146"/>
      <c r="J400" s="147" t="s">
        <v>363</v>
      </c>
      <c r="K400" s="146"/>
      <c r="L400" s="147" t="s">
        <v>364</v>
      </c>
      <c r="M400" s="146"/>
      <c r="N400" s="147" t="s">
        <v>365</v>
      </c>
      <c r="O400" s="146"/>
      <c r="P400" s="147" t="s">
        <v>366</v>
      </c>
      <c r="Q400" s="146"/>
      <c r="R400" s="147" t="s">
        <v>367</v>
      </c>
      <c r="S400" s="146"/>
      <c r="T400" s="147" t="s">
        <v>368</v>
      </c>
      <c r="U400" s="146"/>
      <c r="V400" s="147" t="s">
        <v>369</v>
      </c>
      <c r="W400" s="146"/>
      <c r="X400" s="165"/>
      <c r="Y400" s="166"/>
      <c r="Z400" s="73"/>
      <c r="AA400" s="72"/>
      <c r="AB400" s="72"/>
      <c r="AC400" s="73"/>
      <c r="AD400" s="73"/>
      <c r="AE400" s="73"/>
      <c r="AF400" s="73"/>
      <c r="AG400" s="73"/>
      <c r="AH400" s="73"/>
    </row>
    <row r="401" ht="16.5" customHeight="1">
      <c r="A401" s="167"/>
      <c r="B401" s="168" t="s">
        <v>370</v>
      </c>
      <c r="C401" s="169" t="s">
        <v>9</v>
      </c>
      <c r="D401" s="170"/>
      <c r="E401" s="105"/>
      <c r="F401" s="170"/>
      <c r="G401" s="105"/>
      <c r="H401" s="108"/>
      <c r="I401" s="105"/>
      <c r="J401" s="108"/>
      <c r="K401" s="105"/>
      <c r="L401" s="108"/>
      <c r="M401" s="105"/>
      <c r="N401" s="108"/>
      <c r="O401" s="105"/>
      <c r="P401" s="108"/>
      <c r="Q401" s="105"/>
      <c r="R401" s="108"/>
      <c r="S401" s="105"/>
      <c r="T401" s="108"/>
      <c r="U401" s="105"/>
      <c r="V401" s="108"/>
      <c r="W401" s="105"/>
      <c r="X401" s="171"/>
      <c r="Y401" s="160"/>
      <c r="Z401" s="73"/>
      <c r="AA401" s="72"/>
      <c r="AB401" s="72"/>
      <c r="AC401" s="73"/>
      <c r="AD401" s="73"/>
      <c r="AE401" s="73"/>
      <c r="AF401" s="73"/>
      <c r="AG401" s="73"/>
      <c r="AH401" s="73"/>
    </row>
    <row r="402" ht="20.25" customHeight="1">
      <c r="A402" s="172"/>
      <c r="B402" s="172"/>
      <c r="C402" s="172"/>
      <c r="D402" s="173" t="s">
        <v>371</v>
      </c>
      <c r="E402" s="146"/>
      <c r="F402" s="147" t="s">
        <v>372</v>
      </c>
      <c r="G402" s="146"/>
      <c r="H402" s="147" t="s">
        <v>373</v>
      </c>
      <c r="I402" s="146"/>
      <c r="J402" s="147" t="s">
        <v>374</v>
      </c>
      <c r="K402" s="146"/>
      <c r="L402" s="147" t="s">
        <v>375</v>
      </c>
      <c r="M402" s="146"/>
      <c r="N402" s="147" t="s">
        <v>376</v>
      </c>
      <c r="O402" s="146"/>
      <c r="P402" s="147" t="s">
        <v>377</v>
      </c>
      <c r="Q402" s="146"/>
      <c r="R402" s="147" t="s">
        <v>378</v>
      </c>
      <c r="S402" s="146"/>
      <c r="T402" s="147" t="s">
        <v>379</v>
      </c>
      <c r="U402" s="146"/>
      <c r="V402" s="147" t="s">
        <v>380</v>
      </c>
      <c r="W402" s="146"/>
      <c r="X402" s="174"/>
      <c r="Y402" s="149"/>
      <c r="Z402" s="73"/>
      <c r="AA402" s="72"/>
      <c r="AB402" s="72"/>
      <c r="AC402" s="73"/>
      <c r="AD402" s="73"/>
      <c r="AE402" s="73"/>
      <c r="AF402" s="73"/>
      <c r="AG402" s="73"/>
      <c r="AH402" s="73"/>
    </row>
    <row r="403" ht="16.5" customHeight="1">
      <c r="A403" s="172"/>
      <c r="B403" s="172"/>
      <c r="C403" s="172"/>
      <c r="D403" s="170"/>
      <c r="E403" s="105"/>
      <c r="F403" s="108"/>
      <c r="G403" s="105"/>
      <c r="H403" s="108"/>
      <c r="I403" s="105"/>
      <c r="J403" s="108"/>
      <c r="K403" s="105"/>
      <c r="L403" s="108"/>
      <c r="M403" s="105"/>
      <c r="N403" s="108"/>
      <c r="O403" s="105"/>
      <c r="P403" s="108"/>
      <c r="Q403" s="105"/>
      <c r="R403" s="108"/>
      <c r="S403" s="105"/>
      <c r="T403" s="108"/>
      <c r="U403" s="105"/>
      <c r="V403" s="108"/>
      <c r="W403" s="105"/>
      <c r="X403" s="171"/>
      <c r="Y403" s="160"/>
      <c r="Z403" s="73"/>
      <c r="AA403" s="72"/>
      <c r="AB403" s="72"/>
      <c r="AC403" s="73"/>
      <c r="AD403" s="73"/>
      <c r="AE403" s="73"/>
      <c r="AF403" s="73"/>
      <c r="AG403" s="73"/>
      <c r="AH403" s="73"/>
    </row>
    <row r="404" ht="16.5" customHeight="1">
      <c r="A404" s="172"/>
      <c r="B404" s="172"/>
      <c r="C404" s="172"/>
      <c r="D404" s="173" t="s">
        <v>381</v>
      </c>
      <c r="E404" s="146"/>
      <c r="F404" s="147" t="s">
        <v>382</v>
      </c>
      <c r="G404" s="146"/>
      <c r="H404" s="147" t="s">
        <v>383</v>
      </c>
      <c r="I404" s="146"/>
      <c r="J404" s="147" t="s">
        <v>384</v>
      </c>
      <c r="K404" s="146"/>
      <c r="L404" s="147" t="s">
        <v>385</v>
      </c>
      <c r="M404" s="146"/>
      <c r="N404" s="147" t="s">
        <v>386</v>
      </c>
      <c r="O404" s="146"/>
      <c r="P404" s="147" t="s">
        <v>387</v>
      </c>
      <c r="Q404" s="146"/>
      <c r="R404" s="147" t="s">
        <v>388</v>
      </c>
      <c r="S404" s="146"/>
      <c r="T404" s="147"/>
      <c r="U404" s="146"/>
      <c r="V404" s="147"/>
      <c r="W404" s="146"/>
      <c r="X404" s="171"/>
      <c r="Y404" s="160"/>
      <c r="Z404" s="73"/>
      <c r="AA404" s="72"/>
      <c r="AB404" s="72"/>
      <c r="AC404" s="73"/>
      <c r="AD404" s="73"/>
      <c r="AE404" s="73"/>
      <c r="AF404" s="73"/>
      <c r="AG404" s="73"/>
      <c r="AH404" s="73"/>
    </row>
    <row r="405" ht="16.5" customHeight="1">
      <c r="A405" s="172"/>
      <c r="B405" s="172"/>
      <c r="C405" s="172"/>
      <c r="D405" s="170"/>
      <c r="E405" s="105"/>
      <c r="F405" s="170"/>
      <c r="G405" s="105"/>
      <c r="H405" s="108"/>
      <c r="I405" s="105"/>
      <c r="J405" s="108"/>
      <c r="K405" s="105"/>
      <c r="L405" s="170"/>
      <c r="M405" s="105"/>
      <c r="N405" s="170"/>
      <c r="O405" s="105"/>
      <c r="P405" s="170"/>
      <c r="Q405" s="105"/>
      <c r="R405" s="170"/>
      <c r="S405" s="105"/>
      <c r="T405" s="170"/>
      <c r="U405" s="105"/>
      <c r="V405" s="170"/>
      <c r="W405" s="105"/>
      <c r="X405" s="171"/>
      <c r="Y405" s="175"/>
      <c r="Z405" s="73"/>
      <c r="AA405" s="72"/>
      <c r="AB405" s="72"/>
      <c r="AC405" s="73"/>
      <c r="AD405" s="73"/>
      <c r="AE405" s="73"/>
      <c r="AF405" s="73"/>
      <c r="AG405" s="73"/>
      <c r="AH405" s="73"/>
    </row>
    <row r="406" ht="16.5" customHeight="1">
      <c r="A406" s="172"/>
      <c r="B406" s="172"/>
      <c r="C406" s="172"/>
      <c r="D406" s="147"/>
      <c r="E406" s="146"/>
      <c r="F406" s="147"/>
      <c r="G406" s="146"/>
      <c r="H406" s="147"/>
      <c r="I406" s="146"/>
      <c r="J406" s="147"/>
      <c r="K406" s="146"/>
      <c r="L406" s="147"/>
      <c r="M406" s="146"/>
      <c r="N406" s="147"/>
      <c r="O406" s="146"/>
      <c r="P406" s="147"/>
      <c r="Q406" s="146"/>
      <c r="R406" s="147"/>
      <c r="S406" s="146"/>
      <c r="T406" s="147"/>
      <c r="U406" s="146"/>
      <c r="V406" s="147"/>
      <c r="W406" s="146"/>
      <c r="X406" s="171"/>
      <c r="Y406" s="160"/>
      <c r="Z406" s="73"/>
      <c r="AA406" s="72"/>
      <c r="AB406" s="72"/>
      <c r="AC406" s="73"/>
      <c r="AD406" s="73"/>
      <c r="AE406" s="73"/>
      <c r="AF406" s="73"/>
      <c r="AG406" s="73"/>
      <c r="AH406" s="73"/>
    </row>
    <row r="407" ht="16.5" customHeight="1">
      <c r="A407" s="172"/>
      <c r="B407" s="172"/>
      <c r="C407" s="172"/>
      <c r="D407" s="170"/>
      <c r="E407" s="105"/>
      <c r="F407" s="176"/>
      <c r="G407" s="105"/>
      <c r="H407" s="108"/>
      <c r="I407" s="105"/>
      <c r="J407" s="108"/>
      <c r="K407" s="105"/>
      <c r="L407" s="170"/>
      <c r="M407" s="105"/>
      <c r="N407" s="170"/>
      <c r="O407" s="105"/>
      <c r="P407" s="170"/>
      <c r="Q407" s="105"/>
      <c r="R407" s="170"/>
      <c r="S407" s="105"/>
      <c r="T407" s="170"/>
      <c r="U407" s="105"/>
      <c r="V407" s="170"/>
      <c r="W407" s="105"/>
      <c r="X407" s="171"/>
      <c r="Y407" s="175"/>
      <c r="Z407" s="73"/>
      <c r="AA407" s="72"/>
      <c r="AB407" s="72"/>
      <c r="AC407" s="73"/>
      <c r="AD407" s="73"/>
      <c r="AE407" s="73"/>
      <c r="AF407" s="73"/>
      <c r="AG407" s="73"/>
      <c r="AH407" s="73"/>
    </row>
    <row r="408" ht="16.5" customHeight="1">
      <c r="A408" s="172"/>
      <c r="B408" s="172"/>
      <c r="C408" s="172"/>
      <c r="D408" s="147"/>
      <c r="E408" s="146"/>
      <c r="F408" s="173"/>
      <c r="G408" s="146"/>
      <c r="H408" s="173"/>
      <c r="I408" s="146"/>
      <c r="J408" s="173"/>
      <c r="K408" s="146"/>
      <c r="L408" s="173"/>
      <c r="M408" s="146"/>
      <c r="N408" s="173"/>
      <c r="O408" s="146"/>
      <c r="P408" s="173"/>
      <c r="Q408" s="146"/>
      <c r="R408" s="173"/>
      <c r="S408" s="146"/>
      <c r="T408" s="173"/>
      <c r="U408" s="146"/>
      <c r="V408" s="173"/>
      <c r="W408" s="146"/>
      <c r="X408" s="171"/>
      <c r="Y408" s="160"/>
      <c r="Z408" s="73"/>
      <c r="AA408" s="72"/>
      <c r="AB408" s="72"/>
      <c r="AC408" s="73"/>
      <c r="AD408" s="73"/>
      <c r="AE408" s="73"/>
      <c r="AF408" s="73"/>
      <c r="AG408" s="73"/>
      <c r="AH408" s="73"/>
    </row>
    <row r="409" ht="16.5" customHeight="1">
      <c r="A409" s="177"/>
      <c r="B409" s="177"/>
      <c r="C409" s="177"/>
      <c r="D409" s="170"/>
      <c r="E409" s="105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5"/>
      <c r="Z409" s="73"/>
      <c r="AA409" s="72"/>
      <c r="AB409" s="72"/>
      <c r="AC409" s="73"/>
      <c r="AD409" s="73"/>
      <c r="AE409" s="73"/>
      <c r="AF409" s="73"/>
      <c r="AG409" s="73"/>
      <c r="AH409" s="73"/>
    </row>
    <row r="410" ht="15.75" customHeight="1">
      <c r="A410" s="73"/>
      <c r="B410" s="178"/>
      <c r="C410" s="179"/>
      <c r="D410" s="73"/>
      <c r="F410" s="180"/>
      <c r="G410" s="181"/>
      <c r="H410" s="180"/>
      <c r="I410" s="181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2"/>
      <c r="AB410" s="72"/>
      <c r="AC410" s="73"/>
      <c r="AD410" s="73"/>
      <c r="AE410" s="73"/>
      <c r="AF410" s="73"/>
      <c r="AG410" s="73"/>
      <c r="AH410" s="73"/>
    </row>
    <row r="411" ht="15.75" customHeight="1">
      <c r="A411" s="73"/>
      <c r="B411" s="178"/>
      <c r="C411" s="179"/>
      <c r="D411" s="180"/>
      <c r="E411" s="181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2"/>
      <c r="AB411" s="72"/>
      <c r="AC411" s="73"/>
      <c r="AD411" s="73"/>
      <c r="AE411" s="73"/>
      <c r="AF411" s="73"/>
      <c r="AG411" s="73"/>
      <c r="AH411" s="73"/>
    </row>
    <row r="412" ht="15.75" customHeight="1">
      <c r="A412" s="182"/>
      <c r="B412" s="183"/>
      <c r="C412" s="184"/>
      <c r="D412" s="185" t="s">
        <v>18</v>
      </c>
      <c r="E412" s="184"/>
      <c r="F412" s="186" t="s">
        <v>389</v>
      </c>
      <c r="G412" s="184"/>
      <c r="H412" s="186" t="s">
        <v>180</v>
      </c>
      <c r="I412" s="187"/>
      <c r="J412" s="187"/>
      <c r="K412" s="187"/>
      <c r="L412" s="187"/>
      <c r="M412" s="187"/>
      <c r="N412" s="187"/>
      <c r="O412" s="184"/>
      <c r="P412" s="186" t="s">
        <v>318</v>
      </c>
      <c r="Q412" s="184"/>
      <c r="R412" s="186" t="s">
        <v>390</v>
      </c>
      <c r="S412" s="184"/>
      <c r="T412" s="73" t="s">
        <v>0</v>
      </c>
      <c r="U412" s="73" t="s">
        <v>391</v>
      </c>
      <c r="V412" s="73" t="s">
        <v>2</v>
      </c>
      <c r="W412" s="73" t="s">
        <v>392</v>
      </c>
      <c r="X412" s="73" t="s">
        <v>4</v>
      </c>
      <c r="Y412" s="73" t="s">
        <v>393</v>
      </c>
      <c r="Z412" s="73"/>
      <c r="AA412" s="72"/>
      <c r="AB412" s="72"/>
      <c r="AC412" s="73"/>
      <c r="AD412" s="73"/>
      <c r="AE412" s="73"/>
      <c r="AF412" s="73"/>
      <c r="AG412" s="73"/>
      <c r="AH412" s="73"/>
    </row>
    <row r="413" ht="15.75" customHeight="1">
      <c r="A413" s="188">
        <v>1.0</v>
      </c>
      <c r="B413" s="189" t="s">
        <v>394</v>
      </c>
      <c r="C413" s="190"/>
      <c r="D413" s="191" t="str">
        <f t="shared" ref="D413:D419" si="1">REPT("|",T413)</f>
        <v/>
      </c>
      <c r="E413" s="192"/>
      <c r="F413" s="193" t="str">
        <f t="shared" ref="F413:F419" si="2">REPT("|",U413)</f>
        <v/>
      </c>
      <c r="G413" s="194"/>
      <c r="H413" s="191" t="str">
        <f t="shared" ref="H413:H419" si="3">REPT("|",V413)</f>
        <v/>
      </c>
      <c r="I413" s="195"/>
      <c r="J413" s="195"/>
      <c r="K413" s="195"/>
      <c r="L413" s="195"/>
      <c r="M413" s="196"/>
      <c r="N413" s="197"/>
      <c r="O413" s="192"/>
      <c r="P413" s="191" t="str">
        <f t="shared" ref="P413:P419" si="4">REPT("|",W413)</f>
        <v/>
      </c>
      <c r="Q413" s="198"/>
      <c r="R413" s="191" t="str">
        <f t="shared" ref="R413:R419" si="5">REPT("|",X413)</f>
        <v/>
      </c>
      <c r="S413" s="198"/>
      <c r="T413" s="199">
        <f>COUNTIF('Таблиця'!$D$10:$Y$142,1)</f>
        <v>0</v>
      </c>
      <c r="U413" s="199">
        <f>COUNTIF('Таблиця'!$D$147:$Y$196,1)</f>
        <v>0</v>
      </c>
      <c r="V413" s="199">
        <f>COUNTIF('Таблиця'!$D$199:$Y$365,1)</f>
        <v>0</v>
      </c>
      <c r="W413" s="199">
        <f>COUNTIF('Таблиця'!$D$369:$Y$397,1)</f>
        <v>0</v>
      </c>
      <c r="X413" s="199">
        <f>COUNTIF('Таблиця'!$D$401:$Y$405,1)</f>
        <v>0</v>
      </c>
      <c r="Y413" s="200">
        <f t="shared" ref="Y413:Y419" si="6">SUM(T413:X413)</f>
        <v>0</v>
      </c>
      <c r="Z413" s="73"/>
      <c r="AA413" s="72"/>
      <c r="AB413" s="72"/>
      <c r="AC413" s="73"/>
      <c r="AD413" s="73"/>
      <c r="AE413" s="73"/>
      <c r="AF413" s="73"/>
      <c r="AG413" s="73"/>
      <c r="AH413" s="73"/>
    </row>
    <row r="414" ht="15.75" customHeight="1">
      <c r="A414" s="201">
        <v>2.0</v>
      </c>
      <c r="B414" s="202" t="s">
        <v>395</v>
      </c>
      <c r="C414" s="203"/>
      <c r="D414" s="204" t="str">
        <f t="shared" si="1"/>
        <v/>
      </c>
      <c r="E414" s="205"/>
      <c r="F414" s="204" t="str">
        <f t="shared" si="2"/>
        <v/>
      </c>
      <c r="G414" s="205"/>
      <c r="H414" s="204" t="str">
        <f t="shared" si="3"/>
        <v/>
      </c>
      <c r="I414" s="206"/>
      <c r="J414" s="206"/>
      <c r="K414" s="207"/>
      <c r="L414" s="206"/>
      <c r="M414" s="206"/>
      <c r="N414" s="206"/>
      <c r="O414" s="205"/>
      <c r="P414" s="204" t="str">
        <f t="shared" si="4"/>
        <v/>
      </c>
      <c r="Q414" s="208"/>
      <c r="R414" s="204" t="str">
        <f t="shared" si="5"/>
        <v/>
      </c>
      <c r="S414" s="208"/>
      <c r="T414" s="199">
        <f>COUNTIF('Таблиця'!$D$10:$Y$142,2)</f>
        <v>0</v>
      </c>
      <c r="U414" s="199">
        <f>COUNTIF('Таблиця'!$D$147:$Y$196,2)</f>
        <v>0</v>
      </c>
      <c r="V414" s="199">
        <f>COUNTIF('Таблиця'!$D$199:$Y$365,2)</f>
        <v>0</v>
      </c>
      <c r="W414" s="199">
        <f>COUNTIF('Таблиця'!$D$369:$Y$397,2)</f>
        <v>0</v>
      </c>
      <c r="X414" s="199">
        <f>COUNTIF('Таблиця'!$D$401:$Y$405,2)</f>
        <v>0</v>
      </c>
      <c r="Y414" s="200">
        <f t="shared" si="6"/>
        <v>0</v>
      </c>
      <c r="Z414" s="73"/>
      <c r="AA414" s="72"/>
      <c r="AB414" s="72"/>
      <c r="AC414" s="73"/>
      <c r="AD414" s="73"/>
      <c r="AE414" s="73"/>
      <c r="AF414" s="73"/>
      <c r="AG414" s="73"/>
      <c r="AH414" s="73"/>
    </row>
    <row r="415" ht="15.75" customHeight="1">
      <c r="A415" s="201">
        <v>3.0</v>
      </c>
      <c r="B415" s="202" t="s">
        <v>396</v>
      </c>
      <c r="C415" s="209"/>
      <c r="D415" s="210" t="str">
        <f t="shared" si="1"/>
        <v/>
      </c>
      <c r="E415" s="203"/>
      <c r="F415" s="210" t="str">
        <f t="shared" si="2"/>
        <v/>
      </c>
      <c r="G415" s="203"/>
      <c r="H415" s="210" t="str">
        <f t="shared" si="3"/>
        <v/>
      </c>
      <c r="I415" s="211"/>
      <c r="J415" s="207"/>
      <c r="K415" s="207"/>
      <c r="L415" s="211"/>
      <c r="M415" s="206"/>
      <c r="N415" s="206"/>
      <c r="O415" s="205"/>
      <c r="P415" s="204" t="str">
        <f t="shared" si="4"/>
        <v/>
      </c>
      <c r="Q415" s="208"/>
      <c r="R415" s="204" t="str">
        <f t="shared" si="5"/>
        <v/>
      </c>
      <c r="S415" s="208"/>
      <c r="T415" s="199">
        <f>COUNTIF('Таблиця'!$D$10:$Y$142,3)</f>
        <v>0</v>
      </c>
      <c r="U415" s="199">
        <f>COUNTIF('Таблиця'!$D$147:$Y$196,3)</f>
        <v>0</v>
      </c>
      <c r="V415" s="199">
        <f>COUNTIF('Таблиця'!$D$199:$Y$365,3)</f>
        <v>0</v>
      </c>
      <c r="W415" s="199">
        <f>COUNTIF('Таблиця'!$D$369:$Y$397,3)</f>
        <v>0</v>
      </c>
      <c r="X415" s="199">
        <f>COUNTIF('Таблиця'!$D$401:$Y$405,3)</f>
        <v>0</v>
      </c>
      <c r="Y415" s="200">
        <f t="shared" si="6"/>
        <v>0</v>
      </c>
      <c r="Z415" s="73"/>
      <c r="AA415" s="72"/>
      <c r="AB415" s="72"/>
      <c r="AC415" s="73"/>
      <c r="AD415" s="73"/>
      <c r="AE415" s="73"/>
      <c r="AF415" s="73"/>
      <c r="AG415" s="73"/>
      <c r="AH415" s="73"/>
    </row>
    <row r="416" ht="15.75" customHeight="1">
      <c r="A416" s="201">
        <v>4.0</v>
      </c>
      <c r="B416" s="212" t="s">
        <v>397</v>
      </c>
      <c r="C416" s="205"/>
      <c r="D416" s="204" t="str">
        <f t="shared" si="1"/>
        <v/>
      </c>
      <c r="E416" s="205"/>
      <c r="F416" s="204" t="str">
        <f t="shared" si="2"/>
        <v/>
      </c>
      <c r="G416" s="205"/>
      <c r="H416" s="204" t="str">
        <f t="shared" si="3"/>
        <v/>
      </c>
      <c r="I416" s="207"/>
      <c r="J416" s="211"/>
      <c r="K416" s="206"/>
      <c r="L416" s="206"/>
      <c r="M416" s="206"/>
      <c r="N416" s="206"/>
      <c r="O416" s="205"/>
      <c r="P416" s="210" t="str">
        <f t="shared" si="4"/>
        <v/>
      </c>
      <c r="Q416" s="213"/>
      <c r="R416" s="204" t="str">
        <f t="shared" si="5"/>
        <v/>
      </c>
      <c r="S416" s="208"/>
      <c r="T416" s="199">
        <f>COUNTIF('Таблиця'!$D$10:$Y$142,4)</f>
        <v>0</v>
      </c>
      <c r="U416" s="199">
        <f>COUNTIF('Таблиця'!$D$147:$Y$196,4)</f>
        <v>0</v>
      </c>
      <c r="V416" s="199">
        <f>COUNTIF('Таблиця'!$D$199:$Y$365,4)</f>
        <v>0</v>
      </c>
      <c r="W416" s="199">
        <f>COUNTIF('Таблиця'!$D$369:$Y$397,4)</f>
        <v>0</v>
      </c>
      <c r="X416" s="199">
        <f>COUNTIF('Таблиця'!$D$401:$Y$405,4)</f>
        <v>0</v>
      </c>
      <c r="Y416" s="200">
        <f t="shared" si="6"/>
        <v>0</v>
      </c>
      <c r="Z416" s="73"/>
      <c r="AA416" s="72"/>
      <c r="AB416" s="72"/>
      <c r="AC416" s="73"/>
      <c r="AD416" s="73"/>
      <c r="AE416" s="73"/>
      <c r="AF416" s="73"/>
      <c r="AG416" s="73"/>
      <c r="AH416" s="73"/>
    </row>
    <row r="417" ht="15.75" customHeight="1">
      <c r="A417" s="201">
        <v>5.0</v>
      </c>
      <c r="B417" s="212" t="s">
        <v>398</v>
      </c>
      <c r="C417" s="205"/>
      <c r="D417" s="204" t="str">
        <f t="shared" si="1"/>
        <v/>
      </c>
      <c r="E417" s="205"/>
      <c r="F417" s="204" t="str">
        <f t="shared" si="2"/>
        <v/>
      </c>
      <c r="G417" s="205"/>
      <c r="H417" s="204" t="str">
        <f t="shared" si="3"/>
        <v/>
      </c>
      <c r="I417" s="206"/>
      <c r="J417" s="206"/>
      <c r="K417" s="206"/>
      <c r="L417" s="206"/>
      <c r="M417" s="206"/>
      <c r="N417" s="206"/>
      <c r="O417" s="205"/>
      <c r="P417" s="210" t="str">
        <f t="shared" si="4"/>
        <v/>
      </c>
      <c r="Q417" s="213"/>
      <c r="R417" s="204" t="str">
        <f t="shared" si="5"/>
        <v/>
      </c>
      <c r="S417" s="208"/>
      <c r="T417" s="199">
        <f>COUNTIF('Таблиця'!$D$10:$Y$142,5)</f>
        <v>0</v>
      </c>
      <c r="U417" s="199">
        <f>COUNTIF('Таблиця'!$D$147:$Y$196,5)</f>
        <v>0</v>
      </c>
      <c r="V417" s="199">
        <f>COUNTIF('Таблиця'!$D$199:$Y$365,5)</f>
        <v>0</v>
      </c>
      <c r="W417" s="199">
        <f>COUNTIF('Таблиця'!$D$369:$Y$397,5)</f>
        <v>0</v>
      </c>
      <c r="X417" s="199">
        <f>COUNTIF('Таблиця'!$D$401:$Y$405,5)</f>
        <v>0</v>
      </c>
      <c r="Y417" s="200">
        <f t="shared" si="6"/>
        <v>0</v>
      </c>
      <c r="Z417" s="73"/>
      <c r="AA417" s="72"/>
      <c r="AB417" s="72"/>
      <c r="AC417" s="73"/>
      <c r="AD417" s="73"/>
      <c r="AE417" s="73"/>
      <c r="AF417" s="73"/>
      <c r="AG417" s="73"/>
      <c r="AH417" s="73"/>
    </row>
    <row r="418" ht="15.75" customHeight="1">
      <c r="A418" s="201">
        <v>6.0</v>
      </c>
      <c r="B418" s="212" t="s">
        <v>399</v>
      </c>
      <c r="C418" s="205"/>
      <c r="D418" s="210" t="str">
        <f t="shared" si="1"/>
        <v/>
      </c>
      <c r="E418" s="203"/>
      <c r="F418" s="204" t="str">
        <f t="shared" si="2"/>
        <v/>
      </c>
      <c r="G418" s="205"/>
      <c r="H418" s="204" t="str">
        <f t="shared" si="3"/>
        <v/>
      </c>
      <c r="I418" s="207"/>
      <c r="J418" s="207"/>
      <c r="K418" s="207"/>
      <c r="L418" s="211"/>
      <c r="M418" s="206"/>
      <c r="N418" s="206"/>
      <c r="O418" s="205"/>
      <c r="P418" s="210" t="str">
        <f t="shared" si="4"/>
        <v/>
      </c>
      <c r="Q418" s="213"/>
      <c r="R418" s="204" t="str">
        <f t="shared" si="5"/>
        <v/>
      </c>
      <c r="S418" s="208"/>
      <c r="T418" s="199">
        <f>COUNTIF('Таблиця'!$D$10:$Y$142,6)</f>
        <v>0</v>
      </c>
      <c r="U418" s="199">
        <f>COUNTIF('Таблиця'!$D$147:$Y$196,6)</f>
        <v>0</v>
      </c>
      <c r="V418" s="199">
        <f>COUNTIF('Таблиця'!$D$199:$Y$365,6)</f>
        <v>0</v>
      </c>
      <c r="W418" s="199">
        <f>COUNTIF('Таблиця'!$D$369:$Y$397,6)</f>
        <v>0</v>
      </c>
      <c r="X418" s="199">
        <f>COUNTIF('Таблиця'!$D$401:$Y$405,6)</f>
        <v>0</v>
      </c>
      <c r="Y418" s="200">
        <f t="shared" si="6"/>
        <v>0</v>
      </c>
      <c r="Z418" s="73"/>
      <c r="AA418" s="72"/>
      <c r="AB418" s="72"/>
      <c r="AC418" s="73"/>
      <c r="AD418" s="73"/>
      <c r="AE418" s="73"/>
      <c r="AF418" s="73"/>
      <c r="AG418" s="73"/>
      <c r="AH418" s="73"/>
    </row>
    <row r="419" ht="15.75" customHeight="1">
      <c r="A419" s="201">
        <v>7.0</v>
      </c>
      <c r="B419" s="212" t="s">
        <v>400</v>
      </c>
      <c r="C419" s="205"/>
      <c r="D419" s="204" t="str">
        <f t="shared" si="1"/>
        <v/>
      </c>
      <c r="E419" s="205"/>
      <c r="F419" s="204" t="str">
        <f t="shared" si="2"/>
        <v/>
      </c>
      <c r="G419" s="205"/>
      <c r="H419" s="204" t="str">
        <f t="shared" si="3"/>
        <v/>
      </c>
      <c r="I419" s="206"/>
      <c r="J419" s="206"/>
      <c r="K419" s="206"/>
      <c r="L419" s="206"/>
      <c r="M419" s="206"/>
      <c r="N419" s="207"/>
      <c r="O419" s="203"/>
      <c r="P419" s="204" t="str">
        <f t="shared" si="4"/>
        <v/>
      </c>
      <c r="Q419" s="208"/>
      <c r="R419" s="204" t="str">
        <f t="shared" si="5"/>
        <v/>
      </c>
      <c r="S419" s="208"/>
      <c r="T419" s="199">
        <f>COUNTIF('Таблиця'!$D$10:$Y$142,7)</f>
        <v>0</v>
      </c>
      <c r="U419" s="199">
        <f>COUNTIF('Таблиця'!$D$147:$Y$196,7)</f>
        <v>0</v>
      </c>
      <c r="V419" s="199">
        <f>COUNTIF('Таблиця'!$D$199:$Y$365,7)</f>
        <v>0</v>
      </c>
      <c r="W419" s="199">
        <f>COUNTIF('Таблиця'!$D$369:$Y$397,7)</f>
        <v>0</v>
      </c>
      <c r="X419" s="199">
        <f>COUNTIF('Таблиця'!$D$401:$Y$405,7)</f>
        <v>0</v>
      </c>
      <c r="Y419" s="200">
        <f t="shared" si="6"/>
        <v>0</v>
      </c>
      <c r="Z419" s="73"/>
      <c r="AA419" s="72"/>
      <c r="AB419" s="72"/>
      <c r="AC419" s="73"/>
      <c r="AD419" s="73"/>
      <c r="AE419" s="73"/>
      <c r="AF419" s="73"/>
      <c r="AG419" s="73"/>
      <c r="AH419" s="73"/>
    </row>
    <row r="420" ht="17.25" customHeight="1">
      <c r="A420" s="214"/>
      <c r="B420" s="215"/>
      <c r="C420" s="216"/>
      <c r="D420" s="214"/>
      <c r="E420" s="214"/>
      <c r="F420" s="214"/>
      <c r="G420" s="214"/>
      <c r="H420" s="215"/>
      <c r="I420" s="215"/>
      <c r="J420" s="215"/>
      <c r="K420" s="215"/>
      <c r="L420" s="215"/>
      <c r="M420" s="214"/>
      <c r="N420" s="214"/>
      <c r="O420" s="214"/>
      <c r="P420" s="214"/>
      <c r="Q420" s="214"/>
      <c r="R420" s="214"/>
      <c r="S420" s="215"/>
      <c r="T420" s="217">
        <f t="shared" ref="T420:Y420" si="7">SUM(T413:T419)</f>
        <v>0</v>
      </c>
      <c r="U420" s="217">
        <f t="shared" si="7"/>
        <v>0</v>
      </c>
      <c r="V420" s="217">
        <f t="shared" si="7"/>
        <v>0</v>
      </c>
      <c r="W420" s="217">
        <f t="shared" si="7"/>
        <v>0</v>
      </c>
      <c r="X420" s="217">
        <f t="shared" si="7"/>
        <v>0</v>
      </c>
      <c r="Y420" s="215">
        <f t="shared" si="7"/>
        <v>0</v>
      </c>
      <c r="Z420" s="215"/>
      <c r="AA420" s="218"/>
      <c r="AB420" s="218"/>
      <c r="AC420" s="215"/>
      <c r="AD420" s="215"/>
      <c r="AE420" s="215"/>
      <c r="AF420" s="215"/>
      <c r="AG420" s="215"/>
      <c r="AH420" s="215"/>
    </row>
    <row r="421" ht="15.75" customHeight="1">
      <c r="A421" s="219"/>
      <c r="B421" s="220"/>
      <c r="C421" s="221"/>
      <c r="D421" s="219"/>
      <c r="E421" s="219"/>
      <c r="F421" s="219"/>
      <c r="G421" s="219"/>
      <c r="H421" s="222"/>
      <c r="I421" s="222"/>
      <c r="J421" s="222"/>
      <c r="K421" s="222"/>
      <c r="L421" s="222"/>
      <c r="M421" s="222"/>
      <c r="N421" s="222"/>
      <c r="O421" s="222"/>
      <c r="P421" s="222"/>
      <c r="Q421" s="222"/>
      <c r="R421" s="222"/>
      <c r="T421" s="223"/>
      <c r="W421" s="224"/>
      <c r="X421" s="224"/>
      <c r="AA421" s="225">
        <v>46153.0</v>
      </c>
      <c r="AB421" s="226">
        <f t="shared" ref="AB421:AB517" si="8">COUNTIF($D$10:$Y$405,AA421)</f>
        <v>0</v>
      </c>
      <c r="AC421" s="73"/>
      <c r="AD421" s="73"/>
      <c r="AE421" s="73"/>
      <c r="AF421" s="73"/>
      <c r="AG421" s="73"/>
      <c r="AH421" s="73"/>
    </row>
    <row r="422" ht="15.75" customHeight="1">
      <c r="A422" s="219"/>
      <c r="B422" s="220"/>
      <c r="C422" s="227"/>
      <c r="D422" s="227"/>
      <c r="E422" s="227"/>
      <c r="F422" s="227"/>
      <c r="G422" s="227"/>
      <c r="H422" s="224"/>
      <c r="I422" s="224"/>
      <c r="J422" s="224"/>
      <c r="K422" s="224"/>
      <c r="L422" s="224"/>
      <c r="M422" s="222"/>
      <c r="N422" s="222"/>
      <c r="O422" s="222"/>
      <c r="P422" s="222"/>
      <c r="Q422" s="222"/>
      <c r="R422" s="222"/>
      <c r="T422" s="223"/>
      <c r="W422" s="224"/>
      <c r="X422" s="224"/>
      <c r="AA422" s="225">
        <v>45789.0</v>
      </c>
      <c r="AB422" s="226">
        <f t="shared" si="8"/>
        <v>0</v>
      </c>
      <c r="AC422" s="73"/>
      <c r="AD422" s="73"/>
      <c r="AE422" s="73"/>
      <c r="AF422" s="73"/>
      <c r="AG422" s="73"/>
      <c r="AH422" s="73"/>
    </row>
    <row r="423" ht="15.75" customHeight="1">
      <c r="A423" s="219"/>
      <c r="B423" s="220"/>
      <c r="C423" s="227"/>
      <c r="D423" s="227"/>
      <c r="E423" s="227"/>
      <c r="F423" s="227"/>
      <c r="G423" s="227"/>
      <c r="H423" s="224"/>
      <c r="I423" s="224"/>
      <c r="J423" s="224"/>
      <c r="K423" s="224"/>
      <c r="L423" s="224"/>
      <c r="M423" s="222"/>
      <c r="N423" s="222"/>
      <c r="O423" s="222"/>
      <c r="P423" s="222"/>
      <c r="Q423" s="222"/>
      <c r="R423" s="222"/>
      <c r="T423" s="223"/>
      <c r="W423" s="224"/>
      <c r="X423" s="224"/>
      <c r="AA423" s="225">
        <v>45790.0</v>
      </c>
      <c r="AB423" s="226">
        <f t="shared" si="8"/>
        <v>0</v>
      </c>
      <c r="AC423" s="73"/>
      <c r="AD423" s="73"/>
      <c r="AE423" s="73"/>
      <c r="AF423" s="73"/>
      <c r="AG423" s="73"/>
      <c r="AH423" s="73"/>
    </row>
    <row r="424" ht="15.75" customHeight="1">
      <c r="A424" s="219"/>
      <c r="B424" s="220"/>
      <c r="C424" s="227"/>
      <c r="D424" s="227"/>
      <c r="E424" s="227"/>
      <c r="F424" s="227"/>
      <c r="G424" s="227"/>
      <c r="H424" s="224"/>
      <c r="I424" s="224"/>
      <c r="J424" s="224"/>
      <c r="K424" s="224"/>
      <c r="L424" s="224"/>
      <c r="M424" s="222"/>
      <c r="N424" s="222"/>
      <c r="O424" s="222"/>
      <c r="P424" s="222"/>
      <c r="Q424" s="222"/>
      <c r="R424" s="222"/>
      <c r="T424" s="223"/>
      <c r="W424" s="224"/>
      <c r="X424" s="224"/>
      <c r="AA424" s="225">
        <v>45791.0</v>
      </c>
      <c r="AB424" s="226">
        <f t="shared" si="8"/>
        <v>0</v>
      </c>
      <c r="AC424" s="73"/>
      <c r="AD424" s="73"/>
      <c r="AE424" s="73"/>
      <c r="AF424" s="73"/>
      <c r="AG424" s="73"/>
      <c r="AH424" s="73"/>
    </row>
    <row r="425" ht="15.75" customHeight="1">
      <c r="A425" s="219"/>
      <c r="B425" s="220"/>
      <c r="C425" s="227"/>
      <c r="D425" s="227"/>
      <c r="E425" s="227"/>
      <c r="F425" s="227"/>
      <c r="G425" s="227"/>
      <c r="H425" s="224"/>
      <c r="I425" s="224"/>
      <c r="J425" s="224"/>
      <c r="K425" s="224"/>
      <c r="L425" s="224"/>
      <c r="M425" s="222"/>
      <c r="N425" s="222"/>
      <c r="O425" s="222"/>
      <c r="P425" s="222"/>
      <c r="Q425" s="222"/>
      <c r="R425" s="222"/>
      <c r="T425" s="223"/>
      <c r="W425" s="224"/>
      <c r="X425" s="224"/>
      <c r="AA425" s="225">
        <v>45792.0</v>
      </c>
      <c r="AB425" s="226">
        <f t="shared" si="8"/>
        <v>0</v>
      </c>
      <c r="AC425" s="73"/>
      <c r="AD425" s="73"/>
      <c r="AE425" s="73"/>
      <c r="AF425" s="73"/>
      <c r="AG425" s="73"/>
      <c r="AH425" s="73"/>
    </row>
    <row r="426" ht="15.75" customHeight="1">
      <c r="A426" s="219"/>
      <c r="B426" s="220"/>
      <c r="C426" s="227"/>
      <c r="D426" s="227"/>
      <c r="E426" s="227"/>
      <c r="F426" s="227"/>
      <c r="G426" s="227"/>
      <c r="H426" s="224"/>
      <c r="I426" s="224"/>
      <c r="J426" s="224"/>
      <c r="K426" s="224"/>
      <c r="L426" s="224"/>
      <c r="M426" s="222"/>
      <c r="N426" s="222"/>
      <c r="O426" s="222"/>
      <c r="P426" s="222"/>
      <c r="Q426" s="222"/>
      <c r="R426" s="222"/>
      <c r="T426" s="223"/>
      <c r="W426" s="224"/>
      <c r="X426" s="224"/>
      <c r="AA426" s="225">
        <v>45793.0</v>
      </c>
      <c r="AB426" s="226">
        <f t="shared" si="8"/>
        <v>0</v>
      </c>
      <c r="AC426" s="73"/>
      <c r="AD426" s="73"/>
      <c r="AE426" s="73"/>
      <c r="AF426" s="73"/>
      <c r="AG426" s="73"/>
      <c r="AH426" s="73"/>
    </row>
    <row r="427" ht="15.75" customHeight="1">
      <c r="A427" s="219"/>
      <c r="B427" s="220"/>
      <c r="C427" s="227"/>
      <c r="D427" s="227"/>
      <c r="E427" s="227"/>
      <c r="F427" s="227"/>
      <c r="G427" s="227"/>
      <c r="H427" s="224"/>
      <c r="I427" s="224"/>
      <c r="J427" s="224"/>
      <c r="K427" s="224"/>
      <c r="L427" s="224"/>
      <c r="M427" s="222"/>
      <c r="N427" s="222"/>
      <c r="O427" s="222"/>
      <c r="P427" s="222"/>
      <c r="Q427" s="222"/>
      <c r="R427" s="222"/>
      <c r="T427" s="223"/>
      <c r="W427" s="224"/>
      <c r="X427" s="224"/>
      <c r="AA427" s="225">
        <v>45794.0</v>
      </c>
      <c r="AB427" s="226">
        <f t="shared" si="8"/>
        <v>0</v>
      </c>
      <c r="AC427" s="73"/>
      <c r="AD427" s="73"/>
      <c r="AE427" s="73"/>
      <c r="AF427" s="73"/>
      <c r="AG427" s="73"/>
      <c r="AH427" s="73"/>
    </row>
    <row r="428" ht="15.75" customHeight="1">
      <c r="A428" s="219"/>
      <c r="B428" s="220"/>
      <c r="C428" s="227"/>
      <c r="D428" s="227"/>
      <c r="E428" s="227"/>
      <c r="F428" s="227"/>
      <c r="G428" s="227"/>
      <c r="H428" s="224"/>
      <c r="I428" s="224"/>
      <c r="J428" s="224"/>
      <c r="K428" s="224"/>
      <c r="L428" s="224"/>
      <c r="M428" s="222"/>
      <c r="N428" s="222"/>
      <c r="O428" s="222"/>
      <c r="P428" s="222"/>
      <c r="Q428" s="222"/>
      <c r="R428" s="222"/>
      <c r="T428" s="223"/>
      <c r="W428" s="224"/>
      <c r="X428" s="224"/>
      <c r="AA428" s="225">
        <v>45795.0</v>
      </c>
      <c r="AB428" s="226">
        <f t="shared" si="8"/>
        <v>0</v>
      </c>
      <c r="AC428" s="73"/>
      <c r="AD428" s="73"/>
      <c r="AE428" s="73"/>
      <c r="AF428" s="73"/>
      <c r="AG428" s="73"/>
      <c r="AH428" s="73"/>
    </row>
    <row r="429" ht="15.75" customHeight="1">
      <c r="A429" s="222"/>
      <c r="B429" s="73"/>
      <c r="C429" s="222"/>
      <c r="D429" s="222"/>
      <c r="E429" s="222"/>
      <c r="F429" s="222"/>
      <c r="G429" s="222"/>
      <c r="H429" s="222"/>
      <c r="I429" s="222"/>
      <c r="J429" s="222"/>
      <c r="K429" s="222"/>
      <c r="L429" s="222"/>
      <c r="M429" s="222"/>
      <c r="N429" s="222"/>
      <c r="O429" s="222"/>
      <c r="P429" s="222"/>
      <c r="Q429" s="222"/>
      <c r="R429" s="222"/>
      <c r="T429" s="223"/>
      <c r="W429" s="224"/>
      <c r="X429" s="224"/>
      <c r="AA429" s="225">
        <v>45796.0</v>
      </c>
      <c r="AB429" s="226">
        <f t="shared" si="8"/>
        <v>0</v>
      </c>
      <c r="AC429" s="73"/>
      <c r="AD429" s="73"/>
      <c r="AE429" s="73"/>
      <c r="AF429" s="73"/>
      <c r="AG429" s="73"/>
      <c r="AH429" s="73"/>
    </row>
    <row r="430" ht="15.75" customHeight="1">
      <c r="B430" s="73"/>
      <c r="T430" s="223"/>
      <c r="W430" s="224"/>
      <c r="X430" s="224"/>
      <c r="AA430" s="225">
        <v>45797.0</v>
      </c>
      <c r="AB430" s="226">
        <f t="shared" si="8"/>
        <v>0</v>
      </c>
      <c r="AC430" s="73"/>
      <c r="AD430" s="73"/>
      <c r="AE430" s="73"/>
      <c r="AF430" s="73"/>
      <c r="AG430" s="73"/>
      <c r="AH430" s="73"/>
    </row>
    <row r="431" ht="15.75" customHeight="1">
      <c r="B431" s="73"/>
      <c r="T431" s="223"/>
      <c r="W431" s="224"/>
      <c r="X431" s="224"/>
      <c r="AA431" s="225">
        <v>45798.0</v>
      </c>
      <c r="AB431" s="226">
        <f t="shared" si="8"/>
        <v>0</v>
      </c>
      <c r="AC431" s="73"/>
      <c r="AD431" s="73"/>
      <c r="AE431" s="73"/>
      <c r="AF431" s="73"/>
      <c r="AG431" s="73"/>
      <c r="AH431" s="73"/>
    </row>
    <row r="432" ht="15.75" customHeight="1">
      <c r="B432" s="73"/>
      <c r="T432" s="223"/>
      <c r="W432" s="224"/>
      <c r="X432" s="224"/>
      <c r="AA432" s="225">
        <v>45799.0</v>
      </c>
      <c r="AB432" s="226">
        <f t="shared" si="8"/>
        <v>0</v>
      </c>
      <c r="AC432" s="73"/>
      <c r="AD432" s="73"/>
      <c r="AE432" s="73"/>
      <c r="AF432" s="73"/>
      <c r="AG432" s="73"/>
      <c r="AH432" s="73"/>
    </row>
    <row r="433" ht="15.75" customHeight="1">
      <c r="B433" s="73"/>
      <c r="T433" s="223"/>
      <c r="W433" s="224"/>
      <c r="X433" s="224"/>
      <c r="AA433" s="225">
        <v>45800.0</v>
      </c>
      <c r="AB433" s="226">
        <f t="shared" si="8"/>
        <v>0</v>
      </c>
      <c r="AC433" s="73"/>
      <c r="AD433" s="73"/>
      <c r="AE433" s="73"/>
      <c r="AF433" s="73"/>
      <c r="AG433" s="73"/>
      <c r="AH433" s="73"/>
    </row>
    <row r="434" ht="15.75" customHeight="1">
      <c r="B434" s="73"/>
      <c r="T434" s="223"/>
      <c r="W434" s="224"/>
      <c r="X434" s="224"/>
      <c r="AA434" s="225">
        <v>45801.0</v>
      </c>
      <c r="AB434" s="226">
        <f t="shared" si="8"/>
        <v>0</v>
      </c>
      <c r="AC434" s="73"/>
      <c r="AD434" s="73"/>
      <c r="AE434" s="73"/>
      <c r="AF434" s="73"/>
      <c r="AG434" s="73"/>
      <c r="AH434" s="73"/>
    </row>
    <row r="435" ht="15.75" customHeight="1">
      <c r="B435" s="73"/>
      <c r="T435" s="223"/>
      <c r="W435" s="224"/>
      <c r="X435" s="224"/>
      <c r="AA435" s="225">
        <v>45802.0</v>
      </c>
      <c r="AB435" s="226">
        <f t="shared" si="8"/>
        <v>0</v>
      </c>
      <c r="AC435" s="73"/>
      <c r="AD435" s="73"/>
      <c r="AE435" s="73"/>
      <c r="AF435" s="73"/>
      <c r="AG435" s="73"/>
      <c r="AH435" s="73"/>
    </row>
    <row r="436" ht="15.75" customHeight="1">
      <c r="B436" s="73"/>
      <c r="T436" s="223"/>
      <c r="W436" s="224"/>
      <c r="X436" s="224"/>
      <c r="AA436" s="225">
        <v>45803.0</v>
      </c>
      <c r="AB436" s="226">
        <f t="shared" si="8"/>
        <v>0</v>
      </c>
      <c r="AC436" s="73"/>
      <c r="AD436" s="73"/>
      <c r="AE436" s="73"/>
      <c r="AF436" s="73"/>
      <c r="AG436" s="73"/>
      <c r="AH436" s="73"/>
    </row>
    <row r="437" ht="15.75" customHeight="1">
      <c r="B437" s="73"/>
      <c r="T437" s="223"/>
      <c r="W437" s="224"/>
      <c r="X437" s="224"/>
      <c r="AA437" s="225">
        <v>45804.0</v>
      </c>
      <c r="AB437" s="226">
        <f t="shared" si="8"/>
        <v>0</v>
      </c>
      <c r="AC437" s="73"/>
      <c r="AD437" s="73"/>
      <c r="AE437" s="73"/>
      <c r="AF437" s="73"/>
      <c r="AG437" s="73"/>
      <c r="AH437" s="73"/>
    </row>
    <row r="438" ht="15.75" customHeight="1">
      <c r="B438" s="73"/>
      <c r="T438" s="223"/>
      <c r="W438" s="224"/>
      <c r="X438" s="224"/>
      <c r="AA438" s="225">
        <v>45805.0</v>
      </c>
      <c r="AB438" s="226">
        <f t="shared" si="8"/>
        <v>0</v>
      </c>
      <c r="AC438" s="73"/>
      <c r="AD438" s="73"/>
      <c r="AE438" s="73"/>
      <c r="AF438" s="73"/>
      <c r="AG438" s="73"/>
      <c r="AH438" s="73"/>
    </row>
    <row r="439" ht="15.75" customHeight="1">
      <c r="B439" s="73"/>
      <c r="T439" s="223"/>
      <c r="W439" s="224"/>
      <c r="X439" s="224"/>
      <c r="AA439" s="225">
        <v>45806.0</v>
      </c>
      <c r="AB439" s="226">
        <f t="shared" si="8"/>
        <v>0</v>
      </c>
      <c r="AC439" s="73"/>
      <c r="AD439" s="73"/>
      <c r="AE439" s="73"/>
      <c r="AF439" s="73"/>
      <c r="AG439" s="73"/>
      <c r="AH439" s="73"/>
    </row>
    <row r="440" ht="15.75" customHeight="1">
      <c r="B440" s="73"/>
      <c r="T440" s="223"/>
      <c r="W440" s="224"/>
      <c r="X440" s="224"/>
      <c r="AA440" s="225">
        <v>45807.0</v>
      </c>
      <c r="AB440" s="226">
        <f t="shared" si="8"/>
        <v>0</v>
      </c>
      <c r="AC440" s="73"/>
      <c r="AD440" s="73"/>
      <c r="AE440" s="73"/>
      <c r="AF440" s="73"/>
      <c r="AG440" s="73"/>
      <c r="AH440" s="73"/>
    </row>
    <row r="441" ht="15.75" customHeight="1">
      <c r="B441" s="73"/>
      <c r="T441" s="223"/>
      <c r="W441" s="224"/>
      <c r="X441" s="224"/>
      <c r="AA441" s="225">
        <v>45808.0</v>
      </c>
      <c r="AB441" s="226">
        <f t="shared" si="8"/>
        <v>0</v>
      </c>
      <c r="AC441" s="73"/>
      <c r="AD441" s="73"/>
      <c r="AE441" s="73"/>
      <c r="AF441" s="73"/>
      <c r="AG441" s="73"/>
      <c r="AH441" s="73"/>
    </row>
    <row r="442" ht="15.75" customHeight="1">
      <c r="B442" s="73"/>
      <c r="T442" s="223"/>
      <c r="W442" s="224"/>
      <c r="X442" s="224"/>
      <c r="AA442" s="225">
        <v>45809.0</v>
      </c>
      <c r="AB442" s="226">
        <f t="shared" si="8"/>
        <v>0</v>
      </c>
      <c r="AC442" s="73"/>
      <c r="AD442" s="73"/>
      <c r="AE442" s="73"/>
      <c r="AF442" s="73"/>
      <c r="AG442" s="73"/>
      <c r="AH442" s="73"/>
    </row>
    <row r="443" ht="15.75" customHeight="1">
      <c r="B443" s="73"/>
      <c r="T443" s="223"/>
      <c r="W443" s="224"/>
      <c r="X443" s="224"/>
      <c r="AA443" s="225">
        <v>45810.0</v>
      </c>
      <c r="AB443" s="226">
        <f t="shared" si="8"/>
        <v>0</v>
      </c>
      <c r="AC443" s="73"/>
      <c r="AD443" s="73"/>
      <c r="AE443" s="73"/>
      <c r="AF443" s="73"/>
      <c r="AG443" s="73"/>
      <c r="AH443" s="73"/>
    </row>
    <row r="444" ht="15.75" customHeight="1">
      <c r="B444" s="73"/>
      <c r="T444" s="223"/>
      <c r="W444" s="224"/>
      <c r="X444" s="224"/>
      <c r="AA444" s="225">
        <v>45811.0</v>
      </c>
      <c r="AB444" s="226">
        <f t="shared" si="8"/>
        <v>0</v>
      </c>
      <c r="AC444" s="73"/>
      <c r="AD444" s="73"/>
      <c r="AE444" s="73"/>
      <c r="AF444" s="73"/>
      <c r="AG444" s="73"/>
      <c r="AH444" s="73"/>
    </row>
    <row r="445" ht="15.75" customHeight="1">
      <c r="B445" s="73"/>
      <c r="T445" s="223"/>
      <c r="W445" s="224"/>
      <c r="X445" s="224"/>
      <c r="AA445" s="225">
        <v>45812.0</v>
      </c>
      <c r="AB445" s="226">
        <f t="shared" si="8"/>
        <v>0</v>
      </c>
      <c r="AC445" s="73"/>
      <c r="AD445" s="73"/>
      <c r="AE445" s="73"/>
      <c r="AF445" s="73"/>
      <c r="AG445" s="73"/>
      <c r="AH445" s="73"/>
    </row>
    <row r="446" ht="15.75" customHeight="1">
      <c r="B446" s="73"/>
      <c r="T446" s="223"/>
      <c r="W446" s="224"/>
      <c r="X446" s="224"/>
      <c r="AA446" s="225">
        <v>45813.0</v>
      </c>
      <c r="AB446" s="226">
        <f t="shared" si="8"/>
        <v>0</v>
      </c>
      <c r="AC446" s="73"/>
      <c r="AD446" s="73"/>
      <c r="AE446" s="73"/>
      <c r="AF446" s="73"/>
      <c r="AG446" s="73"/>
      <c r="AH446" s="73"/>
    </row>
    <row r="447" ht="15.75" customHeight="1">
      <c r="B447" s="73"/>
      <c r="T447" s="223"/>
      <c r="W447" s="224"/>
      <c r="X447" s="224"/>
      <c r="AA447" s="225">
        <v>45814.0</v>
      </c>
      <c r="AB447" s="226">
        <f t="shared" si="8"/>
        <v>0</v>
      </c>
      <c r="AC447" s="73"/>
      <c r="AD447" s="73"/>
      <c r="AE447" s="73"/>
      <c r="AF447" s="73"/>
      <c r="AG447" s="73"/>
      <c r="AH447" s="73"/>
    </row>
    <row r="448" ht="15.75" customHeight="1">
      <c r="B448" s="73"/>
      <c r="T448" s="223"/>
      <c r="W448" s="224"/>
      <c r="X448" s="224"/>
      <c r="AA448" s="225">
        <v>45815.0</v>
      </c>
      <c r="AB448" s="226">
        <f t="shared" si="8"/>
        <v>0</v>
      </c>
      <c r="AC448" s="73"/>
      <c r="AD448" s="73"/>
      <c r="AE448" s="73"/>
      <c r="AF448" s="73"/>
      <c r="AG448" s="73"/>
      <c r="AH448" s="73"/>
    </row>
    <row r="449" ht="15.75" customHeight="1">
      <c r="B449" s="73"/>
      <c r="T449" s="223"/>
      <c r="W449" s="224"/>
      <c r="X449" s="224"/>
      <c r="AA449" s="225">
        <v>45816.0</v>
      </c>
      <c r="AB449" s="226">
        <f t="shared" si="8"/>
        <v>0</v>
      </c>
      <c r="AC449" s="73"/>
      <c r="AD449" s="73"/>
      <c r="AE449" s="73"/>
      <c r="AF449" s="73"/>
      <c r="AG449" s="73"/>
      <c r="AH449" s="73"/>
    </row>
    <row r="450" ht="15.75" customHeight="1">
      <c r="B450" s="73"/>
      <c r="T450" s="223"/>
      <c r="W450" s="224"/>
      <c r="X450" s="224"/>
      <c r="AA450" s="225">
        <v>45817.0</v>
      </c>
      <c r="AB450" s="226">
        <f t="shared" si="8"/>
        <v>0</v>
      </c>
      <c r="AC450" s="73"/>
      <c r="AD450" s="73"/>
      <c r="AE450" s="73"/>
      <c r="AF450" s="73"/>
      <c r="AG450" s="73"/>
      <c r="AH450" s="73"/>
    </row>
    <row r="451" ht="15.75" customHeight="1">
      <c r="B451" s="73"/>
      <c r="T451" s="223"/>
      <c r="W451" s="224"/>
      <c r="X451" s="224"/>
      <c r="AA451" s="225">
        <v>45818.0</v>
      </c>
      <c r="AB451" s="226">
        <f t="shared" si="8"/>
        <v>0</v>
      </c>
      <c r="AC451" s="73"/>
      <c r="AD451" s="73"/>
      <c r="AE451" s="73"/>
      <c r="AF451" s="73"/>
      <c r="AG451" s="73"/>
      <c r="AH451" s="73"/>
    </row>
    <row r="452" ht="15.75" customHeight="1">
      <c r="B452" s="73"/>
      <c r="T452" s="223"/>
      <c r="W452" s="224"/>
      <c r="X452" s="224"/>
      <c r="AA452" s="225">
        <v>45819.0</v>
      </c>
      <c r="AB452" s="226">
        <f t="shared" si="8"/>
        <v>0</v>
      </c>
      <c r="AC452" s="73"/>
      <c r="AD452" s="73"/>
      <c r="AE452" s="73"/>
      <c r="AF452" s="73"/>
      <c r="AG452" s="73"/>
      <c r="AH452" s="73"/>
    </row>
    <row r="453" ht="15.75" customHeight="1">
      <c r="B453" s="73"/>
      <c r="T453" s="223"/>
      <c r="W453" s="224"/>
      <c r="X453" s="224"/>
      <c r="AA453" s="225">
        <v>45820.0</v>
      </c>
      <c r="AB453" s="226">
        <f t="shared" si="8"/>
        <v>0</v>
      </c>
      <c r="AC453" s="73"/>
      <c r="AD453" s="73"/>
      <c r="AE453" s="73"/>
      <c r="AF453" s="73"/>
      <c r="AG453" s="73"/>
      <c r="AH453" s="73"/>
    </row>
    <row r="454" ht="15.75" customHeight="1">
      <c r="B454" s="73"/>
      <c r="T454" s="223"/>
      <c r="W454" s="224"/>
      <c r="X454" s="224"/>
      <c r="AA454" s="225">
        <v>45821.0</v>
      </c>
      <c r="AB454" s="226">
        <f t="shared" si="8"/>
        <v>0</v>
      </c>
      <c r="AC454" s="73"/>
      <c r="AD454" s="73"/>
      <c r="AE454" s="73"/>
      <c r="AF454" s="73"/>
      <c r="AG454" s="73"/>
      <c r="AH454" s="73"/>
    </row>
    <row r="455" ht="15.75" customHeight="1">
      <c r="B455" s="73"/>
      <c r="T455" s="223"/>
      <c r="W455" s="224"/>
      <c r="X455" s="224"/>
      <c r="AA455" s="225">
        <v>45822.0</v>
      </c>
      <c r="AB455" s="226">
        <f t="shared" si="8"/>
        <v>0</v>
      </c>
      <c r="AC455" s="73"/>
      <c r="AD455" s="73"/>
      <c r="AE455" s="73"/>
      <c r="AF455" s="73"/>
      <c r="AG455" s="73"/>
      <c r="AH455" s="73"/>
    </row>
    <row r="456" ht="15.75" customHeight="1">
      <c r="B456" s="73"/>
      <c r="T456" s="223"/>
      <c r="W456" s="224"/>
      <c r="X456" s="224"/>
      <c r="AA456" s="225">
        <v>45823.0</v>
      </c>
      <c r="AB456" s="226">
        <f t="shared" si="8"/>
        <v>0</v>
      </c>
      <c r="AC456" s="73"/>
      <c r="AD456" s="73"/>
      <c r="AE456" s="73"/>
      <c r="AF456" s="73"/>
      <c r="AG456" s="73"/>
      <c r="AH456" s="73"/>
    </row>
    <row r="457" ht="15.75" customHeight="1">
      <c r="B457" s="73"/>
      <c r="T457" s="223"/>
      <c r="W457" s="224"/>
      <c r="X457" s="224"/>
      <c r="AA457" s="225">
        <v>45824.0</v>
      </c>
      <c r="AB457" s="226">
        <f t="shared" si="8"/>
        <v>0</v>
      </c>
      <c r="AC457" s="73"/>
      <c r="AD457" s="73"/>
      <c r="AE457" s="73"/>
      <c r="AF457" s="73"/>
      <c r="AG457" s="73"/>
      <c r="AH457" s="73"/>
    </row>
    <row r="458" ht="15.75" customHeight="1">
      <c r="B458" s="73"/>
      <c r="T458" s="223"/>
      <c r="W458" s="224"/>
      <c r="X458" s="224"/>
      <c r="AA458" s="225">
        <v>45825.0</v>
      </c>
      <c r="AB458" s="226">
        <f t="shared" si="8"/>
        <v>0</v>
      </c>
      <c r="AC458" s="73"/>
      <c r="AD458" s="73"/>
      <c r="AE458" s="73"/>
      <c r="AF458" s="73"/>
      <c r="AG458" s="73"/>
      <c r="AH458" s="73"/>
    </row>
    <row r="459" ht="15.75" customHeight="1">
      <c r="B459" s="73"/>
      <c r="T459" s="223"/>
      <c r="W459" s="224"/>
      <c r="X459" s="224"/>
      <c r="AA459" s="225">
        <v>45826.0</v>
      </c>
      <c r="AB459" s="226">
        <f t="shared" si="8"/>
        <v>0</v>
      </c>
      <c r="AC459" s="73"/>
      <c r="AD459" s="73"/>
      <c r="AE459" s="73"/>
      <c r="AF459" s="73"/>
      <c r="AG459" s="73"/>
      <c r="AH459" s="73"/>
    </row>
    <row r="460" ht="15.75" customHeight="1">
      <c r="B460" s="73"/>
      <c r="T460" s="223"/>
      <c r="W460" s="224"/>
      <c r="X460" s="224"/>
      <c r="AA460" s="225">
        <v>45827.0</v>
      </c>
      <c r="AB460" s="226">
        <f t="shared" si="8"/>
        <v>0</v>
      </c>
      <c r="AC460" s="73"/>
      <c r="AD460" s="73"/>
      <c r="AE460" s="73"/>
      <c r="AF460" s="73"/>
      <c r="AG460" s="73"/>
      <c r="AH460" s="73"/>
    </row>
    <row r="461" ht="15.75" customHeight="1">
      <c r="B461" s="73"/>
      <c r="T461" s="223"/>
      <c r="W461" s="224"/>
      <c r="X461" s="224"/>
      <c r="AA461" s="225">
        <v>45828.0</v>
      </c>
      <c r="AB461" s="226">
        <f t="shared" si="8"/>
        <v>0</v>
      </c>
      <c r="AC461" s="73"/>
      <c r="AD461" s="73"/>
      <c r="AE461" s="73"/>
      <c r="AF461" s="73"/>
      <c r="AG461" s="73"/>
      <c r="AH461" s="73"/>
    </row>
    <row r="462" ht="15.75" customHeight="1">
      <c r="B462" s="73"/>
      <c r="T462" s="223"/>
      <c r="W462" s="224"/>
      <c r="X462" s="224"/>
      <c r="AA462" s="225">
        <v>45829.0</v>
      </c>
      <c r="AB462" s="226">
        <f t="shared" si="8"/>
        <v>0</v>
      </c>
      <c r="AC462" s="73"/>
      <c r="AD462" s="73"/>
      <c r="AE462" s="73"/>
      <c r="AF462" s="73"/>
      <c r="AG462" s="73"/>
      <c r="AH462" s="73"/>
    </row>
    <row r="463" ht="15.75" customHeight="1">
      <c r="B463" s="73"/>
      <c r="T463" s="223"/>
      <c r="W463" s="224"/>
      <c r="X463" s="224"/>
      <c r="AA463" s="225">
        <v>45830.0</v>
      </c>
      <c r="AB463" s="226">
        <f t="shared" si="8"/>
        <v>0</v>
      </c>
      <c r="AC463" s="73"/>
      <c r="AD463" s="73"/>
      <c r="AE463" s="73"/>
      <c r="AF463" s="73"/>
      <c r="AG463" s="73"/>
      <c r="AH463" s="73"/>
    </row>
    <row r="464" ht="15.75" customHeight="1">
      <c r="B464" s="73"/>
      <c r="T464" s="223"/>
      <c r="W464" s="224"/>
      <c r="X464" s="224"/>
      <c r="AA464" s="225">
        <v>45831.0</v>
      </c>
      <c r="AB464" s="226">
        <f t="shared" si="8"/>
        <v>0</v>
      </c>
      <c r="AC464" s="73"/>
      <c r="AD464" s="73"/>
      <c r="AE464" s="73"/>
      <c r="AF464" s="73"/>
      <c r="AG464" s="73"/>
      <c r="AH464" s="73"/>
    </row>
    <row r="465" ht="15.75" customHeight="1">
      <c r="B465" s="73"/>
      <c r="T465" s="223"/>
      <c r="W465" s="224"/>
      <c r="X465" s="224"/>
      <c r="AA465" s="225">
        <v>45832.0</v>
      </c>
      <c r="AB465" s="226">
        <f t="shared" si="8"/>
        <v>0</v>
      </c>
      <c r="AC465" s="73"/>
      <c r="AD465" s="73"/>
      <c r="AE465" s="73"/>
      <c r="AF465" s="73"/>
      <c r="AG465" s="73"/>
      <c r="AH465" s="73"/>
    </row>
    <row r="466" ht="15.75" customHeight="1">
      <c r="A466" s="73"/>
      <c r="B466" s="178"/>
      <c r="C466" s="179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225">
        <v>45833.0</v>
      </c>
      <c r="AB466" s="226">
        <f t="shared" si="8"/>
        <v>0</v>
      </c>
      <c r="AC466" s="73"/>
      <c r="AD466" s="73"/>
      <c r="AE466" s="73"/>
      <c r="AF466" s="73"/>
      <c r="AG466" s="73"/>
      <c r="AH466" s="73"/>
    </row>
    <row r="467" ht="15.75" customHeight="1">
      <c r="A467" s="73"/>
      <c r="B467" s="178"/>
      <c r="C467" s="179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225">
        <v>45834.0</v>
      </c>
      <c r="AB467" s="226">
        <f t="shared" si="8"/>
        <v>0</v>
      </c>
      <c r="AC467" s="73"/>
      <c r="AD467" s="73"/>
      <c r="AE467" s="73"/>
      <c r="AF467" s="73"/>
      <c r="AG467" s="73"/>
      <c r="AH467" s="73"/>
    </row>
    <row r="468" ht="15.75" customHeight="1">
      <c r="A468" s="73"/>
      <c r="B468" s="178"/>
      <c r="C468" s="179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225">
        <v>45835.0</v>
      </c>
      <c r="AB468" s="226">
        <f t="shared" si="8"/>
        <v>0</v>
      </c>
      <c r="AC468" s="73"/>
      <c r="AD468" s="73"/>
      <c r="AE468" s="73"/>
      <c r="AF468" s="73"/>
      <c r="AG468" s="73"/>
      <c r="AH468" s="73"/>
    </row>
    <row r="469" ht="15.75" customHeight="1">
      <c r="A469" s="73"/>
      <c r="B469" s="178"/>
      <c r="C469" s="179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225">
        <v>45836.0</v>
      </c>
      <c r="AB469" s="226">
        <f t="shared" si="8"/>
        <v>0</v>
      </c>
      <c r="AC469" s="73"/>
      <c r="AD469" s="73"/>
      <c r="AE469" s="73"/>
      <c r="AF469" s="73"/>
      <c r="AG469" s="73"/>
      <c r="AH469" s="73"/>
    </row>
    <row r="470" ht="15.75" customHeight="1">
      <c r="A470" s="73"/>
      <c r="B470" s="178"/>
      <c r="C470" s="179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225">
        <v>45837.0</v>
      </c>
      <c r="AB470" s="226">
        <f t="shared" si="8"/>
        <v>0</v>
      </c>
      <c r="AC470" s="73"/>
      <c r="AD470" s="73"/>
      <c r="AE470" s="73"/>
      <c r="AF470" s="73"/>
      <c r="AG470" s="73"/>
      <c r="AH470" s="73"/>
    </row>
    <row r="471" ht="15.75" customHeight="1">
      <c r="A471" s="73"/>
      <c r="B471" s="178"/>
      <c r="C471" s="179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225">
        <v>45838.0</v>
      </c>
      <c r="AB471" s="226">
        <f t="shared" si="8"/>
        <v>0</v>
      </c>
      <c r="AC471" s="73"/>
      <c r="AD471" s="73"/>
      <c r="AE471" s="73"/>
      <c r="AF471" s="73"/>
      <c r="AG471" s="73"/>
      <c r="AH471" s="73"/>
    </row>
    <row r="472" ht="15.75" customHeight="1">
      <c r="A472" s="73"/>
      <c r="B472" s="178"/>
      <c r="C472" s="179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225">
        <v>45839.0</v>
      </c>
      <c r="AB472" s="226">
        <f t="shared" si="8"/>
        <v>0</v>
      </c>
      <c r="AC472" s="73"/>
      <c r="AD472" s="73"/>
      <c r="AE472" s="73"/>
      <c r="AF472" s="73"/>
      <c r="AG472" s="73"/>
      <c r="AH472" s="73"/>
    </row>
    <row r="473" ht="15.75" customHeight="1">
      <c r="A473" s="73"/>
      <c r="B473" s="178"/>
      <c r="C473" s="179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225">
        <v>45840.0</v>
      </c>
      <c r="AB473" s="226">
        <f t="shared" si="8"/>
        <v>0</v>
      </c>
      <c r="AC473" s="73"/>
      <c r="AD473" s="73"/>
      <c r="AE473" s="73"/>
      <c r="AF473" s="73"/>
      <c r="AG473" s="73"/>
      <c r="AH473" s="73"/>
    </row>
    <row r="474" ht="15.75" customHeight="1">
      <c r="A474" s="73"/>
      <c r="B474" s="178"/>
      <c r="C474" s="179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225">
        <v>45841.0</v>
      </c>
      <c r="AB474" s="226">
        <f t="shared" si="8"/>
        <v>0</v>
      </c>
      <c r="AC474" s="73"/>
      <c r="AD474" s="73"/>
      <c r="AE474" s="73"/>
      <c r="AF474" s="73"/>
      <c r="AG474" s="73"/>
      <c r="AH474" s="73"/>
    </row>
    <row r="475" ht="15.75" customHeight="1">
      <c r="A475" s="73"/>
      <c r="B475" s="178"/>
      <c r="C475" s="179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225">
        <v>45842.0</v>
      </c>
      <c r="AB475" s="226">
        <f t="shared" si="8"/>
        <v>0</v>
      </c>
      <c r="AC475" s="73"/>
      <c r="AD475" s="73"/>
      <c r="AE475" s="73"/>
      <c r="AF475" s="73"/>
      <c r="AG475" s="73"/>
      <c r="AH475" s="73"/>
    </row>
    <row r="476" ht="15.75" customHeight="1">
      <c r="A476" s="73"/>
      <c r="B476" s="178"/>
      <c r="C476" s="179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225">
        <v>45843.0</v>
      </c>
      <c r="AB476" s="226">
        <f t="shared" si="8"/>
        <v>0</v>
      </c>
      <c r="AC476" s="73"/>
      <c r="AD476" s="73"/>
      <c r="AE476" s="73"/>
      <c r="AF476" s="73"/>
      <c r="AG476" s="73"/>
      <c r="AH476" s="73"/>
    </row>
    <row r="477" ht="15.75" customHeight="1">
      <c r="A477" s="73"/>
      <c r="B477" s="178"/>
      <c r="C477" s="179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225">
        <v>45844.0</v>
      </c>
      <c r="AB477" s="226">
        <f t="shared" si="8"/>
        <v>0</v>
      </c>
      <c r="AC477" s="73"/>
      <c r="AD477" s="73"/>
      <c r="AE477" s="73"/>
      <c r="AF477" s="73"/>
      <c r="AG477" s="73"/>
      <c r="AH477" s="73"/>
    </row>
    <row r="478" ht="15.75" customHeight="1">
      <c r="A478" s="73"/>
      <c r="B478" s="178"/>
      <c r="C478" s="179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225">
        <v>45845.0</v>
      </c>
      <c r="AB478" s="226">
        <f t="shared" si="8"/>
        <v>0</v>
      </c>
      <c r="AC478" s="73"/>
      <c r="AD478" s="73"/>
      <c r="AE478" s="73"/>
      <c r="AF478" s="73"/>
      <c r="AG478" s="73"/>
      <c r="AH478" s="73"/>
    </row>
    <row r="479" ht="15.75" customHeight="1">
      <c r="A479" s="73"/>
      <c r="B479" s="178"/>
      <c r="C479" s="179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225">
        <v>45846.0</v>
      </c>
      <c r="AB479" s="226">
        <f t="shared" si="8"/>
        <v>0</v>
      </c>
      <c r="AC479" s="73"/>
      <c r="AD479" s="73"/>
      <c r="AE479" s="73"/>
      <c r="AF479" s="73"/>
      <c r="AG479" s="73"/>
      <c r="AH479" s="73"/>
    </row>
    <row r="480" ht="15.75" customHeight="1">
      <c r="A480" s="73"/>
      <c r="B480" s="178"/>
      <c r="C480" s="179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225">
        <v>45847.0</v>
      </c>
      <c r="AB480" s="226">
        <f t="shared" si="8"/>
        <v>0</v>
      </c>
      <c r="AC480" s="73"/>
      <c r="AD480" s="73"/>
      <c r="AE480" s="73"/>
      <c r="AF480" s="73"/>
      <c r="AG480" s="73"/>
      <c r="AH480" s="73"/>
    </row>
    <row r="481" ht="15.75" customHeight="1">
      <c r="A481" s="73"/>
      <c r="B481" s="178"/>
      <c r="C481" s="179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225">
        <v>45848.0</v>
      </c>
      <c r="AB481" s="226">
        <f t="shared" si="8"/>
        <v>0</v>
      </c>
      <c r="AC481" s="73"/>
      <c r="AD481" s="73"/>
      <c r="AE481" s="73"/>
      <c r="AF481" s="73"/>
      <c r="AG481" s="73"/>
      <c r="AH481" s="73"/>
    </row>
    <row r="482" ht="15.75" customHeight="1">
      <c r="A482" s="73"/>
      <c r="B482" s="178"/>
      <c r="C482" s="179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225">
        <v>45849.0</v>
      </c>
      <c r="AB482" s="226">
        <f t="shared" si="8"/>
        <v>0</v>
      </c>
      <c r="AC482" s="73"/>
      <c r="AD482" s="73"/>
      <c r="AE482" s="73"/>
      <c r="AF482" s="73"/>
      <c r="AG482" s="73"/>
      <c r="AH482" s="73"/>
    </row>
    <row r="483" ht="15.75" customHeight="1">
      <c r="A483" s="73"/>
      <c r="B483" s="178"/>
      <c r="C483" s="179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225">
        <v>45850.0</v>
      </c>
      <c r="AB483" s="226">
        <f t="shared" si="8"/>
        <v>0</v>
      </c>
      <c r="AC483" s="73"/>
      <c r="AD483" s="73"/>
      <c r="AE483" s="73"/>
      <c r="AF483" s="73"/>
      <c r="AG483" s="73"/>
      <c r="AH483" s="73"/>
    </row>
    <row r="484" ht="15.75" customHeight="1">
      <c r="A484" s="73"/>
      <c r="B484" s="178"/>
      <c r="C484" s="179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225">
        <v>45851.0</v>
      </c>
      <c r="AB484" s="226">
        <f t="shared" si="8"/>
        <v>0</v>
      </c>
      <c r="AC484" s="73"/>
      <c r="AD484" s="73"/>
      <c r="AE484" s="73"/>
      <c r="AF484" s="73"/>
      <c r="AG484" s="73"/>
      <c r="AH484" s="73"/>
    </row>
    <row r="485" ht="15.75" customHeight="1">
      <c r="A485" s="73"/>
      <c r="B485" s="178"/>
      <c r="C485" s="179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225">
        <v>45852.0</v>
      </c>
      <c r="AB485" s="226">
        <f t="shared" si="8"/>
        <v>0</v>
      </c>
      <c r="AC485" s="73"/>
      <c r="AD485" s="73"/>
      <c r="AE485" s="73"/>
      <c r="AF485" s="73"/>
      <c r="AG485" s="73"/>
      <c r="AH485" s="73"/>
    </row>
    <row r="486" ht="15.75" customHeight="1">
      <c r="A486" s="73"/>
      <c r="B486" s="178"/>
      <c r="C486" s="179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225">
        <v>45853.0</v>
      </c>
      <c r="AB486" s="226">
        <f t="shared" si="8"/>
        <v>0</v>
      </c>
      <c r="AC486" s="73"/>
      <c r="AD486" s="73"/>
      <c r="AE486" s="73"/>
      <c r="AF486" s="73"/>
      <c r="AG486" s="73"/>
      <c r="AH486" s="73"/>
    </row>
    <row r="487" ht="15.75" customHeight="1">
      <c r="A487" s="73"/>
      <c r="B487" s="178"/>
      <c r="C487" s="179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225">
        <v>45854.0</v>
      </c>
      <c r="AB487" s="226">
        <f t="shared" si="8"/>
        <v>0</v>
      </c>
      <c r="AC487" s="73"/>
      <c r="AD487" s="73"/>
      <c r="AE487" s="73"/>
      <c r="AF487" s="73"/>
      <c r="AG487" s="73"/>
      <c r="AH487" s="73"/>
    </row>
    <row r="488" ht="15.75" customHeight="1">
      <c r="A488" s="73"/>
      <c r="B488" s="178"/>
      <c r="C488" s="179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225">
        <v>45855.0</v>
      </c>
      <c r="AB488" s="226">
        <f t="shared" si="8"/>
        <v>0</v>
      </c>
      <c r="AC488" s="73"/>
      <c r="AD488" s="73"/>
      <c r="AE488" s="73"/>
      <c r="AF488" s="73"/>
      <c r="AG488" s="73"/>
      <c r="AH488" s="73"/>
    </row>
    <row r="489" ht="15.75" customHeight="1">
      <c r="A489" s="73"/>
      <c r="B489" s="178"/>
      <c r="C489" s="179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225">
        <v>45856.0</v>
      </c>
      <c r="AB489" s="226">
        <f t="shared" si="8"/>
        <v>0</v>
      </c>
      <c r="AC489" s="73"/>
      <c r="AD489" s="73"/>
      <c r="AE489" s="73"/>
      <c r="AF489" s="73"/>
      <c r="AG489" s="73"/>
      <c r="AH489" s="73"/>
    </row>
    <row r="490" ht="15.75" customHeight="1">
      <c r="A490" s="73"/>
      <c r="B490" s="178"/>
      <c r="C490" s="179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225">
        <v>45857.0</v>
      </c>
      <c r="AB490" s="226">
        <f t="shared" si="8"/>
        <v>0</v>
      </c>
      <c r="AC490" s="73"/>
      <c r="AD490" s="73"/>
      <c r="AE490" s="73"/>
      <c r="AF490" s="73"/>
      <c r="AG490" s="73"/>
      <c r="AH490" s="73"/>
    </row>
    <row r="491" ht="15.75" customHeight="1">
      <c r="A491" s="73"/>
      <c r="B491" s="178"/>
      <c r="C491" s="179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225">
        <v>45858.0</v>
      </c>
      <c r="AB491" s="226">
        <f t="shared" si="8"/>
        <v>0</v>
      </c>
      <c r="AC491" s="73"/>
      <c r="AD491" s="73"/>
      <c r="AE491" s="73"/>
      <c r="AF491" s="73"/>
      <c r="AG491" s="73"/>
      <c r="AH491" s="73"/>
    </row>
    <row r="492" ht="15.75" customHeight="1">
      <c r="A492" s="73"/>
      <c r="B492" s="178"/>
      <c r="C492" s="179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225">
        <v>45859.0</v>
      </c>
      <c r="AB492" s="226">
        <f t="shared" si="8"/>
        <v>0</v>
      </c>
      <c r="AC492" s="73"/>
      <c r="AD492" s="73"/>
      <c r="AE492" s="73"/>
      <c r="AF492" s="73"/>
      <c r="AG492" s="73"/>
      <c r="AH492" s="73"/>
    </row>
    <row r="493" ht="15.75" customHeight="1">
      <c r="A493" s="73"/>
      <c r="B493" s="178"/>
      <c r="C493" s="179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225">
        <v>45860.0</v>
      </c>
      <c r="AB493" s="226">
        <f t="shared" si="8"/>
        <v>0</v>
      </c>
      <c r="AC493" s="73"/>
      <c r="AD493" s="73"/>
      <c r="AE493" s="73"/>
      <c r="AF493" s="73"/>
      <c r="AG493" s="73"/>
      <c r="AH493" s="73"/>
    </row>
    <row r="494" ht="15.75" customHeight="1">
      <c r="A494" s="73"/>
      <c r="B494" s="178"/>
      <c r="C494" s="179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225">
        <v>45861.0</v>
      </c>
      <c r="AB494" s="226">
        <f t="shared" si="8"/>
        <v>0</v>
      </c>
      <c r="AC494" s="73"/>
      <c r="AD494" s="73"/>
      <c r="AE494" s="73"/>
      <c r="AF494" s="73"/>
      <c r="AG494" s="73"/>
      <c r="AH494" s="73"/>
    </row>
    <row r="495" ht="15.75" customHeight="1">
      <c r="A495" s="73"/>
      <c r="B495" s="178"/>
      <c r="C495" s="179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225">
        <v>45862.0</v>
      </c>
      <c r="AB495" s="226">
        <f t="shared" si="8"/>
        <v>0</v>
      </c>
      <c r="AC495" s="73"/>
      <c r="AD495" s="73"/>
      <c r="AE495" s="73"/>
      <c r="AF495" s="73"/>
      <c r="AG495" s="73"/>
      <c r="AH495" s="73"/>
    </row>
    <row r="496" ht="15.75" customHeight="1">
      <c r="A496" s="73"/>
      <c r="B496" s="178"/>
      <c r="C496" s="179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225">
        <v>45863.0</v>
      </c>
      <c r="AB496" s="226">
        <f t="shared" si="8"/>
        <v>0</v>
      </c>
      <c r="AC496" s="73"/>
      <c r="AD496" s="73"/>
      <c r="AE496" s="73"/>
      <c r="AF496" s="73"/>
      <c r="AG496" s="73"/>
      <c r="AH496" s="73"/>
    </row>
    <row r="497" ht="15.75" customHeight="1">
      <c r="A497" s="73"/>
      <c r="B497" s="178"/>
      <c r="C497" s="179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225">
        <v>45864.0</v>
      </c>
      <c r="AB497" s="226">
        <f t="shared" si="8"/>
        <v>0</v>
      </c>
      <c r="AC497" s="73"/>
      <c r="AD497" s="73"/>
      <c r="AE497" s="73"/>
      <c r="AF497" s="73"/>
      <c r="AG497" s="73"/>
      <c r="AH497" s="73"/>
    </row>
    <row r="498" ht="15.75" customHeight="1">
      <c r="A498" s="73"/>
      <c r="B498" s="178"/>
      <c r="C498" s="179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225">
        <v>45865.0</v>
      </c>
      <c r="AB498" s="226">
        <f t="shared" si="8"/>
        <v>0</v>
      </c>
      <c r="AC498" s="73"/>
      <c r="AD498" s="73"/>
      <c r="AE498" s="73"/>
      <c r="AF498" s="73"/>
      <c r="AG498" s="73"/>
      <c r="AH498" s="73"/>
    </row>
    <row r="499" ht="15.75" customHeight="1">
      <c r="A499" s="73"/>
      <c r="B499" s="178"/>
      <c r="C499" s="179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225">
        <v>45866.0</v>
      </c>
      <c r="AB499" s="226">
        <f t="shared" si="8"/>
        <v>0</v>
      </c>
      <c r="AC499" s="73"/>
      <c r="AD499" s="73"/>
      <c r="AE499" s="73"/>
      <c r="AF499" s="73"/>
      <c r="AG499" s="73"/>
      <c r="AH499" s="73"/>
    </row>
    <row r="500" ht="15.75" customHeight="1">
      <c r="A500" s="73"/>
      <c r="B500" s="178"/>
      <c r="C500" s="179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225">
        <v>45867.0</v>
      </c>
      <c r="AB500" s="226">
        <f t="shared" si="8"/>
        <v>0</v>
      </c>
      <c r="AC500" s="73"/>
      <c r="AD500" s="73"/>
      <c r="AE500" s="73"/>
      <c r="AF500" s="73"/>
      <c r="AG500" s="73"/>
      <c r="AH500" s="73"/>
    </row>
    <row r="501" ht="15.75" customHeight="1">
      <c r="A501" s="73"/>
      <c r="B501" s="178"/>
      <c r="C501" s="179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225">
        <v>45868.0</v>
      </c>
      <c r="AB501" s="226">
        <f t="shared" si="8"/>
        <v>0</v>
      </c>
      <c r="AC501" s="73"/>
      <c r="AD501" s="73"/>
      <c r="AE501" s="73"/>
      <c r="AF501" s="73"/>
      <c r="AG501" s="73"/>
      <c r="AH501" s="73"/>
    </row>
    <row r="502" ht="15.75" customHeight="1">
      <c r="A502" s="73"/>
      <c r="B502" s="178"/>
      <c r="C502" s="179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225">
        <v>45869.0</v>
      </c>
      <c r="AB502" s="226">
        <f t="shared" si="8"/>
        <v>0</v>
      </c>
      <c r="AC502" s="73"/>
      <c r="AD502" s="73"/>
      <c r="AE502" s="73"/>
      <c r="AF502" s="73"/>
      <c r="AG502" s="73"/>
      <c r="AH502" s="73"/>
    </row>
    <row r="503" ht="15.75" customHeight="1">
      <c r="A503" s="73"/>
      <c r="B503" s="178"/>
      <c r="C503" s="179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225">
        <v>45870.0</v>
      </c>
      <c r="AB503" s="226">
        <f t="shared" si="8"/>
        <v>0</v>
      </c>
      <c r="AC503" s="73"/>
      <c r="AD503" s="73"/>
      <c r="AE503" s="73"/>
      <c r="AF503" s="73"/>
      <c r="AG503" s="73"/>
      <c r="AH503" s="73"/>
    </row>
    <row r="504" ht="15.75" customHeight="1">
      <c r="A504" s="73"/>
      <c r="B504" s="178"/>
      <c r="C504" s="179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225">
        <v>45871.0</v>
      </c>
      <c r="AB504" s="226">
        <f t="shared" si="8"/>
        <v>0</v>
      </c>
      <c r="AC504" s="73"/>
      <c r="AD504" s="73"/>
      <c r="AE504" s="73"/>
      <c r="AF504" s="73"/>
      <c r="AG504" s="73"/>
      <c r="AH504" s="73"/>
    </row>
    <row r="505" ht="15.75" customHeight="1">
      <c r="A505" s="73"/>
      <c r="B505" s="178"/>
      <c r="C505" s="179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225">
        <v>45872.0</v>
      </c>
      <c r="AB505" s="226">
        <f t="shared" si="8"/>
        <v>0</v>
      </c>
      <c r="AC505" s="73"/>
      <c r="AD505" s="73"/>
      <c r="AE505" s="73"/>
      <c r="AF505" s="73"/>
      <c r="AG505" s="73"/>
      <c r="AH505" s="73"/>
    </row>
    <row r="506" ht="15.75" customHeight="1">
      <c r="A506" s="73"/>
      <c r="B506" s="178"/>
      <c r="C506" s="179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225">
        <v>45873.0</v>
      </c>
      <c r="AB506" s="226">
        <f t="shared" si="8"/>
        <v>0</v>
      </c>
      <c r="AC506" s="73"/>
      <c r="AD506" s="73"/>
      <c r="AE506" s="73"/>
      <c r="AF506" s="73"/>
      <c r="AG506" s="73"/>
      <c r="AH506" s="73"/>
    </row>
    <row r="507" ht="15.75" customHeight="1">
      <c r="A507" s="73"/>
      <c r="B507" s="178"/>
      <c r="C507" s="179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225">
        <v>45874.0</v>
      </c>
      <c r="AB507" s="226">
        <f t="shared" si="8"/>
        <v>0</v>
      </c>
      <c r="AC507" s="73"/>
      <c r="AD507" s="73"/>
      <c r="AE507" s="73"/>
      <c r="AF507" s="73"/>
      <c r="AG507" s="73"/>
      <c r="AH507" s="73"/>
    </row>
    <row r="508" ht="15.75" customHeight="1">
      <c r="A508" s="73"/>
      <c r="B508" s="178"/>
      <c r="C508" s="179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225">
        <v>45875.0</v>
      </c>
      <c r="AB508" s="226">
        <f t="shared" si="8"/>
        <v>0</v>
      </c>
      <c r="AC508" s="73"/>
      <c r="AD508" s="73"/>
      <c r="AE508" s="73"/>
      <c r="AF508" s="73"/>
      <c r="AG508" s="73"/>
      <c r="AH508" s="73"/>
    </row>
    <row r="509" ht="15.75" customHeight="1">
      <c r="A509" s="73"/>
      <c r="B509" s="178"/>
      <c r="C509" s="179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225">
        <v>45876.0</v>
      </c>
      <c r="AB509" s="226">
        <f t="shared" si="8"/>
        <v>0</v>
      </c>
      <c r="AC509" s="73"/>
      <c r="AD509" s="73"/>
      <c r="AE509" s="73"/>
      <c r="AF509" s="73"/>
      <c r="AG509" s="73"/>
      <c r="AH509" s="73"/>
    </row>
    <row r="510" ht="15.75" customHeight="1">
      <c r="A510" s="73"/>
      <c r="B510" s="178"/>
      <c r="C510" s="179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225">
        <v>45877.0</v>
      </c>
      <c r="AB510" s="226">
        <f t="shared" si="8"/>
        <v>0</v>
      </c>
      <c r="AC510" s="73"/>
      <c r="AD510" s="73"/>
      <c r="AE510" s="73"/>
      <c r="AF510" s="73"/>
      <c r="AG510" s="73"/>
      <c r="AH510" s="73"/>
    </row>
    <row r="511" ht="15.75" customHeight="1">
      <c r="A511" s="73"/>
      <c r="B511" s="178"/>
      <c r="C511" s="179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225">
        <v>45878.0</v>
      </c>
      <c r="AB511" s="226">
        <f t="shared" si="8"/>
        <v>0</v>
      </c>
      <c r="AC511" s="73"/>
      <c r="AD511" s="73"/>
      <c r="AE511" s="73"/>
      <c r="AF511" s="73"/>
      <c r="AG511" s="73"/>
      <c r="AH511" s="73"/>
    </row>
    <row r="512" ht="15.75" customHeight="1">
      <c r="A512" s="73"/>
      <c r="B512" s="178"/>
      <c r="C512" s="179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225">
        <v>45879.0</v>
      </c>
      <c r="AB512" s="226">
        <f t="shared" si="8"/>
        <v>0</v>
      </c>
      <c r="AC512" s="73"/>
      <c r="AD512" s="73"/>
      <c r="AE512" s="73"/>
      <c r="AF512" s="73"/>
      <c r="AG512" s="73"/>
      <c r="AH512" s="73"/>
    </row>
    <row r="513" ht="15.75" customHeight="1">
      <c r="A513" s="73"/>
      <c r="B513" s="178"/>
      <c r="C513" s="179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225">
        <v>45880.0</v>
      </c>
      <c r="AB513" s="226">
        <f t="shared" si="8"/>
        <v>0</v>
      </c>
      <c r="AC513" s="73"/>
      <c r="AD513" s="73"/>
      <c r="AE513" s="73"/>
      <c r="AF513" s="73"/>
      <c r="AG513" s="73"/>
      <c r="AH513" s="73"/>
    </row>
    <row r="514" ht="15.75" customHeight="1">
      <c r="A514" s="73"/>
      <c r="B514" s="178"/>
      <c r="C514" s="179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225">
        <v>45881.0</v>
      </c>
      <c r="AB514" s="226">
        <f t="shared" si="8"/>
        <v>0</v>
      </c>
      <c r="AC514" s="73"/>
      <c r="AD514" s="73"/>
      <c r="AE514" s="73"/>
      <c r="AF514" s="73"/>
      <c r="AG514" s="73"/>
      <c r="AH514" s="73"/>
    </row>
    <row r="515" ht="15.75" customHeight="1">
      <c r="A515" s="73"/>
      <c r="B515" s="178"/>
      <c r="C515" s="179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225">
        <v>45882.0</v>
      </c>
      <c r="AB515" s="226">
        <f t="shared" si="8"/>
        <v>0</v>
      </c>
      <c r="AC515" s="73"/>
      <c r="AD515" s="73"/>
      <c r="AE515" s="73"/>
      <c r="AF515" s="73"/>
      <c r="AG515" s="73"/>
      <c r="AH515" s="73"/>
    </row>
    <row r="516" ht="15.75" customHeight="1">
      <c r="A516" s="73"/>
      <c r="B516" s="178"/>
      <c r="C516" s="179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225">
        <v>45883.0</v>
      </c>
      <c r="AB516" s="226">
        <f t="shared" si="8"/>
        <v>0</v>
      </c>
      <c r="AC516" s="73"/>
      <c r="AD516" s="73"/>
      <c r="AE516" s="73"/>
      <c r="AF516" s="73"/>
      <c r="AG516" s="73"/>
      <c r="AH516" s="73"/>
    </row>
    <row r="517" ht="15.75" customHeight="1">
      <c r="A517" s="73"/>
      <c r="B517" s="178"/>
      <c r="C517" s="179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225">
        <v>45884.0</v>
      </c>
      <c r="AB517" s="226">
        <f t="shared" si="8"/>
        <v>0</v>
      </c>
      <c r="AC517" s="73"/>
      <c r="AD517" s="73"/>
      <c r="AE517" s="73"/>
      <c r="AF517" s="73"/>
      <c r="AG517" s="73"/>
      <c r="AH517" s="73"/>
    </row>
    <row r="518" ht="15.75" customHeight="1">
      <c r="A518" s="73"/>
      <c r="B518" s="178"/>
      <c r="C518" s="179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225"/>
      <c r="AB518" s="226"/>
      <c r="AC518" s="73"/>
      <c r="AD518" s="73"/>
      <c r="AE518" s="73"/>
      <c r="AF518" s="73"/>
      <c r="AG518" s="73"/>
      <c r="AH518" s="73"/>
    </row>
    <row r="519" ht="15.75" customHeight="1">
      <c r="A519" s="73"/>
      <c r="B519" s="178"/>
      <c r="C519" s="179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225"/>
      <c r="AB519" s="226"/>
      <c r="AC519" s="73"/>
      <c r="AD519" s="73"/>
      <c r="AE519" s="73"/>
      <c r="AF519" s="73"/>
      <c r="AG519" s="73"/>
      <c r="AH519" s="73"/>
    </row>
    <row r="520" ht="15.75" customHeight="1">
      <c r="A520" s="73"/>
      <c r="B520" s="178"/>
      <c r="C520" s="179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225"/>
      <c r="AB520" s="226"/>
      <c r="AC520" s="73"/>
      <c r="AD520" s="73"/>
      <c r="AE520" s="73"/>
      <c r="AF520" s="73"/>
      <c r="AG520" s="73"/>
      <c r="AH520" s="73"/>
    </row>
    <row r="521" ht="15.75" customHeight="1">
      <c r="A521" s="73"/>
      <c r="B521" s="178"/>
      <c r="C521" s="179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225"/>
      <c r="AB521" s="226"/>
      <c r="AC521" s="73"/>
      <c r="AD521" s="73"/>
      <c r="AE521" s="73"/>
      <c r="AF521" s="73"/>
      <c r="AG521" s="73"/>
      <c r="AH521" s="73"/>
    </row>
    <row r="522" ht="15.75" customHeight="1">
      <c r="A522" s="73"/>
      <c r="B522" s="178"/>
      <c r="C522" s="179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225"/>
      <c r="AB522" s="226"/>
      <c r="AC522" s="73"/>
      <c r="AD522" s="73"/>
      <c r="AE522" s="73"/>
      <c r="AF522" s="73"/>
      <c r="AG522" s="73"/>
      <c r="AH522" s="73"/>
    </row>
    <row r="523" ht="15.75" customHeight="1">
      <c r="A523" s="73"/>
      <c r="B523" s="178"/>
      <c r="C523" s="179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225"/>
      <c r="AB523" s="226"/>
      <c r="AC523" s="73"/>
      <c r="AD523" s="73"/>
      <c r="AE523" s="73"/>
      <c r="AF523" s="73"/>
      <c r="AG523" s="73"/>
      <c r="AH523" s="73"/>
    </row>
    <row r="524" ht="15.75" customHeight="1">
      <c r="A524" s="73"/>
      <c r="B524" s="178"/>
      <c r="C524" s="179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225"/>
      <c r="AB524" s="226"/>
      <c r="AC524" s="73"/>
      <c r="AD524" s="73"/>
      <c r="AE524" s="73"/>
      <c r="AF524" s="73"/>
      <c r="AG524" s="73"/>
      <c r="AH524" s="73"/>
    </row>
    <row r="525" ht="15.75" customHeight="1">
      <c r="A525" s="73"/>
      <c r="B525" s="178"/>
      <c r="C525" s="179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225"/>
      <c r="AB525" s="226"/>
      <c r="AC525" s="73"/>
      <c r="AD525" s="73"/>
      <c r="AE525" s="73"/>
      <c r="AF525" s="73"/>
      <c r="AG525" s="73"/>
      <c r="AH525" s="73"/>
    </row>
    <row r="526" ht="15.75" customHeight="1">
      <c r="A526" s="73"/>
      <c r="B526" s="178"/>
      <c r="C526" s="179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225"/>
      <c r="AB526" s="226"/>
      <c r="AC526" s="73"/>
      <c r="AD526" s="73"/>
      <c r="AE526" s="73"/>
      <c r="AF526" s="73"/>
      <c r="AG526" s="73"/>
      <c r="AH526" s="73"/>
    </row>
    <row r="527" ht="15.75" customHeight="1">
      <c r="A527" s="73"/>
      <c r="B527" s="178"/>
      <c r="C527" s="179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225"/>
      <c r="AB527" s="226"/>
      <c r="AC527" s="73"/>
      <c r="AD527" s="73"/>
      <c r="AE527" s="73"/>
      <c r="AF527" s="73"/>
      <c r="AG527" s="73"/>
      <c r="AH527" s="73"/>
    </row>
    <row r="528" ht="15.75" customHeight="1">
      <c r="A528" s="73"/>
      <c r="B528" s="178"/>
      <c r="C528" s="179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225"/>
      <c r="AB528" s="226"/>
      <c r="AC528" s="73"/>
      <c r="AD528" s="73"/>
      <c r="AE528" s="73"/>
      <c r="AF528" s="73"/>
      <c r="AG528" s="73"/>
      <c r="AH528" s="73"/>
    </row>
    <row r="529" ht="15.75" customHeight="1">
      <c r="A529" s="73"/>
      <c r="B529" s="178"/>
      <c r="C529" s="179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225"/>
      <c r="AB529" s="226"/>
      <c r="AC529" s="73"/>
      <c r="AD529" s="73"/>
      <c r="AE529" s="73"/>
      <c r="AF529" s="73"/>
      <c r="AG529" s="73"/>
      <c r="AH529" s="73"/>
    </row>
    <row r="530" ht="15.75" customHeight="1">
      <c r="A530" s="73"/>
      <c r="B530" s="178"/>
      <c r="C530" s="179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225"/>
      <c r="AB530" s="226"/>
      <c r="AC530" s="73"/>
      <c r="AD530" s="73"/>
      <c r="AE530" s="73"/>
      <c r="AF530" s="73"/>
      <c r="AG530" s="73"/>
      <c r="AH530" s="73"/>
    </row>
    <row r="531" ht="15.75" customHeight="1">
      <c r="A531" s="73"/>
      <c r="B531" s="178"/>
      <c r="C531" s="179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225"/>
      <c r="AB531" s="226"/>
      <c r="AC531" s="73"/>
      <c r="AD531" s="73"/>
      <c r="AE531" s="73"/>
      <c r="AF531" s="73"/>
      <c r="AG531" s="73"/>
      <c r="AH531" s="73"/>
    </row>
    <row r="532" ht="15.75" customHeight="1">
      <c r="A532" s="73"/>
      <c r="B532" s="178"/>
      <c r="C532" s="179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225"/>
      <c r="AB532" s="226"/>
      <c r="AC532" s="73"/>
      <c r="AD532" s="73"/>
      <c r="AE532" s="73"/>
      <c r="AF532" s="73"/>
      <c r="AG532" s="73"/>
      <c r="AH532" s="73"/>
    </row>
    <row r="533" ht="15.75" customHeight="1">
      <c r="A533" s="73"/>
      <c r="B533" s="178"/>
      <c r="C533" s="179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225"/>
      <c r="AB533" s="226"/>
      <c r="AC533" s="73"/>
      <c r="AD533" s="73"/>
      <c r="AE533" s="73"/>
      <c r="AF533" s="73"/>
      <c r="AG533" s="73"/>
      <c r="AH533" s="73"/>
    </row>
    <row r="534" ht="15.75" customHeight="1">
      <c r="A534" s="73"/>
      <c r="B534" s="178"/>
      <c r="C534" s="179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225"/>
      <c r="AB534" s="226"/>
      <c r="AC534" s="73"/>
      <c r="AD534" s="73"/>
      <c r="AE534" s="73"/>
      <c r="AF534" s="73"/>
      <c r="AG534" s="73"/>
      <c r="AH534" s="73"/>
    </row>
    <row r="535" ht="15.75" customHeight="1">
      <c r="A535" s="73"/>
      <c r="B535" s="178"/>
      <c r="C535" s="179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225"/>
      <c r="AB535" s="226"/>
      <c r="AC535" s="73"/>
      <c r="AD535" s="73"/>
      <c r="AE535" s="73"/>
      <c r="AF535" s="73"/>
      <c r="AG535" s="73"/>
      <c r="AH535" s="73"/>
    </row>
    <row r="536" ht="15.75" customHeight="1">
      <c r="A536" s="73"/>
      <c r="B536" s="178"/>
      <c r="C536" s="179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225"/>
      <c r="AB536" s="226"/>
      <c r="AC536" s="73"/>
      <c r="AD536" s="73"/>
      <c r="AE536" s="73"/>
      <c r="AF536" s="73"/>
      <c r="AG536" s="73"/>
      <c r="AH536" s="73"/>
    </row>
    <row r="537" ht="15.75" customHeight="1">
      <c r="A537" s="73"/>
      <c r="B537" s="178"/>
      <c r="C537" s="179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225"/>
      <c r="AB537" s="226"/>
      <c r="AC537" s="73"/>
      <c r="AD537" s="73"/>
      <c r="AE537" s="73"/>
      <c r="AF537" s="73"/>
      <c r="AG537" s="73"/>
      <c r="AH537" s="73"/>
    </row>
    <row r="538" ht="15.75" customHeight="1">
      <c r="A538" s="73"/>
      <c r="B538" s="178"/>
      <c r="C538" s="179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225"/>
      <c r="AB538" s="226"/>
      <c r="AC538" s="73"/>
      <c r="AD538" s="73"/>
      <c r="AE538" s="73"/>
      <c r="AF538" s="73"/>
      <c r="AG538" s="73"/>
      <c r="AH538" s="73"/>
    </row>
    <row r="539" ht="15.75" customHeight="1">
      <c r="A539" s="73"/>
      <c r="B539" s="178"/>
      <c r="C539" s="179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225"/>
      <c r="AB539" s="226"/>
      <c r="AC539" s="73"/>
      <c r="AD539" s="73"/>
      <c r="AE539" s="73"/>
      <c r="AF539" s="73"/>
      <c r="AG539" s="73"/>
      <c r="AH539" s="73"/>
    </row>
    <row r="540" ht="15.75" customHeight="1">
      <c r="A540" s="73"/>
      <c r="B540" s="178"/>
      <c r="C540" s="179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225"/>
      <c r="AB540" s="226"/>
      <c r="AC540" s="73"/>
      <c r="AD540" s="73"/>
      <c r="AE540" s="73"/>
      <c r="AF540" s="73"/>
      <c r="AG540" s="73"/>
      <c r="AH540" s="73"/>
    </row>
    <row r="541" ht="15.75" customHeight="1">
      <c r="A541" s="73"/>
      <c r="B541" s="178"/>
      <c r="C541" s="179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225"/>
      <c r="AB541" s="226"/>
      <c r="AC541" s="73"/>
      <c r="AD541" s="73"/>
      <c r="AE541" s="73"/>
      <c r="AF541" s="73"/>
      <c r="AG541" s="73"/>
      <c r="AH541" s="73"/>
    </row>
    <row r="542" ht="15.75" customHeight="1">
      <c r="A542" s="73"/>
      <c r="B542" s="178"/>
      <c r="C542" s="179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225"/>
      <c r="AB542" s="226"/>
      <c r="AC542" s="73"/>
      <c r="AD542" s="73"/>
      <c r="AE542" s="73"/>
      <c r="AF542" s="73"/>
      <c r="AG542" s="73"/>
      <c r="AH542" s="73"/>
    </row>
    <row r="543" ht="15.75" customHeight="1">
      <c r="A543" s="73"/>
      <c r="B543" s="178"/>
      <c r="C543" s="179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225"/>
      <c r="AB543" s="226"/>
      <c r="AC543" s="73"/>
      <c r="AD543" s="73"/>
      <c r="AE543" s="73"/>
      <c r="AF543" s="73"/>
      <c r="AG543" s="73"/>
      <c r="AH543" s="73"/>
    </row>
    <row r="544" ht="15.75" customHeight="1">
      <c r="A544" s="73"/>
      <c r="B544" s="178"/>
      <c r="C544" s="179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225"/>
      <c r="AB544" s="226"/>
      <c r="AC544" s="73"/>
      <c r="AD544" s="73"/>
      <c r="AE544" s="73"/>
      <c r="AF544" s="73"/>
      <c r="AG544" s="73"/>
      <c r="AH544" s="73"/>
    </row>
    <row r="545" ht="15.75" customHeight="1">
      <c r="A545" s="73"/>
      <c r="B545" s="178"/>
      <c r="C545" s="179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225"/>
      <c r="AB545" s="226"/>
      <c r="AC545" s="73"/>
      <c r="AD545" s="73"/>
      <c r="AE545" s="73"/>
      <c r="AF545" s="73"/>
      <c r="AG545" s="73"/>
      <c r="AH545" s="73"/>
    </row>
    <row r="546" ht="15.75" customHeight="1">
      <c r="A546" s="73"/>
      <c r="B546" s="178"/>
      <c r="C546" s="179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225"/>
      <c r="AB546" s="226"/>
      <c r="AC546" s="73"/>
      <c r="AD546" s="73"/>
      <c r="AE546" s="73"/>
      <c r="AF546" s="73"/>
      <c r="AG546" s="73"/>
      <c r="AH546" s="73"/>
    </row>
    <row r="547" ht="15.75" customHeight="1">
      <c r="A547" s="73"/>
      <c r="B547" s="178"/>
      <c r="C547" s="179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225"/>
      <c r="AB547" s="226"/>
      <c r="AC547" s="73"/>
      <c r="AD547" s="73"/>
      <c r="AE547" s="73"/>
      <c r="AF547" s="73"/>
      <c r="AG547" s="73"/>
      <c r="AH547" s="73"/>
    </row>
    <row r="548" ht="15.75" customHeight="1">
      <c r="A548" s="73"/>
      <c r="B548" s="178"/>
      <c r="C548" s="179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225"/>
      <c r="AB548" s="226"/>
      <c r="AC548" s="73"/>
      <c r="AD548" s="73"/>
      <c r="AE548" s="73"/>
      <c r="AF548" s="73"/>
      <c r="AG548" s="73"/>
      <c r="AH548" s="73"/>
    </row>
    <row r="549" ht="15.75" customHeight="1">
      <c r="A549" s="73"/>
      <c r="B549" s="178"/>
      <c r="C549" s="179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225"/>
      <c r="AB549" s="226"/>
      <c r="AC549" s="73"/>
      <c r="AD549" s="73"/>
      <c r="AE549" s="73"/>
      <c r="AF549" s="73"/>
      <c r="AG549" s="73"/>
      <c r="AH549" s="73"/>
    </row>
    <row r="550" ht="15.75" customHeight="1">
      <c r="A550" s="73"/>
      <c r="B550" s="178"/>
      <c r="C550" s="179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225"/>
      <c r="AB550" s="226"/>
      <c r="AC550" s="73"/>
      <c r="AD550" s="73"/>
      <c r="AE550" s="73"/>
      <c r="AF550" s="73"/>
      <c r="AG550" s="73"/>
      <c r="AH550" s="73"/>
    </row>
    <row r="551" ht="15.75" customHeight="1">
      <c r="A551" s="73"/>
      <c r="B551" s="178"/>
      <c r="C551" s="179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225"/>
      <c r="AB551" s="226"/>
      <c r="AC551" s="73"/>
      <c r="AD551" s="73"/>
      <c r="AE551" s="73"/>
      <c r="AF551" s="73"/>
      <c r="AG551" s="73"/>
      <c r="AH551" s="73"/>
    </row>
    <row r="552" ht="15.75" customHeight="1">
      <c r="A552" s="73"/>
      <c r="B552" s="178"/>
      <c r="C552" s="179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225"/>
      <c r="AB552" s="226"/>
      <c r="AC552" s="73"/>
      <c r="AD552" s="73"/>
      <c r="AE552" s="73"/>
      <c r="AF552" s="73"/>
      <c r="AG552" s="73"/>
      <c r="AH552" s="73"/>
    </row>
    <row r="553" ht="15.75" customHeight="1">
      <c r="A553" s="73"/>
      <c r="B553" s="178"/>
      <c r="C553" s="179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225"/>
      <c r="AB553" s="226"/>
      <c r="AC553" s="73"/>
      <c r="AD553" s="73"/>
      <c r="AE553" s="73"/>
      <c r="AF553" s="73"/>
      <c r="AG553" s="73"/>
      <c r="AH553" s="73"/>
    </row>
    <row r="554" ht="15.75" customHeight="1">
      <c r="A554" s="73"/>
      <c r="B554" s="178"/>
      <c r="C554" s="179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225"/>
      <c r="AB554" s="226"/>
      <c r="AC554" s="73"/>
      <c r="AD554" s="73"/>
      <c r="AE554" s="73"/>
      <c r="AF554" s="73"/>
      <c r="AG554" s="73"/>
      <c r="AH554" s="73"/>
    </row>
    <row r="555" ht="15.75" customHeight="1">
      <c r="A555" s="73"/>
      <c r="B555" s="178"/>
      <c r="C555" s="179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225"/>
      <c r="AB555" s="226"/>
      <c r="AC555" s="73"/>
      <c r="AD555" s="73"/>
      <c r="AE555" s="73"/>
      <c r="AF555" s="73"/>
      <c r="AG555" s="73"/>
      <c r="AH555" s="73"/>
    </row>
    <row r="556" ht="15.75" customHeight="1">
      <c r="A556" s="73"/>
      <c r="B556" s="178"/>
      <c r="C556" s="179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225"/>
      <c r="AB556" s="226"/>
      <c r="AC556" s="73"/>
      <c r="AD556" s="73"/>
      <c r="AE556" s="73"/>
      <c r="AF556" s="73"/>
      <c r="AG556" s="73"/>
      <c r="AH556" s="73"/>
    </row>
    <row r="557" ht="15.75" customHeight="1">
      <c r="A557" s="73"/>
      <c r="B557" s="178"/>
      <c r="C557" s="179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225"/>
      <c r="AB557" s="226"/>
      <c r="AC557" s="73"/>
      <c r="AD557" s="73"/>
      <c r="AE557" s="73"/>
      <c r="AF557" s="73"/>
      <c r="AG557" s="73"/>
      <c r="AH557" s="73"/>
    </row>
    <row r="558" ht="15.75" customHeight="1">
      <c r="A558" s="73"/>
      <c r="B558" s="178"/>
      <c r="C558" s="179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225"/>
      <c r="AB558" s="226"/>
      <c r="AC558" s="73"/>
      <c r="AD558" s="73"/>
      <c r="AE558" s="73"/>
      <c r="AF558" s="73"/>
      <c r="AG558" s="73"/>
      <c r="AH558" s="73"/>
    </row>
    <row r="559" ht="15.75" customHeight="1">
      <c r="A559" s="73"/>
      <c r="B559" s="178"/>
      <c r="C559" s="179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225"/>
      <c r="AB559" s="226"/>
      <c r="AC559" s="73"/>
      <c r="AD559" s="73"/>
      <c r="AE559" s="73"/>
      <c r="AF559" s="73"/>
      <c r="AG559" s="73"/>
      <c r="AH559" s="73"/>
    </row>
    <row r="560" ht="15.75" customHeight="1">
      <c r="A560" s="73"/>
      <c r="B560" s="178"/>
      <c r="C560" s="179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225"/>
      <c r="AB560" s="226"/>
      <c r="AC560" s="73"/>
      <c r="AD560" s="73"/>
      <c r="AE560" s="73"/>
      <c r="AF560" s="73"/>
      <c r="AG560" s="73"/>
      <c r="AH560" s="73"/>
    </row>
    <row r="561" ht="15.75" customHeight="1">
      <c r="A561" s="73"/>
      <c r="B561" s="178"/>
      <c r="C561" s="179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225"/>
      <c r="AB561" s="226"/>
      <c r="AC561" s="73"/>
      <c r="AD561" s="73"/>
      <c r="AE561" s="73"/>
      <c r="AF561" s="73"/>
      <c r="AG561" s="73"/>
      <c r="AH561" s="73"/>
    </row>
    <row r="562" ht="15.75" customHeight="1">
      <c r="A562" s="73"/>
      <c r="B562" s="178"/>
      <c r="C562" s="179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225"/>
      <c r="AB562" s="226"/>
      <c r="AC562" s="73"/>
      <c r="AD562" s="73"/>
      <c r="AE562" s="73"/>
      <c r="AF562" s="73"/>
      <c r="AG562" s="73"/>
      <c r="AH562" s="73"/>
    </row>
    <row r="563" ht="15.75" customHeight="1">
      <c r="A563" s="73"/>
      <c r="B563" s="178"/>
      <c r="C563" s="179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225"/>
      <c r="AB563" s="226"/>
      <c r="AC563" s="73"/>
      <c r="AD563" s="73"/>
      <c r="AE563" s="73"/>
      <c r="AF563" s="73"/>
      <c r="AG563" s="73"/>
      <c r="AH563" s="73"/>
    </row>
    <row r="564" ht="15.75" customHeight="1">
      <c r="A564" s="73"/>
      <c r="B564" s="178"/>
      <c r="C564" s="179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225"/>
      <c r="AB564" s="226"/>
      <c r="AC564" s="73"/>
      <c r="AD564" s="73"/>
      <c r="AE564" s="73"/>
      <c r="AF564" s="73"/>
      <c r="AG564" s="73"/>
      <c r="AH564" s="73"/>
    </row>
    <row r="565" ht="15.75" customHeight="1">
      <c r="A565" s="73"/>
      <c r="B565" s="178"/>
      <c r="C565" s="179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225"/>
      <c r="AB565" s="226"/>
      <c r="AC565" s="73"/>
      <c r="AD565" s="73"/>
      <c r="AE565" s="73"/>
      <c r="AF565" s="73"/>
      <c r="AG565" s="73"/>
      <c r="AH565" s="73"/>
    </row>
    <row r="566" ht="15.75" customHeight="1">
      <c r="A566" s="73"/>
      <c r="B566" s="178"/>
      <c r="C566" s="179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225"/>
      <c r="AB566" s="226"/>
      <c r="AC566" s="73"/>
      <c r="AD566" s="73"/>
      <c r="AE566" s="73"/>
      <c r="AF566" s="73"/>
      <c r="AG566" s="73"/>
      <c r="AH566" s="73"/>
    </row>
    <row r="567" ht="15.75" customHeight="1">
      <c r="A567" s="73"/>
      <c r="B567" s="178"/>
      <c r="C567" s="179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2"/>
      <c r="AB567" s="72"/>
      <c r="AC567" s="73"/>
      <c r="AD567" s="73"/>
      <c r="AE567" s="73"/>
      <c r="AF567" s="73"/>
      <c r="AG567" s="73"/>
      <c r="AH567" s="73"/>
    </row>
    <row r="568" ht="15.75" customHeight="1">
      <c r="A568" s="73"/>
      <c r="B568" s="178"/>
      <c r="C568" s="179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2"/>
      <c r="AB568" s="72"/>
      <c r="AC568" s="73"/>
      <c r="AD568" s="73"/>
      <c r="AE568" s="73"/>
      <c r="AF568" s="73"/>
      <c r="AG568" s="73"/>
      <c r="AH568" s="73"/>
    </row>
    <row r="569" ht="15.75" customHeight="1">
      <c r="A569" s="73"/>
      <c r="B569" s="178"/>
      <c r="C569" s="179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2"/>
      <c r="AB569" s="72"/>
      <c r="AC569" s="73"/>
      <c r="AD569" s="73"/>
      <c r="AE569" s="73"/>
      <c r="AF569" s="73"/>
      <c r="AG569" s="73"/>
      <c r="AH569" s="73"/>
    </row>
    <row r="570" ht="15.75" customHeight="1">
      <c r="A570" s="73"/>
      <c r="B570" s="178"/>
      <c r="C570" s="179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2"/>
      <c r="AB570" s="72"/>
      <c r="AC570" s="73"/>
      <c r="AD570" s="73"/>
      <c r="AE570" s="73"/>
      <c r="AF570" s="73"/>
      <c r="AG570" s="73"/>
      <c r="AH570" s="73"/>
    </row>
    <row r="571" ht="15.75" customHeight="1">
      <c r="A571" s="73"/>
      <c r="B571" s="178"/>
      <c r="C571" s="179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2"/>
      <c r="AB571" s="72"/>
      <c r="AC571" s="73"/>
      <c r="AD571" s="73"/>
      <c r="AE571" s="73"/>
      <c r="AF571" s="73"/>
      <c r="AG571" s="73"/>
      <c r="AH571" s="73"/>
    </row>
    <row r="572" ht="15.75" customHeight="1">
      <c r="A572" s="73"/>
      <c r="B572" s="178"/>
      <c r="C572" s="179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2"/>
      <c r="AB572" s="72"/>
      <c r="AC572" s="73"/>
      <c r="AD572" s="73"/>
      <c r="AE572" s="73"/>
      <c r="AF572" s="73"/>
      <c r="AG572" s="73"/>
      <c r="AH572" s="73"/>
    </row>
    <row r="573" ht="15.75" customHeight="1">
      <c r="A573" s="73"/>
      <c r="B573" s="178"/>
      <c r="C573" s="179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2"/>
      <c r="AB573" s="72"/>
      <c r="AC573" s="73"/>
      <c r="AD573" s="73"/>
      <c r="AE573" s="73"/>
      <c r="AF573" s="73"/>
      <c r="AG573" s="73"/>
      <c r="AH573" s="73"/>
    </row>
    <row r="574" ht="15.75" customHeight="1">
      <c r="A574" s="73"/>
      <c r="B574" s="178"/>
      <c r="C574" s="179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2"/>
      <c r="AB574" s="72"/>
      <c r="AC574" s="73"/>
      <c r="AD574" s="73"/>
      <c r="AE574" s="73"/>
      <c r="AF574" s="73"/>
      <c r="AG574" s="73"/>
      <c r="AH574" s="73"/>
    </row>
    <row r="575" ht="15.75" customHeight="1">
      <c r="A575" s="73"/>
      <c r="B575" s="178"/>
      <c r="C575" s="179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2"/>
      <c r="AB575" s="72"/>
      <c r="AC575" s="73"/>
      <c r="AD575" s="73"/>
      <c r="AE575" s="73"/>
      <c r="AF575" s="73"/>
      <c r="AG575" s="73"/>
      <c r="AH575" s="73"/>
    </row>
    <row r="576" ht="15.75" customHeight="1">
      <c r="A576" s="73"/>
      <c r="B576" s="178"/>
      <c r="C576" s="179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2"/>
      <c r="AB576" s="72"/>
      <c r="AC576" s="73"/>
      <c r="AD576" s="73"/>
      <c r="AE576" s="73"/>
      <c r="AF576" s="73"/>
      <c r="AG576" s="73"/>
      <c r="AH576" s="73"/>
    </row>
    <row r="577" ht="15.75" customHeight="1">
      <c r="A577" s="73"/>
      <c r="B577" s="178"/>
      <c r="C577" s="179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2"/>
      <c r="AB577" s="72"/>
      <c r="AC577" s="73"/>
      <c r="AD577" s="73"/>
      <c r="AE577" s="73"/>
      <c r="AF577" s="73"/>
      <c r="AG577" s="73"/>
      <c r="AH577" s="73"/>
    </row>
    <row r="578" ht="15.75" customHeight="1">
      <c r="A578" s="73"/>
      <c r="B578" s="178"/>
      <c r="C578" s="179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2"/>
      <c r="AB578" s="72"/>
      <c r="AC578" s="73"/>
      <c r="AD578" s="73"/>
      <c r="AE578" s="73"/>
      <c r="AF578" s="73"/>
      <c r="AG578" s="73"/>
      <c r="AH578" s="73"/>
    </row>
    <row r="579" ht="15.75" customHeight="1">
      <c r="A579" s="73"/>
      <c r="B579" s="178"/>
      <c r="C579" s="179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2"/>
      <c r="AB579" s="72"/>
      <c r="AC579" s="73"/>
      <c r="AD579" s="73"/>
      <c r="AE579" s="73"/>
      <c r="AF579" s="73"/>
      <c r="AG579" s="73"/>
      <c r="AH579" s="73"/>
    </row>
    <row r="580" ht="15.75" customHeight="1">
      <c r="A580" s="73"/>
      <c r="B580" s="178"/>
      <c r="C580" s="179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2"/>
      <c r="AB580" s="72"/>
      <c r="AC580" s="73"/>
      <c r="AD580" s="73"/>
      <c r="AE580" s="73"/>
      <c r="AF580" s="73"/>
      <c r="AG580" s="73"/>
      <c r="AH580" s="73"/>
    </row>
    <row r="581" ht="15.75" customHeight="1">
      <c r="A581" s="73"/>
      <c r="B581" s="178"/>
      <c r="C581" s="179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2"/>
      <c r="AB581" s="72"/>
      <c r="AC581" s="73"/>
      <c r="AD581" s="73"/>
      <c r="AE581" s="73"/>
      <c r="AF581" s="73"/>
      <c r="AG581" s="73"/>
      <c r="AH581" s="73"/>
    </row>
    <row r="582" ht="15.75" customHeight="1">
      <c r="A582" s="73"/>
      <c r="B582" s="178"/>
      <c r="C582" s="179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2"/>
      <c r="AB582" s="72"/>
      <c r="AC582" s="73"/>
      <c r="AD582" s="73"/>
      <c r="AE582" s="73"/>
      <c r="AF582" s="73"/>
      <c r="AG582" s="73"/>
      <c r="AH582" s="73"/>
    </row>
    <row r="583" ht="15.75" customHeight="1">
      <c r="A583" s="73"/>
      <c r="B583" s="178"/>
      <c r="C583" s="179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2"/>
      <c r="AB583" s="72"/>
      <c r="AC583" s="73"/>
      <c r="AD583" s="73"/>
      <c r="AE583" s="73"/>
      <c r="AF583" s="73"/>
      <c r="AG583" s="73"/>
      <c r="AH583" s="73"/>
    </row>
    <row r="584" ht="15.75" customHeight="1">
      <c r="A584" s="73"/>
      <c r="B584" s="178"/>
      <c r="C584" s="179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2"/>
      <c r="AB584" s="72"/>
      <c r="AC584" s="73"/>
      <c r="AD584" s="73"/>
      <c r="AE584" s="73"/>
      <c r="AF584" s="73"/>
      <c r="AG584" s="73"/>
      <c r="AH584" s="73"/>
    </row>
    <row r="585" ht="15.75" customHeight="1">
      <c r="A585" s="73"/>
      <c r="B585" s="178"/>
      <c r="C585" s="179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2"/>
      <c r="AB585" s="72"/>
      <c r="AC585" s="73"/>
      <c r="AD585" s="73"/>
      <c r="AE585" s="73"/>
      <c r="AF585" s="73"/>
      <c r="AG585" s="73"/>
      <c r="AH585" s="73"/>
    </row>
    <row r="586" ht="15.75" customHeight="1">
      <c r="A586" s="73"/>
      <c r="B586" s="178"/>
      <c r="C586" s="179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2"/>
      <c r="AB586" s="72"/>
      <c r="AC586" s="73"/>
      <c r="AD586" s="73"/>
      <c r="AE586" s="73"/>
      <c r="AF586" s="73"/>
      <c r="AG586" s="73"/>
      <c r="AH586" s="73"/>
    </row>
    <row r="587" ht="15.75" customHeight="1">
      <c r="A587" s="73"/>
      <c r="B587" s="178"/>
      <c r="C587" s="179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2"/>
      <c r="AB587" s="72"/>
      <c r="AC587" s="73"/>
      <c r="AD587" s="73"/>
      <c r="AE587" s="73"/>
      <c r="AF587" s="73"/>
      <c r="AG587" s="73"/>
      <c r="AH587" s="73"/>
    </row>
    <row r="588" ht="15.75" customHeight="1">
      <c r="A588" s="73"/>
      <c r="B588" s="178"/>
      <c r="C588" s="179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2"/>
      <c r="AB588" s="72"/>
      <c r="AC588" s="73"/>
      <c r="AD588" s="73"/>
      <c r="AE588" s="73"/>
      <c r="AF588" s="73"/>
      <c r="AG588" s="73"/>
      <c r="AH588" s="73"/>
    </row>
    <row r="589" ht="15.75" customHeight="1">
      <c r="A589" s="73"/>
      <c r="B589" s="178"/>
      <c r="C589" s="179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2"/>
      <c r="AB589" s="72"/>
      <c r="AC589" s="73"/>
      <c r="AD589" s="73"/>
      <c r="AE589" s="73"/>
      <c r="AF589" s="73"/>
      <c r="AG589" s="73"/>
      <c r="AH589" s="73"/>
    </row>
    <row r="590" ht="15.75" customHeight="1">
      <c r="A590" s="73"/>
      <c r="B590" s="178"/>
      <c r="C590" s="179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2"/>
      <c r="AB590" s="72"/>
      <c r="AC590" s="73"/>
      <c r="AD590" s="73"/>
      <c r="AE590" s="73"/>
      <c r="AF590" s="73"/>
      <c r="AG590" s="73"/>
      <c r="AH590" s="73"/>
    </row>
    <row r="591" ht="15.75" customHeight="1">
      <c r="A591" s="73"/>
      <c r="B591" s="178"/>
      <c r="C591" s="179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2"/>
      <c r="AB591" s="72"/>
      <c r="AC591" s="73"/>
      <c r="AD591" s="73"/>
      <c r="AE591" s="73"/>
      <c r="AF591" s="73"/>
      <c r="AG591" s="73"/>
      <c r="AH591" s="73"/>
    </row>
    <row r="592" ht="15.75" customHeight="1">
      <c r="A592" s="73"/>
      <c r="B592" s="178"/>
      <c r="C592" s="179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2"/>
      <c r="AB592" s="72"/>
      <c r="AC592" s="73"/>
      <c r="AD592" s="73"/>
      <c r="AE592" s="73"/>
      <c r="AF592" s="73"/>
      <c r="AG592" s="73"/>
      <c r="AH592" s="73"/>
    </row>
    <row r="593" ht="15.75" customHeight="1">
      <c r="A593" s="73"/>
      <c r="B593" s="178"/>
      <c r="C593" s="179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2"/>
      <c r="AB593" s="72"/>
      <c r="AC593" s="73"/>
      <c r="AD593" s="73"/>
      <c r="AE593" s="73"/>
      <c r="AF593" s="73"/>
      <c r="AG593" s="73"/>
      <c r="AH593" s="73"/>
    </row>
    <row r="594" ht="15.75" customHeight="1">
      <c r="A594" s="73"/>
      <c r="B594" s="178"/>
      <c r="C594" s="179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2"/>
      <c r="AB594" s="72"/>
      <c r="AC594" s="73"/>
      <c r="AD594" s="73"/>
      <c r="AE594" s="73"/>
      <c r="AF594" s="73"/>
      <c r="AG594" s="73"/>
      <c r="AH594" s="73"/>
    </row>
    <row r="595" ht="15.75" customHeight="1">
      <c r="A595" s="73"/>
      <c r="B595" s="178"/>
      <c r="C595" s="179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2"/>
      <c r="AB595" s="72"/>
      <c r="AC595" s="73"/>
      <c r="AD595" s="73"/>
      <c r="AE595" s="73"/>
      <c r="AF595" s="73"/>
      <c r="AG595" s="73"/>
      <c r="AH595" s="73"/>
    </row>
    <row r="596" ht="15.75" customHeight="1">
      <c r="A596" s="73"/>
      <c r="B596" s="178"/>
      <c r="C596" s="179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2"/>
      <c r="AB596" s="72"/>
      <c r="AC596" s="73"/>
      <c r="AD596" s="73"/>
      <c r="AE596" s="73"/>
      <c r="AF596" s="73"/>
      <c r="AG596" s="73"/>
      <c r="AH596" s="73"/>
    </row>
    <row r="597" ht="15.75" customHeight="1">
      <c r="A597" s="73"/>
      <c r="B597" s="178"/>
      <c r="C597" s="179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2"/>
      <c r="AB597" s="72"/>
      <c r="AC597" s="73"/>
      <c r="AD597" s="73"/>
      <c r="AE597" s="73"/>
      <c r="AF597" s="73"/>
      <c r="AG597" s="73"/>
      <c r="AH597" s="73"/>
    </row>
    <row r="598" ht="15.75" customHeight="1">
      <c r="A598" s="73"/>
      <c r="B598" s="178"/>
      <c r="C598" s="179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2"/>
      <c r="AB598" s="72"/>
      <c r="AC598" s="73"/>
      <c r="AD598" s="73"/>
      <c r="AE598" s="73"/>
      <c r="AF598" s="73"/>
      <c r="AG598" s="73"/>
      <c r="AH598" s="73"/>
    </row>
    <row r="599" ht="15.75" customHeight="1">
      <c r="A599" s="73"/>
      <c r="B599" s="178"/>
      <c r="C599" s="179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2"/>
      <c r="AB599" s="72"/>
      <c r="AC599" s="73"/>
      <c r="AD599" s="73"/>
      <c r="AE599" s="73"/>
      <c r="AF599" s="73"/>
      <c r="AG599" s="73"/>
      <c r="AH599" s="73"/>
    </row>
    <row r="600" ht="15.75" customHeight="1">
      <c r="A600" s="73"/>
      <c r="B600" s="178"/>
      <c r="C600" s="179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2"/>
      <c r="AB600" s="72"/>
      <c r="AC600" s="73"/>
      <c r="AD600" s="73"/>
      <c r="AE600" s="73"/>
      <c r="AF600" s="73"/>
      <c r="AG600" s="73"/>
      <c r="AH600" s="73"/>
    </row>
    <row r="601" ht="15.75" customHeight="1">
      <c r="A601" s="73"/>
      <c r="B601" s="178"/>
      <c r="C601" s="179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2"/>
      <c r="AB601" s="72"/>
      <c r="AC601" s="73"/>
      <c r="AD601" s="73"/>
      <c r="AE601" s="73"/>
      <c r="AF601" s="73"/>
      <c r="AG601" s="73"/>
      <c r="AH601" s="73"/>
    </row>
    <row r="602" ht="15.75" customHeight="1">
      <c r="A602" s="73"/>
      <c r="B602" s="178"/>
      <c r="C602" s="179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2"/>
      <c r="AB602" s="72"/>
      <c r="AC602" s="73"/>
      <c r="AD602" s="73"/>
      <c r="AE602" s="73"/>
      <c r="AF602" s="73"/>
      <c r="AG602" s="73"/>
      <c r="AH602" s="73"/>
    </row>
    <row r="603" ht="15.75" customHeight="1">
      <c r="A603" s="73"/>
      <c r="B603" s="178"/>
      <c r="C603" s="179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2"/>
      <c r="AB603" s="72"/>
      <c r="AC603" s="73"/>
      <c r="AD603" s="73"/>
      <c r="AE603" s="73"/>
      <c r="AF603" s="73"/>
      <c r="AG603" s="73"/>
      <c r="AH603" s="73"/>
    </row>
    <row r="604" ht="15.75" customHeight="1">
      <c r="A604" s="73"/>
      <c r="B604" s="178"/>
      <c r="C604" s="179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2"/>
      <c r="AB604" s="72"/>
      <c r="AC604" s="73"/>
      <c r="AD604" s="73"/>
      <c r="AE604" s="73"/>
      <c r="AF604" s="73"/>
      <c r="AG604" s="73"/>
      <c r="AH604" s="73"/>
    </row>
    <row r="605" ht="15.75" customHeight="1">
      <c r="A605" s="73"/>
      <c r="B605" s="178"/>
      <c r="C605" s="179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2"/>
      <c r="AB605" s="72"/>
      <c r="AC605" s="73"/>
      <c r="AD605" s="73"/>
      <c r="AE605" s="73"/>
      <c r="AF605" s="73"/>
      <c r="AG605" s="73"/>
      <c r="AH605" s="73"/>
    </row>
    <row r="606" ht="15.75" customHeight="1">
      <c r="A606" s="73"/>
      <c r="B606" s="178"/>
      <c r="C606" s="179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2"/>
      <c r="AB606" s="72"/>
      <c r="AC606" s="73"/>
      <c r="AD606" s="73"/>
      <c r="AE606" s="73"/>
      <c r="AF606" s="73"/>
      <c r="AG606" s="73"/>
      <c r="AH606" s="73"/>
    </row>
    <row r="607" ht="15.75" customHeight="1">
      <c r="A607" s="73"/>
      <c r="B607" s="178"/>
      <c r="C607" s="179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2"/>
      <c r="AB607" s="72"/>
      <c r="AC607" s="73"/>
      <c r="AD607" s="73"/>
      <c r="AE607" s="73"/>
      <c r="AF607" s="73"/>
      <c r="AG607" s="73"/>
      <c r="AH607" s="73"/>
    </row>
    <row r="608" ht="15.75" customHeight="1">
      <c r="A608" s="73"/>
      <c r="B608" s="178"/>
      <c r="C608" s="179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2"/>
      <c r="AB608" s="72"/>
      <c r="AC608" s="73"/>
      <c r="AD608" s="73"/>
      <c r="AE608" s="73"/>
      <c r="AF608" s="73"/>
      <c r="AG608" s="73"/>
      <c r="AH608" s="73"/>
    </row>
    <row r="609" ht="15.75" customHeight="1">
      <c r="A609" s="73"/>
      <c r="B609" s="178"/>
      <c r="C609" s="179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2"/>
      <c r="AB609" s="72"/>
      <c r="AC609" s="73"/>
      <c r="AD609" s="73"/>
      <c r="AE609" s="73"/>
      <c r="AF609" s="73"/>
      <c r="AG609" s="73"/>
      <c r="AH609" s="73"/>
    </row>
    <row r="610" ht="15.75" customHeight="1">
      <c r="A610" s="73"/>
      <c r="B610" s="178"/>
      <c r="C610" s="179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2"/>
      <c r="AB610" s="72"/>
      <c r="AC610" s="73"/>
      <c r="AD610" s="73"/>
      <c r="AE610" s="73"/>
      <c r="AF610" s="73"/>
      <c r="AG610" s="73"/>
      <c r="AH610" s="73"/>
    </row>
    <row r="611" ht="15.75" customHeight="1">
      <c r="A611" s="73"/>
      <c r="B611" s="178"/>
      <c r="C611" s="179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2"/>
      <c r="AB611" s="72"/>
      <c r="AC611" s="73"/>
      <c r="AD611" s="73"/>
      <c r="AE611" s="73"/>
      <c r="AF611" s="73"/>
      <c r="AG611" s="73"/>
      <c r="AH611" s="73"/>
    </row>
    <row r="612" ht="15.75" customHeight="1">
      <c r="A612" s="73"/>
      <c r="B612" s="178"/>
      <c r="C612" s="179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2"/>
      <c r="AB612" s="72"/>
      <c r="AC612" s="73"/>
      <c r="AD612" s="73"/>
      <c r="AE612" s="73"/>
      <c r="AF612" s="73"/>
      <c r="AG612" s="73"/>
      <c r="AH612" s="73"/>
    </row>
    <row r="613" ht="15.75" customHeight="1">
      <c r="A613" s="73"/>
      <c r="B613" s="178"/>
      <c r="C613" s="179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2"/>
      <c r="AB613" s="72"/>
      <c r="AC613" s="73"/>
      <c r="AD613" s="73"/>
      <c r="AE613" s="73"/>
      <c r="AF613" s="73"/>
      <c r="AG613" s="73"/>
      <c r="AH613" s="73"/>
    </row>
    <row r="614" ht="15.75" customHeight="1">
      <c r="A614" s="73"/>
      <c r="B614" s="178"/>
      <c r="C614" s="179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2"/>
      <c r="AB614" s="72"/>
      <c r="AC614" s="73"/>
      <c r="AD614" s="73"/>
      <c r="AE614" s="73"/>
      <c r="AF614" s="73"/>
      <c r="AG614" s="73"/>
      <c r="AH614" s="73"/>
    </row>
    <row r="615" ht="15.75" customHeight="1">
      <c r="A615" s="73"/>
      <c r="B615" s="178"/>
      <c r="C615" s="179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2"/>
      <c r="AB615" s="72"/>
      <c r="AC615" s="73"/>
      <c r="AD615" s="73"/>
      <c r="AE615" s="73"/>
      <c r="AF615" s="73"/>
      <c r="AG615" s="73"/>
      <c r="AH615" s="73"/>
    </row>
    <row r="616" ht="15.75" customHeight="1">
      <c r="A616" s="73"/>
      <c r="B616" s="178"/>
      <c r="C616" s="179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2"/>
      <c r="AB616" s="72"/>
      <c r="AC616" s="73"/>
      <c r="AD616" s="73"/>
      <c r="AE616" s="73"/>
      <c r="AF616" s="73"/>
      <c r="AG616" s="73"/>
      <c r="AH616" s="73"/>
    </row>
    <row r="617" ht="15.75" customHeight="1">
      <c r="A617" s="73"/>
      <c r="B617" s="178"/>
      <c r="C617" s="179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2"/>
      <c r="AB617" s="72"/>
      <c r="AC617" s="73"/>
      <c r="AD617" s="73"/>
      <c r="AE617" s="73"/>
      <c r="AF617" s="73"/>
      <c r="AG617" s="73"/>
      <c r="AH617" s="73"/>
    </row>
    <row r="618" ht="15.75" customHeight="1">
      <c r="A618" s="73"/>
      <c r="B618" s="178"/>
      <c r="C618" s="179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2"/>
      <c r="AB618" s="72"/>
      <c r="AC618" s="73"/>
      <c r="AD618" s="73"/>
      <c r="AE618" s="73"/>
      <c r="AF618" s="73"/>
      <c r="AG618" s="73"/>
      <c r="AH618" s="73"/>
    </row>
    <row r="619" ht="15.75" customHeight="1">
      <c r="A619" s="73"/>
      <c r="B619" s="178"/>
      <c r="C619" s="179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2"/>
      <c r="AB619" s="72"/>
      <c r="AC619" s="73"/>
      <c r="AD619" s="73"/>
      <c r="AE619" s="73"/>
      <c r="AF619" s="73"/>
      <c r="AG619" s="73"/>
      <c r="AH619" s="73"/>
    </row>
    <row r="620" ht="15.75" customHeight="1">
      <c r="A620" s="73"/>
      <c r="B620" s="178"/>
      <c r="C620" s="179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2"/>
      <c r="AB620" s="72"/>
      <c r="AC620" s="73"/>
      <c r="AD620" s="73"/>
      <c r="AE620" s="73"/>
      <c r="AF620" s="73"/>
      <c r="AG620" s="73"/>
      <c r="AH620" s="73"/>
    </row>
    <row r="621" ht="15.75" customHeight="1">
      <c r="A621" s="73"/>
      <c r="B621" s="178"/>
      <c r="C621" s="179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2"/>
      <c r="AB621" s="72"/>
      <c r="AC621" s="73"/>
      <c r="AD621" s="73"/>
      <c r="AE621" s="73"/>
      <c r="AF621" s="73"/>
      <c r="AG621" s="73"/>
      <c r="AH621" s="73"/>
    </row>
    <row r="622" ht="15.75" customHeight="1">
      <c r="A622" s="73"/>
      <c r="B622" s="178"/>
      <c r="C622" s="179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2"/>
      <c r="AB622" s="72"/>
      <c r="AC622" s="73"/>
      <c r="AD622" s="73"/>
      <c r="AE622" s="73"/>
      <c r="AF622" s="73"/>
      <c r="AG622" s="73"/>
      <c r="AH622" s="73"/>
    </row>
    <row r="623" ht="15.75" customHeight="1">
      <c r="A623" s="73"/>
      <c r="B623" s="178"/>
      <c r="C623" s="179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2"/>
      <c r="AB623" s="72"/>
      <c r="AC623" s="73"/>
      <c r="AD623" s="73"/>
      <c r="AE623" s="73"/>
      <c r="AF623" s="73"/>
      <c r="AG623" s="73"/>
      <c r="AH623" s="73"/>
    </row>
    <row r="624" ht="15.75" customHeight="1">
      <c r="A624" s="73"/>
      <c r="B624" s="178"/>
      <c r="C624" s="179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2"/>
      <c r="AB624" s="72"/>
      <c r="AC624" s="73"/>
      <c r="AD624" s="73"/>
      <c r="AE624" s="73"/>
      <c r="AF624" s="73"/>
      <c r="AG624" s="73"/>
      <c r="AH624" s="73"/>
    </row>
    <row r="625" ht="15.75" customHeight="1">
      <c r="A625" s="73"/>
      <c r="B625" s="178"/>
      <c r="C625" s="179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2"/>
      <c r="AB625" s="72"/>
      <c r="AC625" s="73"/>
      <c r="AD625" s="73"/>
      <c r="AE625" s="73"/>
      <c r="AF625" s="73"/>
      <c r="AG625" s="73"/>
      <c r="AH625" s="73"/>
    </row>
    <row r="626" ht="15.75" customHeight="1">
      <c r="A626" s="73"/>
      <c r="B626" s="178"/>
      <c r="C626" s="179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2"/>
      <c r="AB626" s="72"/>
      <c r="AC626" s="73"/>
      <c r="AD626" s="73"/>
      <c r="AE626" s="73"/>
      <c r="AF626" s="73"/>
      <c r="AG626" s="73"/>
      <c r="AH626" s="73"/>
    </row>
    <row r="627" ht="15.75" customHeight="1">
      <c r="A627" s="73"/>
      <c r="B627" s="178"/>
      <c r="C627" s="179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2"/>
      <c r="AB627" s="72"/>
      <c r="AC627" s="73"/>
      <c r="AD627" s="73"/>
      <c r="AE627" s="73"/>
      <c r="AF627" s="73"/>
      <c r="AG627" s="73"/>
      <c r="AH627" s="73"/>
    </row>
    <row r="628" ht="15.75" customHeight="1">
      <c r="A628" s="73"/>
      <c r="B628" s="178"/>
      <c r="C628" s="179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2"/>
      <c r="AB628" s="72"/>
      <c r="AC628" s="73"/>
      <c r="AD628" s="73"/>
      <c r="AE628" s="73"/>
      <c r="AF628" s="73"/>
      <c r="AG628" s="73"/>
      <c r="AH628" s="73"/>
    </row>
    <row r="629" ht="15.75" customHeight="1">
      <c r="A629" s="73"/>
      <c r="B629" s="178"/>
      <c r="C629" s="179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2"/>
      <c r="AB629" s="72"/>
      <c r="AC629" s="73"/>
      <c r="AD629" s="73"/>
      <c r="AE629" s="73"/>
      <c r="AF629" s="73"/>
      <c r="AG629" s="73"/>
      <c r="AH629" s="73"/>
    </row>
    <row r="630" ht="15.75" customHeight="1">
      <c r="A630" s="73"/>
      <c r="B630" s="178"/>
      <c r="C630" s="179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2"/>
      <c r="AB630" s="72"/>
      <c r="AC630" s="73"/>
      <c r="AD630" s="73"/>
      <c r="AE630" s="73"/>
      <c r="AF630" s="73"/>
      <c r="AG630" s="73"/>
      <c r="AH630" s="73"/>
    </row>
    <row r="631" ht="15.75" customHeight="1">
      <c r="A631" s="73"/>
      <c r="B631" s="178"/>
      <c r="C631" s="179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2"/>
      <c r="AB631" s="72"/>
      <c r="AC631" s="73"/>
      <c r="AD631" s="73"/>
      <c r="AE631" s="73"/>
      <c r="AF631" s="73"/>
      <c r="AG631" s="73"/>
      <c r="AH631" s="73"/>
    </row>
    <row r="632" ht="15.75" customHeight="1">
      <c r="A632" s="73"/>
      <c r="B632" s="178"/>
      <c r="C632" s="179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2"/>
      <c r="AB632" s="72"/>
      <c r="AC632" s="73"/>
      <c r="AD632" s="73"/>
      <c r="AE632" s="73"/>
      <c r="AF632" s="73"/>
      <c r="AG632" s="73"/>
      <c r="AH632" s="73"/>
    </row>
    <row r="633" ht="15.75" customHeight="1">
      <c r="A633" s="73"/>
      <c r="B633" s="178"/>
      <c r="C633" s="179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2"/>
      <c r="AB633" s="72"/>
      <c r="AC633" s="73"/>
      <c r="AD633" s="73"/>
      <c r="AE633" s="73"/>
      <c r="AF633" s="73"/>
      <c r="AG633" s="73"/>
      <c r="AH633" s="73"/>
    </row>
    <row r="634" ht="15.75" customHeight="1">
      <c r="A634" s="73"/>
      <c r="B634" s="178"/>
      <c r="C634" s="179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2"/>
      <c r="AB634" s="72"/>
      <c r="AC634" s="73"/>
      <c r="AD634" s="73"/>
      <c r="AE634" s="73"/>
      <c r="AF634" s="73"/>
      <c r="AG634" s="73"/>
      <c r="AH634" s="73"/>
    </row>
    <row r="635" ht="15.75" customHeight="1">
      <c r="A635" s="73"/>
      <c r="B635" s="178"/>
      <c r="C635" s="179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2"/>
      <c r="AB635" s="72"/>
      <c r="AC635" s="73"/>
      <c r="AD635" s="73"/>
      <c r="AE635" s="73"/>
      <c r="AF635" s="73"/>
      <c r="AG635" s="73"/>
      <c r="AH635" s="73"/>
    </row>
    <row r="636" ht="15.75" customHeight="1">
      <c r="A636" s="73"/>
      <c r="B636" s="178"/>
      <c r="C636" s="179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2"/>
      <c r="AB636" s="72"/>
      <c r="AC636" s="73"/>
      <c r="AD636" s="73"/>
      <c r="AE636" s="73"/>
      <c r="AF636" s="73"/>
      <c r="AG636" s="73"/>
      <c r="AH636" s="73"/>
    </row>
    <row r="637" ht="15.75" customHeight="1">
      <c r="A637" s="73"/>
      <c r="B637" s="178"/>
      <c r="C637" s="179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2"/>
      <c r="AB637" s="72"/>
      <c r="AC637" s="73"/>
      <c r="AD637" s="73"/>
      <c r="AE637" s="73"/>
      <c r="AF637" s="73"/>
      <c r="AG637" s="73"/>
      <c r="AH637" s="73"/>
    </row>
    <row r="638" ht="15.75" customHeight="1">
      <c r="A638" s="73"/>
      <c r="B638" s="178"/>
      <c r="C638" s="179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2"/>
      <c r="AB638" s="72"/>
      <c r="AC638" s="73"/>
      <c r="AD638" s="73"/>
      <c r="AE638" s="73"/>
      <c r="AF638" s="73"/>
      <c r="AG638" s="73"/>
      <c r="AH638" s="73"/>
    </row>
    <row r="639" ht="15.75" customHeight="1">
      <c r="A639" s="73"/>
      <c r="B639" s="178"/>
      <c r="C639" s="179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2"/>
      <c r="AB639" s="72"/>
      <c r="AC639" s="73"/>
      <c r="AD639" s="73"/>
      <c r="AE639" s="73"/>
      <c r="AF639" s="73"/>
      <c r="AG639" s="73"/>
      <c r="AH639" s="73"/>
    </row>
    <row r="640" ht="15.75" customHeight="1">
      <c r="A640" s="73"/>
      <c r="B640" s="178"/>
      <c r="C640" s="179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2"/>
      <c r="AB640" s="72"/>
      <c r="AC640" s="73"/>
      <c r="AD640" s="73"/>
      <c r="AE640" s="73"/>
      <c r="AF640" s="73"/>
      <c r="AG640" s="73"/>
      <c r="AH640" s="73"/>
    </row>
    <row r="641" ht="15.75" customHeight="1">
      <c r="A641" s="73"/>
      <c r="B641" s="178"/>
      <c r="C641" s="179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2"/>
      <c r="AB641" s="72"/>
      <c r="AC641" s="73"/>
      <c r="AD641" s="73"/>
      <c r="AE641" s="73"/>
      <c r="AF641" s="73"/>
      <c r="AG641" s="73"/>
      <c r="AH641" s="73"/>
    </row>
    <row r="642" ht="15.75" customHeight="1">
      <c r="A642" s="73"/>
      <c r="B642" s="178"/>
      <c r="C642" s="179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2"/>
      <c r="AB642" s="72"/>
      <c r="AC642" s="73"/>
      <c r="AD642" s="73"/>
      <c r="AE642" s="73"/>
      <c r="AF642" s="73"/>
      <c r="AG642" s="73"/>
      <c r="AH642" s="73"/>
    </row>
    <row r="643" ht="15.75" customHeight="1">
      <c r="A643" s="73"/>
      <c r="B643" s="178"/>
      <c r="C643" s="179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2"/>
      <c r="AB643" s="72"/>
      <c r="AC643" s="73"/>
      <c r="AD643" s="73"/>
      <c r="AE643" s="73"/>
      <c r="AF643" s="73"/>
      <c r="AG643" s="73"/>
      <c r="AH643" s="73"/>
    </row>
    <row r="644" ht="15.75" customHeight="1">
      <c r="A644" s="73"/>
      <c r="B644" s="178"/>
      <c r="C644" s="179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2"/>
      <c r="AB644" s="72"/>
      <c r="AC644" s="73"/>
      <c r="AD644" s="73"/>
      <c r="AE644" s="73"/>
      <c r="AF644" s="73"/>
      <c r="AG644" s="73"/>
      <c r="AH644" s="73"/>
    </row>
    <row r="645" ht="15.75" customHeight="1">
      <c r="A645" s="73"/>
      <c r="B645" s="178"/>
      <c r="C645" s="179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2"/>
      <c r="AB645" s="72"/>
      <c r="AC645" s="73"/>
      <c r="AD645" s="73"/>
      <c r="AE645" s="73"/>
      <c r="AF645" s="73"/>
      <c r="AG645" s="73"/>
      <c r="AH645" s="73"/>
    </row>
    <row r="646" ht="15.75" customHeight="1">
      <c r="A646" s="73"/>
      <c r="B646" s="178"/>
      <c r="C646" s="179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2"/>
      <c r="AB646" s="72"/>
      <c r="AC646" s="73"/>
      <c r="AD646" s="73"/>
      <c r="AE646" s="73"/>
      <c r="AF646" s="73"/>
      <c r="AG646" s="73"/>
      <c r="AH646" s="73"/>
    </row>
    <row r="647" ht="15.75" customHeight="1">
      <c r="A647" s="73"/>
      <c r="B647" s="178"/>
      <c r="C647" s="179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2"/>
      <c r="AB647" s="72"/>
      <c r="AC647" s="73"/>
      <c r="AD647" s="73"/>
      <c r="AE647" s="73"/>
      <c r="AF647" s="73"/>
      <c r="AG647" s="73"/>
      <c r="AH647" s="73"/>
    </row>
    <row r="648" ht="15.75" customHeight="1">
      <c r="A648" s="73"/>
      <c r="B648" s="178"/>
      <c r="C648" s="179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2"/>
      <c r="AB648" s="72"/>
      <c r="AC648" s="73"/>
      <c r="AD648" s="73"/>
      <c r="AE648" s="73"/>
      <c r="AF648" s="73"/>
      <c r="AG648" s="73"/>
      <c r="AH648" s="73"/>
    </row>
    <row r="649" ht="15.75" customHeight="1">
      <c r="A649" s="73"/>
      <c r="B649" s="178"/>
      <c r="C649" s="179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2"/>
      <c r="AB649" s="72"/>
      <c r="AC649" s="73"/>
      <c r="AD649" s="73"/>
      <c r="AE649" s="73"/>
      <c r="AF649" s="73"/>
      <c r="AG649" s="73"/>
      <c r="AH649" s="73"/>
    </row>
    <row r="650" ht="15.75" customHeight="1">
      <c r="A650" s="73"/>
      <c r="B650" s="178"/>
      <c r="C650" s="179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2"/>
      <c r="AB650" s="72"/>
      <c r="AC650" s="73"/>
      <c r="AD650" s="73"/>
      <c r="AE650" s="73"/>
      <c r="AF650" s="73"/>
      <c r="AG650" s="73"/>
      <c r="AH650" s="73"/>
    </row>
    <row r="651" ht="15.75" customHeight="1">
      <c r="A651" s="73"/>
      <c r="B651" s="178"/>
      <c r="C651" s="179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2"/>
      <c r="AB651" s="72"/>
      <c r="AC651" s="73"/>
      <c r="AD651" s="73"/>
      <c r="AE651" s="73"/>
      <c r="AF651" s="73"/>
      <c r="AG651" s="73"/>
      <c r="AH651" s="73"/>
    </row>
    <row r="652" ht="15.75" customHeight="1">
      <c r="A652" s="73"/>
      <c r="B652" s="178"/>
      <c r="C652" s="179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2"/>
      <c r="AB652" s="72"/>
      <c r="AC652" s="73"/>
      <c r="AD652" s="73"/>
      <c r="AE652" s="73"/>
      <c r="AF652" s="73"/>
      <c r="AG652" s="73"/>
      <c r="AH652" s="73"/>
    </row>
    <row r="653" ht="15.75" customHeight="1">
      <c r="A653" s="73"/>
      <c r="B653" s="178"/>
      <c r="C653" s="179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2"/>
      <c r="AB653" s="72"/>
      <c r="AC653" s="73"/>
      <c r="AD653" s="73"/>
      <c r="AE653" s="73"/>
      <c r="AF653" s="73"/>
      <c r="AG653" s="73"/>
      <c r="AH653" s="73"/>
    </row>
    <row r="654" ht="15.75" customHeight="1">
      <c r="A654" s="73"/>
      <c r="B654" s="178"/>
      <c r="C654" s="179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2"/>
      <c r="AB654" s="72"/>
      <c r="AC654" s="73"/>
      <c r="AD654" s="73"/>
      <c r="AE654" s="73"/>
      <c r="AF654" s="73"/>
      <c r="AG654" s="73"/>
      <c r="AH654" s="73"/>
    </row>
    <row r="655" ht="15.75" customHeight="1">
      <c r="A655" s="73"/>
      <c r="B655" s="178"/>
      <c r="C655" s="179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2"/>
      <c r="AB655" s="72"/>
      <c r="AC655" s="73"/>
      <c r="AD655" s="73"/>
      <c r="AE655" s="73"/>
      <c r="AF655" s="73"/>
      <c r="AG655" s="73"/>
      <c r="AH655" s="73"/>
    </row>
    <row r="656" ht="15.75" customHeight="1">
      <c r="A656" s="73"/>
      <c r="B656" s="178"/>
      <c r="C656" s="179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2"/>
      <c r="AB656" s="72"/>
      <c r="AC656" s="73"/>
      <c r="AD656" s="73"/>
      <c r="AE656" s="73"/>
      <c r="AF656" s="73"/>
      <c r="AG656" s="73"/>
      <c r="AH656" s="73"/>
    </row>
    <row r="657" ht="15.75" customHeight="1">
      <c r="A657" s="73"/>
      <c r="B657" s="178"/>
      <c r="C657" s="179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2"/>
      <c r="AB657" s="72"/>
      <c r="AC657" s="73"/>
      <c r="AD657" s="73"/>
      <c r="AE657" s="73"/>
      <c r="AF657" s="73"/>
      <c r="AG657" s="73"/>
      <c r="AH657" s="73"/>
    </row>
    <row r="658" ht="15.75" customHeight="1">
      <c r="A658" s="73"/>
      <c r="B658" s="178"/>
      <c r="C658" s="179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2"/>
      <c r="AB658" s="72"/>
      <c r="AC658" s="73"/>
      <c r="AD658" s="73"/>
      <c r="AE658" s="73"/>
      <c r="AF658" s="73"/>
      <c r="AG658" s="73"/>
      <c r="AH658" s="73"/>
    </row>
    <row r="659" ht="15.75" customHeight="1">
      <c r="A659" s="73"/>
      <c r="B659" s="178"/>
      <c r="C659" s="179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2"/>
      <c r="AB659" s="72"/>
      <c r="AC659" s="73"/>
      <c r="AD659" s="73"/>
      <c r="AE659" s="73"/>
      <c r="AF659" s="73"/>
      <c r="AG659" s="73"/>
      <c r="AH659" s="73"/>
    </row>
    <row r="660" ht="15.75" customHeight="1">
      <c r="A660" s="73"/>
      <c r="B660" s="178"/>
      <c r="C660" s="179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2"/>
      <c r="AB660" s="72"/>
      <c r="AC660" s="73"/>
      <c r="AD660" s="73"/>
      <c r="AE660" s="73"/>
      <c r="AF660" s="73"/>
      <c r="AG660" s="73"/>
      <c r="AH660" s="73"/>
    </row>
    <row r="661" ht="15.75" customHeight="1">
      <c r="A661" s="73"/>
      <c r="B661" s="178"/>
      <c r="C661" s="179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2"/>
      <c r="AB661" s="72"/>
      <c r="AC661" s="73"/>
      <c r="AD661" s="73"/>
      <c r="AE661" s="73"/>
      <c r="AF661" s="73"/>
      <c r="AG661" s="73"/>
      <c r="AH661" s="73"/>
    </row>
    <row r="662" ht="15.75" customHeight="1">
      <c r="A662" s="73"/>
      <c r="B662" s="178"/>
      <c r="C662" s="179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2"/>
      <c r="AB662" s="72"/>
      <c r="AC662" s="73"/>
      <c r="AD662" s="73"/>
      <c r="AE662" s="73"/>
      <c r="AF662" s="73"/>
      <c r="AG662" s="73"/>
      <c r="AH662" s="73"/>
    </row>
    <row r="663" ht="15.75" customHeight="1">
      <c r="A663" s="73"/>
      <c r="B663" s="178"/>
      <c r="C663" s="179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2"/>
      <c r="AB663" s="72"/>
      <c r="AC663" s="73"/>
      <c r="AD663" s="73"/>
      <c r="AE663" s="73"/>
      <c r="AF663" s="73"/>
      <c r="AG663" s="73"/>
      <c r="AH663" s="73"/>
    </row>
    <row r="664" ht="15.75" customHeight="1">
      <c r="A664" s="73"/>
      <c r="B664" s="178"/>
      <c r="C664" s="179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2"/>
      <c r="AB664" s="72"/>
      <c r="AC664" s="73"/>
      <c r="AD664" s="73"/>
      <c r="AE664" s="73"/>
      <c r="AF664" s="73"/>
      <c r="AG664" s="73"/>
      <c r="AH664" s="73"/>
    </row>
    <row r="665" ht="15.75" customHeight="1">
      <c r="A665" s="73"/>
      <c r="B665" s="178"/>
      <c r="C665" s="179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2"/>
      <c r="AB665" s="72"/>
      <c r="AC665" s="73"/>
      <c r="AD665" s="73"/>
      <c r="AE665" s="73"/>
      <c r="AF665" s="73"/>
      <c r="AG665" s="73"/>
      <c r="AH665" s="73"/>
    </row>
    <row r="666" ht="15.75" customHeight="1">
      <c r="A666" s="73"/>
      <c r="B666" s="178"/>
      <c r="C666" s="179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2"/>
      <c r="AB666" s="72"/>
      <c r="AC666" s="73"/>
      <c r="AD666" s="73"/>
      <c r="AE666" s="73"/>
      <c r="AF666" s="73"/>
      <c r="AG666" s="73"/>
      <c r="AH666" s="73"/>
    </row>
    <row r="667" ht="15.75" customHeight="1">
      <c r="A667" s="73"/>
      <c r="B667" s="178"/>
      <c r="C667" s="179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2"/>
      <c r="AB667" s="72"/>
      <c r="AC667" s="73"/>
      <c r="AD667" s="73"/>
      <c r="AE667" s="73"/>
      <c r="AF667" s="73"/>
      <c r="AG667" s="73"/>
      <c r="AH667" s="73"/>
    </row>
    <row r="668" ht="15.75" customHeight="1">
      <c r="A668" s="73"/>
      <c r="B668" s="178"/>
      <c r="C668" s="179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2"/>
      <c r="AB668" s="72"/>
      <c r="AC668" s="73"/>
      <c r="AD668" s="73"/>
      <c r="AE668" s="73"/>
      <c r="AF668" s="73"/>
      <c r="AG668" s="73"/>
      <c r="AH668" s="73"/>
    </row>
    <row r="669" ht="15.75" customHeight="1">
      <c r="A669" s="73"/>
      <c r="B669" s="178"/>
      <c r="C669" s="179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2"/>
      <c r="AB669" s="72"/>
      <c r="AC669" s="73"/>
      <c r="AD669" s="73"/>
      <c r="AE669" s="73"/>
      <c r="AF669" s="73"/>
      <c r="AG669" s="73"/>
      <c r="AH669" s="73"/>
    </row>
    <row r="670" ht="15.75" customHeight="1">
      <c r="A670" s="73"/>
      <c r="B670" s="178"/>
      <c r="C670" s="179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2"/>
      <c r="AB670" s="72"/>
      <c r="AC670" s="73"/>
      <c r="AD670" s="73"/>
      <c r="AE670" s="73"/>
      <c r="AF670" s="73"/>
      <c r="AG670" s="73"/>
      <c r="AH670" s="73"/>
    </row>
    <row r="671" ht="15.75" customHeight="1">
      <c r="A671" s="73"/>
      <c r="B671" s="178"/>
      <c r="C671" s="179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2"/>
      <c r="AB671" s="72"/>
      <c r="AC671" s="73"/>
      <c r="AD671" s="73"/>
      <c r="AE671" s="73"/>
      <c r="AF671" s="73"/>
      <c r="AG671" s="73"/>
      <c r="AH671" s="73"/>
    </row>
    <row r="672" ht="15.75" customHeight="1">
      <c r="A672" s="73"/>
      <c r="B672" s="178"/>
      <c r="C672" s="179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2"/>
      <c r="AB672" s="72"/>
      <c r="AC672" s="73"/>
      <c r="AD672" s="73"/>
      <c r="AE672" s="73"/>
      <c r="AF672" s="73"/>
      <c r="AG672" s="73"/>
      <c r="AH672" s="73"/>
    </row>
    <row r="673" ht="15.75" customHeight="1">
      <c r="A673" s="73"/>
      <c r="B673" s="178"/>
      <c r="C673" s="179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2"/>
      <c r="AB673" s="72"/>
      <c r="AC673" s="73"/>
      <c r="AD673" s="73"/>
      <c r="AE673" s="73"/>
      <c r="AF673" s="73"/>
      <c r="AG673" s="73"/>
      <c r="AH673" s="73"/>
    </row>
    <row r="674" ht="15.75" customHeight="1">
      <c r="A674" s="73"/>
      <c r="B674" s="178"/>
      <c r="C674" s="179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2"/>
      <c r="AB674" s="72"/>
      <c r="AC674" s="73"/>
      <c r="AD674" s="73"/>
      <c r="AE674" s="73"/>
      <c r="AF674" s="73"/>
      <c r="AG674" s="73"/>
      <c r="AH674" s="73"/>
    </row>
    <row r="675" ht="15.75" customHeight="1">
      <c r="A675" s="73"/>
      <c r="B675" s="178"/>
      <c r="C675" s="179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2"/>
      <c r="AB675" s="72"/>
      <c r="AC675" s="73"/>
      <c r="AD675" s="73"/>
      <c r="AE675" s="73"/>
      <c r="AF675" s="73"/>
      <c r="AG675" s="73"/>
      <c r="AH675" s="73"/>
    </row>
    <row r="676" ht="15.75" customHeight="1">
      <c r="A676" s="73"/>
      <c r="B676" s="178"/>
      <c r="C676" s="179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2"/>
      <c r="AB676" s="72"/>
      <c r="AC676" s="73"/>
      <c r="AD676" s="73"/>
      <c r="AE676" s="73"/>
      <c r="AF676" s="73"/>
      <c r="AG676" s="73"/>
      <c r="AH676" s="73"/>
    </row>
    <row r="677" ht="15.75" customHeight="1">
      <c r="A677" s="73"/>
      <c r="B677" s="178"/>
      <c r="C677" s="179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2"/>
      <c r="AB677" s="72"/>
      <c r="AC677" s="73"/>
      <c r="AD677" s="73"/>
      <c r="AE677" s="73"/>
      <c r="AF677" s="73"/>
      <c r="AG677" s="73"/>
      <c r="AH677" s="73"/>
    </row>
    <row r="678" ht="15.75" customHeight="1">
      <c r="A678" s="73"/>
      <c r="B678" s="178"/>
      <c r="C678" s="179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2"/>
      <c r="AB678" s="72"/>
      <c r="AC678" s="73"/>
      <c r="AD678" s="73"/>
      <c r="AE678" s="73"/>
      <c r="AF678" s="73"/>
      <c r="AG678" s="73"/>
      <c r="AH678" s="73"/>
    </row>
    <row r="679" ht="15.75" customHeight="1">
      <c r="A679" s="73"/>
      <c r="B679" s="178"/>
      <c r="C679" s="179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2"/>
      <c r="AB679" s="72"/>
      <c r="AC679" s="73"/>
      <c r="AD679" s="73"/>
      <c r="AE679" s="73"/>
      <c r="AF679" s="73"/>
      <c r="AG679" s="73"/>
      <c r="AH679" s="73"/>
    </row>
    <row r="680" ht="15.75" customHeight="1">
      <c r="A680" s="73"/>
      <c r="B680" s="178"/>
      <c r="C680" s="179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2"/>
      <c r="AB680" s="72"/>
      <c r="AC680" s="73"/>
      <c r="AD680" s="73"/>
      <c r="AE680" s="73"/>
      <c r="AF680" s="73"/>
      <c r="AG680" s="73"/>
      <c r="AH680" s="73"/>
    </row>
    <row r="681" ht="15.75" customHeight="1">
      <c r="A681" s="73"/>
      <c r="B681" s="178"/>
      <c r="C681" s="179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2"/>
      <c r="AB681" s="72"/>
      <c r="AC681" s="73"/>
      <c r="AD681" s="73"/>
      <c r="AE681" s="73"/>
      <c r="AF681" s="73"/>
      <c r="AG681" s="73"/>
      <c r="AH681" s="73"/>
    </row>
    <row r="682" ht="15.75" customHeight="1">
      <c r="A682" s="73"/>
      <c r="B682" s="178"/>
      <c r="C682" s="179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2"/>
      <c r="AB682" s="72"/>
      <c r="AC682" s="73"/>
      <c r="AD682" s="73"/>
      <c r="AE682" s="73"/>
      <c r="AF682" s="73"/>
      <c r="AG682" s="73"/>
      <c r="AH682" s="73"/>
    </row>
    <row r="683" ht="15.75" customHeight="1">
      <c r="A683" s="73"/>
      <c r="B683" s="178"/>
      <c r="C683" s="179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2"/>
      <c r="AB683" s="72"/>
      <c r="AC683" s="73"/>
      <c r="AD683" s="73"/>
      <c r="AE683" s="73"/>
      <c r="AF683" s="73"/>
      <c r="AG683" s="73"/>
      <c r="AH683" s="73"/>
    </row>
    <row r="684" ht="15.75" customHeight="1">
      <c r="A684" s="73"/>
      <c r="B684" s="178"/>
      <c r="C684" s="179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2"/>
      <c r="AB684" s="72"/>
      <c r="AC684" s="73"/>
      <c r="AD684" s="73"/>
      <c r="AE684" s="73"/>
      <c r="AF684" s="73"/>
      <c r="AG684" s="73"/>
      <c r="AH684" s="73"/>
    </row>
    <row r="685" ht="15.75" customHeight="1">
      <c r="A685" s="73"/>
      <c r="B685" s="178"/>
      <c r="C685" s="179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2"/>
      <c r="AB685" s="72"/>
      <c r="AC685" s="73"/>
      <c r="AD685" s="73"/>
      <c r="AE685" s="73"/>
      <c r="AF685" s="73"/>
      <c r="AG685" s="73"/>
      <c r="AH685" s="73"/>
    </row>
    <row r="686" ht="15.75" customHeight="1">
      <c r="A686" s="73"/>
      <c r="B686" s="178"/>
      <c r="C686" s="179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2"/>
      <c r="AB686" s="72"/>
      <c r="AC686" s="73"/>
      <c r="AD686" s="73"/>
      <c r="AE686" s="73"/>
      <c r="AF686" s="73"/>
      <c r="AG686" s="73"/>
      <c r="AH686" s="73"/>
    </row>
    <row r="687" ht="15.75" customHeight="1">
      <c r="A687" s="73"/>
      <c r="B687" s="178"/>
      <c r="C687" s="179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2"/>
      <c r="AB687" s="72"/>
      <c r="AC687" s="73"/>
      <c r="AD687" s="73"/>
      <c r="AE687" s="73"/>
      <c r="AF687" s="73"/>
      <c r="AG687" s="73"/>
      <c r="AH687" s="73"/>
    </row>
    <row r="688" ht="15.75" customHeight="1">
      <c r="A688" s="73"/>
      <c r="B688" s="178"/>
      <c r="C688" s="179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2"/>
      <c r="AB688" s="72"/>
      <c r="AC688" s="73"/>
      <c r="AD688" s="73"/>
      <c r="AE688" s="73"/>
      <c r="AF688" s="73"/>
      <c r="AG688" s="73"/>
      <c r="AH688" s="73"/>
    </row>
    <row r="689" ht="15.75" customHeight="1">
      <c r="A689" s="73"/>
      <c r="B689" s="178"/>
      <c r="C689" s="179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2"/>
      <c r="AB689" s="72"/>
      <c r="AC689" s="73"/>
      <c r="AD689" s="73"/>
      <c r="AE689" s="73"/>
      <c r="AF689" s="73"/>
      <c r="AG689" s="73"/>
      <c r="AH689" s="73"/>
    </row>
    <row r="690" ht="15.75" customHeight="1">
      <c r="A690" s="73"/>
      <c r="B690" s="178"/>
      <c r="C690" s="179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2"/>
      <c r="AB690" s="72"/>
      <c r="AC690" s="73"/>
      <c r="AD690" s="73"/>
      <c r="AE690" s="73"/>
      <c r="AF690" s="73"/>
      <c r="AG690" s="73"/>
      <c r="AH690" s="73"/>
    </row>
    <row r="691" ht="15.75" customHeight="1">
      <c r="A691" s="73"/>
      <c r="B691" s="178"/>
      <c r="C691" s="179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2"/>
      <c r="AB691" s="72"/>
      <c r="AC691" s="73"/>
      <c r="AD691" s="73"/>
      <c r="AE691" s="73"/>
      <c r="AF691" s="73"/>
      <c r="AG691" s="73"/>
      <c r="AH691" s="73"/>
    </row>
    <row r="692" ht="15.75" customHeight="1">
      <c r="A692" s="73"/>
      <c r="B692" s="178"/>
      <c r="C692" s="179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2"/>
      <c r="AB692" s="72"/>
      <c r="AC692" s="73"/>
      <c r="AD692" s="73"/>
      <c r="AE692" s="73"/>
      <c r="AF692" s="73"/>
      <c r="AG692" s="73"/>
      <c r="AH692" s="73"/>
    </row>
    <row r="693" ht="15.75" customHeight="1">
      <c r="A693" s="73"/>
      <c r="B693" s="178"/>
      <c r="C693" s="179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2"/>
      <c r="AB693" s="72"/>
      <c r="AC693" s="73"/>
      <c r="AD693" s="73"/>
      <c r="AE693" s="73"/>
      <c r="AF693" s="73"/>
      <c r="AG693" s="73"/>
      <c r="AH693" s="73"/>
    </row>
    <row r="694" ht="15.75" customHeight="1">
      <c r="A694" s="73"/>
      <c r="B694" s="178"/>
      <c r="C694" s="179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2"/>
      <c r="AB694" s="72"/>
      <c r="AC694" s="73"/>
      <c r="AD694" s="73"/>
      <c r="AE694" s="73"/>
      <c r="AF694" s="73"/>
      <c r="AG694" s="73"/>
      <c r="AH694" s="73"/>
    </row>
    <row r="695" ht="15.75" customHeight="1">
      <c r="A695" s="73"/>
      <c r="B695" s="178"/>
      <c r="C695" s="179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2"/>
      <c r="AB695" s="72"/>
      <c r="AC695" s="73"/>
      <c r="AD695" s="73"/>
      <c r="AE695" s="73"/>
      <c r="AF695" s="73"/>
      <c r="AG695" s="73"/>
      <c r="AH695" s="73"/>
    </row>
    <row r="696" ht="15.75" customHeight="1">
      <c r="A696" s="73"/>
      <c r="B696" s="178"/>
      <c r="C696" s="179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2"/>
      <c r="AB696" s="72"/>
      <c r="AC696" s="73"/>
      <c r="AD696" s="73"/>
      <c r="AE696" s="73"/>
      <c r="AF696" s="73"/>
      <c r="AG696" s="73"/>
      <c r="AH696" s="73"/>
    </row>
    <row r="697" ht="15.75" customHeight="1">
      <c r="A697" s="73"/>
      <c r="B697" s="178"/>
      <c r="C697" s="179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2"/>
      <c r="AB697" s="72"/>
      <c r="AC697" s="73"/>
      <c r="AD697" s="73"/>
      <c r="AE697" s="73"/>
      <c r="AF697" s="73"/>
      <c r="AG697" s="73"/>
      <c r="AH697" s="73"/>
    </row>
    <row r="698" ht="15.75" customHeight="1">
      <c r="A698" s="73"/>
      <c r="B698" s="178"/>
      <c r="C698" s="179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2"/>
      <c r="AB698" s="72"/>
      <c r="AC698" s="73"/>
      <c r="AD698" s="73"/>
      <c r="AE698" s="73"/>
      <c r="AF698" s="73"/>
      <c r="AG698" s="73"/>
      <c r="AH698" s="73"/>
    </row>
    <row r="699" ht="15.75" customHeight="1">
      <c r="A699" s="73"/>
      <c r="B699" s="178"/>
      <c r="C699" s="179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2"/>
      <c r="AB699" s="72"/>
      <c r="AC699" s="73"/>
      <c r="AD699" s="73"/>
      <c r="AE699" s="73"/>
      <c r="AF699" s="73"/>
      <c r="AG699" s="73"/>
      <c r="AH699" s="73"/>
    </row>
    <row r="700" ht="15.75" customHeight="1">
      <c r="A700" s="73"/>
      <c r="B700" s="178"/>
      <c r="C700" s="179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2"/>
      <c r="AB700" s="72"/>
      <c r="AC700" s="73"/>
      <c r="AD700" s="73"/>
      <c r="AE700" s="73"/>
      <c r="AF700" s="73"/>
      <c r="AG700" s="73"/>
      <c r="AH700" s="73"/>
    </row>
    <row r="701" ht="15.75" customHeight="1">
      <c r="A701" s="73"/>
      <c r="B701" s="178"/>
      <c r="C701" s="179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2"/>
      <c r="AB701" s="72"/>
      <c r="AC701" s="73"/>
      <c r="AD701" s="73"/>
      <c r="AE701" s="73"/>
      <c r="AF701" s="73"/>
      <c r="AG701" s="73"/>
      <c r="AH701" s="73"/>
    </row>
    <row r="702" ht="15.75" customHeight="1">
      <c r="A702" s="73"/>
      <c r="B702" s="178"/>
      <c r="C702" s="179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2"/>
      <c r="AB702" s="72"/>
      <c r="AC702" s="73"/>
      <c r="AD702" s="73"/>
      <c r="AE702" s="73"/>
      <c r="AF702" s="73"/>
      <c r="AG702" s="73"/>
      <c r="AH702" s="73"/>
    </row>
    <row r="703" ht="15.75" customHeight="1">
      <c r="A703" s="73"/>
      <c r="B703" s="178"/>
      <c r="C703" s="179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2"/>
      <c r="AB703" s="72"/>
      <c r="AC703" s="73"/>
      <c r="AD703" s="73"/>
      <c r="AE703" s="73"/>
      <c r="AF703" s="73"/>
      <c r="AG703" s="73"/>
      <c r="AH703" s="73"/>
    </row>
    <row r="704" ht="15.75" customHeight="1">
      <c r="A704" s="73"/>
      <c r="B704" s="178"/>
      <c r="C704" s="179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2"/>
      <c r="AB704" s="72"/>
      <c r="AC704" s="73"/>
      <c r="AD704" s="73"/>
      <c r="AE704" s="73"/>
      <c r="AF704" s="73"/>
      <c r="AG704" s="73"/>
      <c r="AH704" s="73"/>
    </row>
    <row r="705" ht="15.75" customHeight="1">
      <c r="A705" s="73"/>
      <c r="B705" s="178"/>
      <c r="C705" s="179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2"/>
      <c r="AB705" s="72"/>
      <c r="AC705" s="73"/>
      <c r="AD705" s="73"/>
      <c r="AE705" s="73"/>
      <c r="AF705" s="73"/>
      <c r="AG705" s="73"/>
      <c r="AH705" s="73"/>
    </row>
    <row r="706" ht="15.75" customHeight="1">
      <c r="A706" s="73"/>
      <c r="B706" s="178"/>
      <c r="C706" s="179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2"/>
      <c r="AB706" s="72"/>
      <c r="AC706" s="73"/>
      <c r="AD706" s="73"/>
      <c r="AE706" s="73"/>
      <c r="AF706" s="73"/>
      <c r="AG706" s="73"/>
      <c r="AH706" s="73"/>
    </row>
    <row r="707" ht="15.75" customHeight="1">
      <c r="A707" s="73"/>
      <c r="B707" s="178"/>
      <c r="C707" s="179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2"/>
      <c r="AB707" s="72"/>
      <c r="AC707" s="73"/>
      <c r="AD707" s="73"/>
      <c r="AE707" s="73"/>
      <c r="AF707" s="73"/>
      <c r="AG707" s="73"/>
      <c r="AH707" s="73"/>
    </row>
    <row r="708" ht="15.75" customHeight="1">
      <c r="A708" s="73"/>
      <c r="B708" s="178"/>
      <c r="C708" s="179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2"/>
      <c r="AB708" s="72"/>
      <c r="AC708" s="73"/>
      <c r="AD708" s="73"/>
      <c r="AE708" s="73"/>
      <c r="AF708" s="73"/>
      <c r="AG708" s="73"/>
      <c r="AH708" s="73"/>
    </row>
    <row r="709" ht="15.75" customHeight="1">
      <c r="A709" s="73"/>
      <c r="B709" s="178"/>
      <c r="C709" s="179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2"/>
      <c r="AB709" s="72"/>
      <c r="AC709" s="73"/>
      <c r="AD709" s="73"/>
      <c r="AE709" s="73"/>
      <c r="AF709" s="73"/>
      <c r="AG709" s="73"/>
      <c r="AH709" s="73"/>
    </row>
    <row r="710" ht="15.75" customHeight="1">
      <c r="A710" s="73"/>
      <c r="B710" s="178"/>
      <c r="C710" s="179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2"/>
      <c r="AB710" s="72"/>
      <c r="AC710" s="73"/>
      <c r="AD710" s="73"/>
      <c r="AE710" s="73"/>
      <c r="AF710" s="73"/>
      <c r="AG710" s="73"/>
      <c r="AH710" s="73"/>
    </row>
    <row r="711" ht="15.75" customHeight="1">
      <c r="A711" s="73"/>
      <c r="B711" s="178"/>
      <c r="C711" s="179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2"/>
      <c r="AB711" s="72"/>
      <c r="AC711" s="73"/>
      <c r="AD711" s="73"/>
      <c r="AE711" s="73"/>
      <c r="AF711" s="73"/>
      <c r="AG711" s="73"/>
      <c r="AH711" s="73"/>
    </row>
    <row r="712" ht="15.75" customHeight="1">
      <c r="A712" s="73"/>
      <c r="B712" s="178"/>
      <c r="C712" s="179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2"/>
      <c r="AB712" s="72"/>
      <c r="AC712" s="73"/>
      <c r="AD712" s="73"/>
      <c r="AE712" s="73"/>
      <c r="AF712" s="73"/>
      <c r="AG712" s="73"/>
      <c r="AH712" s="73"/>
    </row>
    <row r="713" ht="15.75" customHeight="1">
      <c r="A713" s="73"/>
      <c r="B713" s="178"/>
      <c r="C713" s="179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2"/>
      <c r="AB713" s="72"/>
      <c r="AC713" s="73"/>
      <c r="AD713" s="73"/>
      <c r="AE713" s="73"/>
      <c r="AF713" s="73"/>
      <c r="AG713" s="73"/>
      <c r="AH713" s="73"/>
    </row>
    <row r="714" ht="15.75" customHeight="1">
      <c r="A714" s="73"/>
      <c r="B714" s="178"/>
      <c r="C714" s="179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2"/>
      <c r="AB714" s="72"/>
      <c r="AC714" s="73"/>
      <c r="AD714" s="73"/>
      <c r="AE714" s="73"/>
      <c r="AF714" s="73"/>
      <c r="AG714" s="73"/>
      <c r="AH714" s="73"/>
    </row>
    <row r="715" ht="15.75" customHeight="1">
      <c r="A715" s="73"/>
      <c r="B715" s="178"/>
      <c r="C715" s="179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2"/>
      <c r="AB715" s="72"/>
      <c r="AC715" s="73"/>
      <c r="AD715" s="73"/>
      <c r="AE715" s="73"/>
      <c r="AF715" s="73"/>
      <c r="AG715" s="73"/>
      <c r="AH715" s="73"/>
    </row>
    <row r="716" ht="15.75" customHeight="1">
      <c r="A716" s="73"/>
      <c r="B716" s="178"/>
      <c r="C716" s="179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2"/>
      <c r="AB716" s="72"/>
      <c r="AC716" s="73"/>
      <c r="AD716" s="73"/>
      <c r="AE716" s="73"/>
      <c r="AF716" s="73"/>
      <c r="AG716" s="73"/>
      <c r="AH716" s="73"/>
    </row>
    <row r="717" ht="15.75" customHeight="1">
      <c r="A717" s="73"/>
      <c r="B717" s="178"/>
      <c r="C717" s="179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2"/>
      <c r="AB717" s="72"/>
      <c r="AC717" s="73"/>
      <c r="AD717" s="73"/>
      <c r="AE717" s="73"/>
      <c r="AF717" s="73"/>
      <c r="AG717" s="73"/>
      <c r="AH717" s="73"/>
    </row>
    <row r="718" ht="15.75" customHeight="1">
      <c r="A718" s="73"/>
      <c r="B718" s="178"/>
      <c r="C718" s="179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2"/>
      <c r="AB718" s="72"/>
      <c r="AC718" s="73"/>
      <c r="AD718" s="73"/>
      <c r="AE718" s="73"/>
      <c r="AF718" s="73"/>
      <c r="AG718" s="73"/>
      <c r="AH718" s="73"/>
    </row>
    <row r="719" ht="15.75" customHeight="1">
      <c r="A719" s="73"/>
      <c r="B719" s="178"/>
      <c r="C719" s="179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2"/>
      <c r="AB719" s="72"/>
      <c r="AC719" s="73"/>
      <c r="AD719" s="73"/>
      <c r="AE719" s="73"/>
      <c r="AF719" s="73"/>
      <c r="AG719" s="73"/>
      <c r="AH719" s="73"/>
    </row>
    <row r="720" ht="15.75" customHeight="1">
      <c r="A720" s="73"/>
      <c r="B720" s="178"/>
      <c r="C720" s="179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2"/>
      <c r="AB720" s="72"/>
      <c r="AC720" s="73"/>
      <c r="AD720" s="73"/>
      <c r="AE720" s="73"/>
      <c r="AF720" s="73"/>
      <c r="AG720" s="73"/>
      <c r="AH720" s="73"/>
    </row>
    <row r="721" ht="15.75" customHeight="1">
      <c r="A721" s="73"/>
      <c r="B721" s="178"/>
      <c r="C721" s="179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2"/>
      <c r="AB721" s="72"/>
      <c r="AC721" s="73"/>
      <c r="AD721" s="73"/>
      <c r="AE721" s="73"/>
      <c r="AF721" s="73"/>
      <c r="AG721" s="73"/>
      <c r="AH721" s="73"/>
    </row>
    <row r="722" ht="15.75" customHeight="1">
      <c r="A722" s="73"/>
      <c r="B722" s="178"/>
      <c r="C722" s="179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2"/>
      <c r="AB722" s="72"/>
      <c r="AC722" s="73"/>
      <c r="AD722" s="73"/>
      <c r="AE722" s="73"/>
      <c r="AF722" s="73"/>
      <c r="AG722" s="73"/>
      <c r="AH722" s="73"/>
    </row>
    <row r="723" ht="15.75" customHeight="1">
      <c r="A723" s="73"/>
      <c r="B723" s="178"/>
      <c r="C723" s="179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2"/>
      <c r="AB723" s="72"/>
      <c r="AC723" s="73"/>
      <c r="AD723" s="73"/>
      <c r="AE723" s="73"/>
      <c r="AF723" s="73"/>
      <c r="AG723" s="73"/>
      <c r="AH723" s="73"/>
    </row>
    <row r="724" ht="15.75" customHeight="1">
      <c r="A724" s="73"/>
      <c r="B724" s="178"/>
      <c r="C724" s="179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2"/>
      <c r="AB724" s="72"/>
      <c r="AC724" s="73"/>
      <c r="AD724" s="73"/>
      <c r="AE724" s="73"/>
      <c r="AF724" s="73"/>
      <c r="AG724" s="73"/>
      <c r="AH724" s="73"/>
    </row>
    <row r="725" ht="15.75" customHeight="1">
      <c r="A725" s="73"/>
      <c r="B725" s="178"/>
      <c r="C725" s="179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2"/>
      <c r="AB725" s="72"/>
      <c r="AC725" s="73"/>
      <c r="AD725" s="73"/>
      <c r="AE725" s="73"/>
      <c r="AF725" s="73"/>
      <c r="AG725" s="73"/>
      <c r="AH725" s="73"/>
    </row>
    <row r="726" ht="15.75" customHeight="1">
      <c r="A726" s="73"/>
      <c r="B726" s="178"/>
      <c r="C726" s="179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2"/>
      <c r="AB726" s="72"/>
      <c r="AC726" s="73"/>
      <c r="AD726" s="73"/>
      <c r="AE726" s="73"/>
      <c r="AF726" s="73"/>
      <c r="AG726" s="73"/>
      <c r="AH726" s="73"/>
    </row>
    <row r="727" ht="15.75" customHeight="1">
      <c r="A727" s="73"/>
      <c r="B727" s="178"/>
      <c r="C727" s="179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2"/>
      <c r="AB727" s="72"/>
      <c r="AC727" s="73"/>
      <c r="AD727" s="73"/>
      <c r="AE727" s="73"/>
      <c r="AF727" s="73"/>
      <c r="AG727" s="73"/>
      <c r="AH727" s="73"/>
    </row>
    <row r="728" ht="15.75" customHeight="1">
      <c r="A728" s="73"/>
      <c r="B728" s="178"/>
      <c r="C728" s="179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2"/>
      <c r="AB728" s="72"/>
      <c r="AC728" s="73"/>
      <c r="AD728" s="73"/>
      <c r="AE728" s="73"/>
      <c r="AF728" s="73"/>
      <c r="AG728" s="73"/>
      <c r="AH728" s="73"/>
    </row>
    <row r="729" ht="15.75" customHeight="1">
      <c r="A729" s="73"/>
      <c r="B729" s="178"/>
      <c r="C729" s="179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2"/>
      <c r="AB729" s="72"/>
      <c r="AC729" s="73"/>
      <c r="AD729" s="73"/>
      <c r="AE729" s="73"/>
      <c r="AF729" s="73"/>
      <c r="AG729" s="73"/>
      <c r="AH729" s="73"/>
    </row>
    <row r="730" ht="15.75" customHeight="1">
      <c r="A730" s="73"/>
      <c r="B730" s="178"/>
      <c r="C730" s="179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2"/>
      <c r="AB730" s="72"/>
      <c r="AC730" s="73"/>
      <c r="AD730" s="73"/>
      <c r="AE730" s="73"/>
      <c r="AF730" s="73"/>
      <c r="AG730" s="73"/>
      <c r="AH730" s="73"/>
    </row>
    <row r="731" ht="15.75" customHeight="1">
      <c r="A731" s="73"/>
      <c r="B731" s="178"/>
      <c r="C731" s="179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2"/>
      <c r="AB731" s="72"/>
      <c r="AC731" s="73"/>
      <c r="AD731" s="73"/>
      <c r="AE731" s="73"/>
      <c r="AF731" s="73"/>
      <c r="AG731" s="73"/>
      <c r="AH731" s="73"/>
    </row>
    <row r="732" ht="15.75" customHeight="1">
      <c r="A732" s="73"/>
      <c r="B732" s="178"/>
      <c r="C732" s="179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2"/>
      <c r="AB732" s="72"/>
      <c r="AC732" s="73"/>
      <c r="AD732" s="73"/>
      <c r="AE732" s="73"/>
      <c r="AF732" s="73"/>
      <c r="AG732" s="73"/>
      <c r="AH732" s="73"/>
    </row>
    <row r="733" ht="15.75" customHeight="1">
      <c r="A733" s="73"/>
      <c r="B733" s="178"/>
      <c r="C733" s="179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2"/>
      <c r="AB733" s="72"/>
      <c r="AC733" s="73"/>
      <c r="AD733" s="73"/>
      <c r="AE733" s="73"/>
      <c r="AF733" s="73"/>
      <c r="AG733" s="73"/>
      <c r="AH733" s="73"/>
    </row>
    <row r="734" ht="15.75" customHeight="1">
      <c r="A734" s="73"/>
      <c r="B734" s="178"/>
      <c r="C734" s="179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2"/>
      <c r="AB734" s="72"/>
      <c r="AC734" s="73"/>
      <c r="AD734" s="73"/>
      <c r="AE734" s="73"/>
      <c r="AF734" s="73"/>
      <c r="AG734" s="73"/>
      <c r="AH734" s="73"/>
    </row>
    <row r="735" ht="15.75" customHeight="1">
      <c r="A735" s="73"/>
      <c r="B735" s="178"/>
      <c r="C735" s="179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2"/>
      <c r="AB735" s="72"/>
      <c r="AC735" s="73"/>
      <c r="AD735" s="73"/>
      <c r="AE735" s="73"/>
      <c r="AF735" s="73"/>
      <c r="AG735" s="73"/>
      <c r="AH735" s="73"/>
    </row>
    <row r="736" ht="15.75" customHeight="1">
      <c r="A736" s="73"/>
      <c r="B736" s="178"/>
      <c r="C736" s="179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2"/>
      <c r="AB736" s="72"/>
      <c r="AC736" s="73"/>
      <c r="AD736" s="73"/>
      <c r="AE736" s="73"/>
      <c r="AF736" s="73"/>
      <c r="AG736" s="73"/>
      <c r="AH736" s="73"/>
    </row>
    <row r="737" ht="15.75" customHeight="1">
      <c r="A737" s="73"/>
      <c r="B737" s="178"/>
      <c r="C737" s="179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2"/>
      <c r="AB737" s="72"/>
      <c r="AC737" s="73"/>
      <c r="AD737" s="73"/>
      <c r="AE737" s="73"/>
      <c r="AF737" s="73"/>
      <c r="AG737" s="73"/>
      <c r="AH737" s="73"/>
    </row>
    <row r="738" ht="15.75" customHeight="1">
      <c r="A738" s="73"/>
      <c r="B738" s="178"/>
      <c r="C738" s="179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2"/>
      <c r="AB738" s="72"/>
      <c r="AC738" s="73"/>
      <c r="AD738" s="73"/>
      <c r="AE738" s="73"/>
      <c r="AF738" s="73"/>
      <c r="AG738" s="73"/>
      <c r="AH738" s="73"/>
    </row>
    <row r="739" ht="15.75" customHeight="1">
      <c r="A739" s="73"/>
      <c r="B739" s="178"/>
      <c r="C739" s="179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2"/>
      <c r="AB739" s="72"/>
      <c r="AC739" s="73"/>
      <c r="AD739" s="73"/>
      <c r="AE739" s="73"/>
      <c r="AF739" s="73"/>
      <c r="AG739" s="73"/>
      <c r="AH739" s="73"/>
    </row>
    <row r="740" ht="15.75" customHeight="1">
      <c r="A740" s="73"/>
      <c r="B740" s="178"/>
      <c r="C740" s="179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2"/>
      <c r="AB740" s="72"/>
      <c r="AC740" s="73"/>
      <c r="AD740" s="73"/>
      <c r="AE740" s="73"/>
      <c r="AF740" s="73"/>
      <c r="AG740" s="73"/>
      <c r="AH740" s="73"/>
    </row>
    <row r="741" ht="15.75" customHeight="1">
      <c r="A741" s="73"/>
      <c r="B741" s="178"/>
      <c r="C741" s="179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2"/>
      <c r="AB741" s="72"/>
      <c r="AC741" s="73"/>
      <c r="AD741" s="73"/>
      <c r="AE741" s="73"/>
      <c r="AF741" s="73"/>
      <c r="AG741" s="73"/>
      <c r="AH741" s="73"/>
    </row>
    <row r="742" ht="15.75" customHeight="1">
      <c r="A742" s="73"/>
      <c r="B742" s="178"/>
      <c r="C742" s="179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2"/>
      <c r="AB742" s="72"/>
      <c r="AC742" s="73"/>
      <c r="AD742" s="73"/>
      <c r="AE742" s="73"/>
      <c r="AF742" s="73"/>
      <c r="AG742" s="73"/>
      <c r="AH742" s="73"/>
    </row>
    <row r="743" ht="15.75" customHeight="1">
      <c r="A743" s="73"/>
      <c r="B743" s="178"/>
      <c r="C743" s="179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2"/>
      <c r="AB743" s="72"/>
      <c r="AC743" s="73"/>
      <c r="AD743" s="73"/>
      <c r="AE743" s="73"/>
      <c r="AF743" s="73"/>
      <c r="AG743" s="73"/>
      <c r="AH743" s="73"/>
    </row>
    <row r="744" ht="15.75" customHeight="1">
      <c r="A744" s="73"/>
      <c r="B744" s="178"/>
      <c r="C744" s="179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2"/>
      <c r="AB744" s="72"/>
      <c r="AC744" s="73"/>
      <c r="AD744" s="73"/>
      <c r="AE744" s="73"/>
      <c r="AF744" s="73"/>
      <c r="AG744" s="73"/>
      <c r="AH744" s="73"/>
    </row>
    <row r="745" ht="15.75" customHeight="1">
      <c r="A745" s="73"/>
      <c r="B745" s="178"/>
      <c r="C745" s="179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2"/>
      <c r="AB745" s="72"/>
      <c r="AC745" s="73"/>
      <c r="AD745" s="73"/>
      <c r="AE745" s="73"/>
      <c r="AF745" s="73"/>
      <c r="AG745" s="73"/>
      <c r="AH745" s="73"/>
    </row>
    <row r="746" ht="15.75" customHeight="1">
      <c r="A746" s="73"/>
      <c r="B746" s="178"/>
      <c r="C746" s="179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2"/>
      <c r="AB746" s="72"/>
      <c r="AC746" s="73"/>
      <c r="AD746" s="73"/>
      <c r="AE746" s="73"/>
      <c r="AF746" s="73"/>
      <c r="AG746" s="73"/>
      <c r="AH746" s="73"/>
    </row>
    <row r="747" ht="15.75" customHeight="1">
      <c r="A747" s="73"/>
      <c r="B747" s="178"/>
      <c r="C747" s="179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2"/>
      <c r="AB747" s="72"/>
      <c r="AC747" s="73"/>
      <c r="AD747" s="73"/>
      <c r="AE747" s="73"/>
      <c r="AF747" s="73"/>
      <c r="AG747" s="73"/>
      <c r="AH747" s="73"/>
    </row>
    <row r="748" ht="15.75" customHeight="1">
      <c r="A748" s="73"/>
      <c r="B748" s="178"/>
      <c r="C748" s="179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2"/>
      <c r="AB748" s="72"/>
      <c r="AC748" s="73"/>
      <c r="AD748" s="73"/>
      <c r="AE748" s="73"/>
      <c r="AF748" s="73"/>
      <c r="AG748" s="73"/>
      <c r="AH748" s="73"/>
    </row>
    <row r="749" ht="15.75" customHeight="1">
      <c r="A749" s="73"/>
      <c r="B749" s="178"/>
      <c r="C749" s="179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2"/>
      <c r="AB749" s="72"/>
      <c r="AC749" s="73"/>
      <c r="AD749" s="73"/>
      <c r="AE749" s="73"/>
      <c r="AF749" s="73"/>
      <c r="AG749" s="73"/>
      <c r="AH749" s="73"/>
    </row>
    <row r="750" ht="15.75" customHeight="1">
      <c r="A750" s="73"/>
      <c r="B750" s="178"/>
      <c r="C750" s="179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2"/>
      <c r="AB750" s="72"/>
      <c r="AC750" s="73"/>
      <c r="AD750" s="73"/>
      <c r="AE750" s="73"/>
      <c r="AF750" s="73"/>
      <c r="AG750" s="73"/>
      <c r="AH750" s="73"/>
    </row>
    <row r="751" ht="15.75" customHeight="1">
      <c r="A751" s="73"/>
      <c r="B751" s="178"/>
      <c r="C751" s="179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2"/>
      <c r="AB751" s="72"/>
      <c r="AC751" s="73"/>
      <c r="AD751" s="73"/>
      <c r="AE751" s="73"/>
      <c r="AF751" s="73"/>
      <c r="AG751" s="73"/>
      <c r="AH751" s="73"/>
    </row>
    <row r="752" ht="15.75" customHeight="1">
      <c r="A752" s="73"/>
      <c r="B752" s="178"/>
      <c r="C752" s="179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2"/>
      <c r="AB752" s="72"/>
      <c r="AC752" s="73"/>
      <c r="AD752" s="73"/>
      <c r="AE752" s="73"/>
      <c r="AF752" s="73"/>
      <c r="AG752" s="73"/>
      <c r="AH752" s="73"/>
    </row>
    <row r="753" ht="15.75" customHeight="1">
      <c r="A753" s="73"/>
      <c r="B753" s="178"/>
      <c r="C753" s="179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2"/>
      <c r="AB753" s="72"/>
      <c r="AC753" s="73"/>
      <c r="AD753" s="73"/>
      <c r="AE753" s="73"/>
      <c r="AF753" s="73"/>
      <c r="AG753" s="73"/>
      <c r="AH753" s="73"/>
    </row>
    <row r="754" ht="15.75" customHeight="1">
      <c r="A754" s="73"/>
      <c r="B754" s="178"/>
      <c r="C754" s="179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2"/>
      <c r="AB754" s="72"/>
      <c r="AC754" s="73"/>
      <c r="AD754" s="73"/>
      <c r="AE754" s="73"/>
      <c r="AF754" s="73"/>
      <c r="AG754" s="73"/>
      <c r="AH754" s="73"/>
    </row>
    <row r="755" ht="15.75" customHeight="1">
      <c r="A755" s="73"/>
      <c r="B755" s="178"/>
      <c r="C755" s="179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2"/>
      <c r="AB755" s="72"/>
      <c r="AC755" s="73"/>
      <c r="AD755" s="73"/>
      <c r="AE755" s="73"/>
      <c r="AF755" s="73"/>
      <c r="AG755" s="73"/>
      <c r="AH755" s="73"/>
    </row>
    <row r="756" ht="15.75" customHeight="1">
      <c r="A756" s="73"/>
      <c r="B756" s="178"/>
      <c r="C756" s="179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2"/>
      <c r="AB756" s="72"/>
      <c r="AC756" s="73"/>
      <c r="AD756" s="73"/>
      <c r="AE756" s="73"/>
      <c r="AF756" s="73"/>
      <c r="AG756" s="73"/>
      <c r="AH756" s="73"/>
    </row>
    <row r="757" ht="15.75" customHeight="1">
      <c r="A757" s="73"/>
      <c r="B757" s="178"/>
      <c r="C757" s="179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2"/>
      <c r="AB757" s="72"/>
      <c r="AC757" s="73"/>
      <c r="AD757" s="73"/>
      <c r="AE757" s="73"/>
      <c r="AF757" s="73"/>
      <c r="AG757" s="73"/>
      <c r="AH757" s="73"/>
    </row>
    <row r="758" ht="15.75" customHeight="1">
      <c r="A758" s="73"/>
      <c r="B758" s="178"/>
      <c r="C758" s="179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2"/>
      <c r="AB758" s="72"/>
      <c r="AC758" s="73"/>
      <c r="AD758" s="73"/>
      <c r="AE758" s="73"/>
      <c r="AF758" s="73"/>
      <c r="AG758" s="73"/>
      <c r="AH758" s="73"/>
    </row>
    <row r="759" ht="15.75" customHeight="1">
      <c r="A759" s="73"/>
      <c r="B759" s="178"/>
      <c r="C759" s="179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2"/>
      <c r="AB759" s="72"/>
      <c r="AC759" s="73"/>
      <c r="AD759" s="73"/>
      <c r="AE759" s="73"/>
      <c r="AF759" s="73"/>
      <c r="AG759" s="73"/>
      <c r="AH759" s="73"/>
    </row>
    <row r="760" ht="15.75" customHeight="1">
      <c r="A760" s="73"/>
      <c r="B760" s="178"/>
      <c r="C760" s="179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2"/>
      <c r="AB760" s="72"/>
      <c r="AC760" s="73"/>
      <c r="AD760" s="73"/>
      <c r="AE760" s="73"/>
      <c r="AF760" s="73"/>
      <c r="AG760" s="73"/>
      <c r="AH760" s="73"/>
    </row>
    <row r="761" ht="15.75" customHeight="1">
      <c r="A761" s="73"/>
      <c r="B761" s="178"/>
      <c r="C761" s="179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2"/>
      <c r="AB761" s="72"/>
      <c r="AC761" s="73"/>
      <c r="AD761" s="73"/>
      <c r="AE761" s="73"/>
      <c r="AF761" s="73"/>
      <c r="AG761" s="73"/>
      <c r="AH761" s="73"/>
    </row>
    <row r="762" ht="15.75" customHeight="1">
      <c r="A762" s="73"/>
      <c r="B762" s="178"/>
      <c r="C762" s="179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2"/>
      <c r="AB762" s="72"/>
      <c r="AC762" s="73"/>
      <c r="AD762" s="73"/>
      <c r="AE762" s="73"/>
      <c r="AF762" s="73"/>
      <c r="AG762" s="73"/>
      <c r="AH762" s="73"/>
    </row>
    <row r="763" ht="15.75" customHeight="1">
      <c r="A763" s="73"/>
      <c r="B763" s="178"/>
      <c r="C763" s="179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2"/>
      <c r="AB763" s="72"/>
      <c r="AC763" s="73"/>
      <c r="AD763" s="73"/>
      <c r="AE763" s="73"/>
      <c r="AF763" s="73"/>
      <c r="AG763" s="73"/>
      <c r="AH763" s="73"/>
    </row>
    <row r="764" ht="15.75" customHeight="1">
      <c r="A764" s="73"/>
      <c r="B764" s="178"/>
      <c r="C764" s="179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2"/>
      <c r="AB764" s="72"/>
      <c r="AC764" s="73"/>
      <c r="AD764" s="73"/>
      <c r="AE764" s="73"/>
      <c r="AF764" s="73"/>
      <c r="AG764" s="73"/>
      <c r="AH764" s="73"/>
    </row>
    <row r="765" ht="15.75" customHeight="1">
      <c r="A765" s="73"/>
      <c r="B765" s="178"/>
      <c r="C765" s="179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2"/>
      <c r="AB765" s="72"/>
      <c r="AC765" s="73"/>
      <c r="AD765" s="73"/>
      <c r="AE765" s="73"/>
      <c r="AF765" s="73"/>
      <c r="AG765" s="73"/>
      <c r="AH765" s="73"/>
    </row>
    <row r="766" ht="15.75" customHeight="1">
      <c r="A766" s="73"/>
      <c r="B766" s="178"/>
      <c r="C766" s="179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2"/>
      <c r="AB766" s="72"/>
      <c r="AC766" s="73"/>
      <c r="AD766" s="73"/>
      <c r="AE766" s="73"/>
      <c r="AF766" s="73"/>
      <c r="AG766" s="73"/>
      <c r="AH766" s="73"/>
    </row>
    <row r="767" ht="15.75" customHeight="1">
      <c r="A767" s="73"/>
      <c r="B767" s="178"/>
      <c r="C767" s="179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2"/>
      <c r="AB767" s="72"/>
      <c r="AC767" s="73"/>
      <c r="AD767" s="73"/>
      <c r="AE767" s="73"/>
      <c r="AF767" s="73"/>
      <c r="AG767" s="73"/>
      <c r="AH767" s="73"/>
    </row>
    <row r="768" ht="15.75" customHeight="1">
      <c r="A768" s="73"/>
      <c r="B768" s="178"/>
      <c r="C768" s="179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2"/>
      <c r="AB768" s="72"/>
      <c r="AC768" s="73"/>
      <c r="AD768" s="73"/>
      <c r="AE768" s="73"/>
      <c r="AF768" s="73"/>
      <c r="AG768" s="73"/>
      <c r="AH768" s="73"/>
    </row>
    <row r="769" ht="15.75" customHeight="1">
      <c r="A769" s="73"/>
      <c r="B769" s="178"/>
      <c r="C769" s="179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2"/>
      <c r="AB769" s="72"/>
      <c r="AC769" s="73"/>
      <c r="AD769" s="73"/>
      <c r="AE769" s="73"/>
      <c r="AF769" s="73"/>
      <c r="AG769" s="73"/>
      <c r="AH769" s="73"/>
    </row>
    <row r="770" ht="15.75" customHeight="1">
      <c r="A770" s="73"/>
      <c r="B770" s="178"/>
      <c r="C770" s="179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2"/>
      <c r="AB770" s="72"/>
      <c r="AC770" s="73"/>
      <c r="AD770" s="73"/>
      <c r="AE770" s="73"/>
      <c r="AF770" s="73"/>
      <c r="AG770" s="73"/>
      <c r="AH770" s="73"/>
    </row>
    <row r="771" ht="15.75" customHeight="1">
      <c r="A771" s="73"/>
      <c r="B771" s="178"/>
      <c r="C771" s="179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2"/>
      <c r="AB771" s="72"/>
      <c r="AC771" s="73"/>
      <c r="AD771" s="73"/>
      <c r="AE771" s="73"/>
      <c r="AF771" s="73"/>
      <c r="AG771" s="73"/>
      <c r="AH771" s="73"/>
    </row>
    <row r="772" ht="15.75" customHeight="1">
      <c r="A772" s="73"/>
      <c r="B772" s="178"/>
      <c r="C772" s="179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2"/>
      <c r="AB772" s="72"/>
      <c r="AC772" s="73"/>
      <c r="AD772" s="73"/>
      <c r="AE772" s="73"/>
      <c r="AF772" s="73"/>
      <c r="AG772" s="73"/>
      <c r="AH772" s="73"/>
    </row>
    <row r="773" ht="15.75" customHeight="1">
      <c r="A773" s="73"/>
      <c r="B773" s="178"/>
      <c r="C773" s="179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2"/>
      <c r="AB773" s="72"/>
      <c r="AC773" s="73"/>
      <c r="AD773" s="73"/>
      <c r="AE773" s="73"/>
      <c r="AF773" s="73"/>
      <c r="AG773" s="73"/>
      <c r="AH773" s="73"/>
    </row>
    <row r="774" ht="15.75" customHeight="1">
      <c r="A774" s="73"/>
      <c r="B774" s="178"/>
      <c r="C774" s="179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2"/>
      <c r="AB774" s="72"/>
      <c r="AC774" s="73"/>
      <c r="AD774" s="73"/>
      <c r="AE774" s="73"/>
      <c r="AF774" s="73"/>
      <c r="AG774" s="73"/>
      <c r="AH774" s="73"/>
    </row>
    <row r="775" ht="15.75" customHeight="1">
      <c r="A775" s="73"/>
      <c r="B775" s="178"/>
      <c r="C775" s="179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2"/>
      <c r="AB775" s="72"/>
      <c r="AC775" s="73"/>
      <c r="AD775" s="73"/>
      <c r="AE775" s="73"/>
      <c r="AF775" s="73"/>
      <c r="AG775" s="73"/>
      <c r="AH775" s="73"/>
    </row>
    <row r="776" ht="15.75" customHeight="1">
      <c r="A776" s="73"/>
      <c r="B776" s="178"/>
      <c r="C776" s="179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2"/>
      <c r="AB776" s="72"/>
      <c r="AC776" s="73"/>
      <c r="AD776" s="73"/>
      <c r="AE776" s="73"/>
      <c r="AF776" s="73"/>
      <c r="AG776" s="73"/>
      <c r="AH776" s="73"/>
    </row>
    <row r="777" ht="15.75" customHeight="1">
      <c r="A777" s="73"/>
      <c r="B777" s="178"/>
      <c r="C777" s="179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2"/>
      <c r="AB777" s="72"/>
      <c r="AC777" s="73"/>
      <c r="AD777" s="73"/>
      <c r="AE777" s="73"/>
      <c r="AF777" s="73"/>
      <c r="AG777" s="73"/>
      <c r="AH777" s="73"/>
    </row>
    <row r="778" ht="15.75" customHeight="1">
      <c r="A778" s="73"/>
      <c r="B778" s="178"/>
      <c r="C778" s="179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2"/>
      <c r="AB778" s="72"/>
      <c r="AC778" s="73"/>
      <c r="AD778" s="73"/>
      <c r="AE778" s="73"/>
      <c r="AF778" s="73"/>
      <c r="AG778" s="73"/>
      <c r="AH778" s="73"/>
    </row>
    <row r="779" ht="15.75" customHeight="1">
      <c r="A779" s="73"/>
      <c r="B779" s="178"/>
      <c r="C779" s="179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2"/>
      <c r="AB779" s="72"/>
      <c r="AC779" s="73"/>
      <c r="AD779" s="73"/>
      <c r="AE779" s="73"/>
      <c r="AF779" s="73"/>
      <c r="AG779" s="73"/>
      <c r="AH779" s="73"/>
    </row>
    <row r="780" ht="15.75" customHeight="1">
      <c r="A780" s="73"/>
      <c r="B780" s="178"/>
      <c r="C780" s="179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2"/>
      <c r="AB780" s="72"/>
      <c r="AC780" s="73"/>
      <c r="AD780" s="73"/>
      <c r="AE780" s="73"/>
      <c r="AF780" s="73"/>
      <c r="AG780" s="73"/>
      <c r="AH780" s="73"/>
    </row>
    <row r="781" ht="15.75" customHeight="1">
      <c r="A781" s="73"/>
      <c r="B781" s="178"/>
      <c r="C781" s="179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2"/>
      <c r="AB781" s="72"/>
      <c r="AC781" s="73"/>
      <c r="AD781" s="73"/>
      <c r="AE781" s="73"/>
      <c r="AF781" s="73"/>
      <c r="AG781" s="73"/>
      <c r="AH781" s="73"/>
    </row>
    <row r="782" ht="15.75" customHeight="1">
      <c r="A782" s="73"/>
      <c r="B782" s="178"/>
      <c r="C782" s="179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2"/>
      <c r="AB782" s="72"/>
      <c r="AC782" s="73"/>
      <c r="AD782" s="73"/>
      <c r="AE782" s="73"/>
      <c r="AF782" s="73"/>
      <c r="AG782" s="73"/>
      <c r="AH782" s="73"/>
    </row>
    <row r="783" ht="15.75" customHeight="1">
      <c r="A783" s="73"/>
      <c r="B783" s="178"/>
      <c r="C783" s="179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2"/>
      <c r="AB783" s="72"/>
      <c r="AC783" s="73"/>
      <c r="AD783" s="73"/>
      <c r="AE783" s="73"/>
      <c r="AF783" s="73"/>
      <c r="AG783" s="73"/>
      <c r="AH783" s="73"/>
    </row>
    <row r="784" ht="15.75" customHeight="1">
      <c r="A784" s="73"/>
      <c r="B784" s="178"/>
      <c r="C784" s="179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2"/>
      <c r="AB784" s="72"/>
      <c r="AC784" s="73"/>
      <c r="AD784" s="73"/>
      <c r="AE784" s="73"/>
      <c r="AF784" s="73"/>
      <c r="AG784" s="73"/>
      <c r="AH784" s="73"/>
    </row>
    <row r="785" ht="15.75" customHeight="1">
      <c r="A785" s="73"/>
      <c r="B785" s="178"/>
      <c r="C785" s="179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2"/>
      <c r="AB785" s="72"/>
      <c r="AC785" s="73"/>
      <c r="AD785" s="73"/>
      <c r="AE785" s="73"/>
      <c r="AF785" s="73"/>
      <c r="AG785" s="73"/>
      <c r="AH785" s="73"/>
    </row>
    <row r="786" ht="15.75" customHeight="1">
      <c r="A786" s="73"/>
      <c r="B786" s="178"/>
      <c r="C786" s="179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2"/>
      <c r="AB786" s="72"/>
      <c r="AC786" s="73"/>
      <c r="AD786" s="73"/>
      <c r="AE786" s="73"/>
      <c r="AF786" s="73"/>
      <c r="AG786" s="73"/>
      <c r="AH786" s="73"/>
    </row>
    <row r="787" ht="15.75" customHeight="1">
      <c r="A787" s="73"/>
      <c r="B787" s="178"/>
      <c r="C787" s="179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2"/>
      <c r="AB787" s="72"/>
      <c r="AC787" s="73"/>
      <c r="AD787" s="73"/>
      <c r="AE787" s="73"/>
      <c r="AF787" s="73"/>
      <c r="AG787" s="73"/>
      <c r="AH787" s="73"/>
    </row>
    <row r="788" ht="15.75" customHeight="1">
      <c r="A788" s="73"/>
      <c r="B788" s="178"/>
      <c r="C788" s="179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2"/>
      <c r="AB788" s="72"/>
      <c r="AC788" s="73"/>
      <c r="AD788" s="73"/>
      <c r="AE788" s="73"/>
      <c r="AF788" s="73"/>
      <c r="AG788" s="73"/>
      <c r="AH788" s="73"/>
    </row>
    <row r="789" ht="15.75" customHeight="1">
      <c r="A789" s="73"/>
      <c r="B789" s="178"/>
      <c r="C789" s="179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2"/>
      <c r="AB789" s="72"/>
      <c r="AC789" s="73"/>
      <c r="AD789" s="73"/>
      <c r="AE789" s="73"/>
      <c r="AF789" s="73"/>
      <c r="AG789" s="73"/>
      <c r="AH789" s="73"/>
    </row>
    <row r="790" ht="15.75" customHeight="1">
      <c r="A790" s="73"/>
      <c r="B790" s="178"/>
      <c r="C790" s="179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2"/>
      <c r="AB790" s="72"/>
      <c r="AC790" s="73"/>
      <c r="AD790" s="73"/>
      <c r="AE790" s="73"/>
      <c r="AF790" s="73"/>
      <c r="AG790" s="73"/>
      <c r="AH790" s="73"/>
    </row>
    <row r="791" ht="15.75" customHeight="1">
      <c r="A791" s="73"/>
      <c r="B791" s="178"/>
      <c r="C791" s="179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2"/>
      <c r="AB791" s="72"/>
      <c r="AC791" s="73"/>
      <c r="AD791" s="73"/>
      <c r="AE791" s="73"/>
      <c r="AF791" s="73"/>
      <c r="AG791" s="73"/>
      <c r="AH791" s="73"/>
    </row>
    <row r="792" ht="15.75" customHeight="1">
      <c r="A792" s="73"/>
      <c r="B792" s="178"/>
      <c r="C792" s="179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2"/>
      <c r="AB792" s="72"/>
      <c r="AC792" s="73"/>
      <c r="AD792" s="73"/>
      <c r="AE792" s="73"/>
      <c r="AF792" s="73"/>
      <c r="AG792" s="73"/>
      <c r="AH792" s="73"/>
    </row>
    <row r="793" ht="15.75" customHeight="1">
      <c r="A793" s="73"/>
      <c r="B793" s="178"/>
      <c r="C793" s="179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2"/>
      <c r="AB793" s="72"/>
      <c r="AC793" s="73"/>
      <c r="AD793" s="73"/>
      <c r="AE793" s="73"/>
      <c r="AF793" s="73"/>
      <c r="AG793" s="73"/>
      <c r="AH793" s="73"/>
    </row>
    <row r="794" ht="15.75" customHeight="1">
      <c r="A794" s="73"/>
      <c r="B794" s="178"/>
      <c r="C794" s="179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2"/>
      <c r="AB794" s="72"/>
      <c r="AC794" s="73"/>
      <c r="AD794" s="73"/>
      <c r="AE794" s="73"/>
      <c r="AF794" s="73"/>
      <c r="AG794" s="73"/>
      <c r="AH794" s="73"/>
    </row>
    <row r="795" ht="15.75" customHeight="1">
      <c r="A795" s="73"/>
      <c r="B795" s="178"/>
      <c r="C795" s="179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2"/>
      <c r="AB795" s="72"/>
      <c r="AC795" s="73"/>
      <c r="AD795" s="73"/>
      <c r="AE795" s="73"/>
      <c r="AF795" s="73"/>
      <c r="AG795" s="73"/>
      <c r="AH795" s="73"/>
    </row>
    <row r="796" ht="15.75" customHeight="1">
      <c r="A796" s="73"/>
      <c r="B796" s="178"/>
      <c r="C796" s="179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2"/>
      <c r="AB796" s="72"/>
      <c r="AC796" s="73"/>
      <c r="AD796" s="73"/>
      <c r="AE796" s="73"/>
      <c r="AF796" s="73"/>
      <c r="AG796" s="73"/>
      <c r="AH796" s="73"/>
    </row>
    <row r="797" ht="15.75" customHeight="1">
      <c r="A797" s="73"/>
      <c r="B797" s="178"/>
      <c r="C797" s="179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2"/>
      <c r="AB797" s="72"/>
      <c r="AC797" s="73"/>
      <c r="AD797" s="73"/>
      <c r="AE797" s="73"/>
      <c r="AF797" s="73"/>
      <c r="AG797" s="73"/>
      <c r="AH797" s="73"/>
    </row>
    <row r="798" ht="15.75" customHeight="1">
      <c r="A798" s="73"/>
      <c r="B798" s="178"/>
      <c r="C798" s="179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2"/>
      <c r="AB798" s="72"/>
      <c r="AC798" s="73"/>
      <c r="AD798" s="73"/>
      <c r="AE798" s="73"/>
      <c r="AF798" s="73"/>
      <c r="AG798" s="73"/>
      <c r="AH798" s="73"/>
    </row>
    <row r="799" ht="15.75" customHeight="1">
      <c r="A799" s="73"/>
      <c r="B799" s="178"/>
      <c r="C799" s="179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2"/>
      <c r="AB799" s="72"/>
      <c r="AC799" s="73"/>
      <c r="AD799" s="73"/>
      <c r="AE799" s="73"/>
      <c r="AF799" s="73"/>
      <c r="AG799" s="73"/>
      <c r="AH799" s="73"/>
    </row>
    <row r="800" ht="15.75" customHeight="1">
      <c r="A800" s="73"/>
      <c r="B800" s="178"/>
      <c r="C800" s="179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2"/>
      <c r="AB800" s="72"/>
      <c r="AC800" s="73"/>
      <c r="AD800" s="73"/>
      <c r="AE800" s="73"/>
      <c r="AF800" s="73"/>
      <c r="AG800" s="73"/>
      <c r="AH800" s="73"/>
    </row>
    <row r="801" ht="15.75" customHeight="1">
      <c r="A801" s="73"/>
      <c r="B801" s="178"/>
      <c r="C801" s="179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2"/>
      <c r="AB801" s="72"/>
      <c r="AC801" s="73"/>
      <c r="AD801" s="73"/>
      <c r="AE801" s="73"/>
      <c r="AF801" s="73"/>
      <c r="AG801" s="73"/>
      <c r="AH801" s="73"/>
    </row>
    <row r="802" ht="15.75" customHeight="1">
      <c r="A802" s="73"/>
      <c r="B802" s="178"/>
      <c r="C802" s="179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2"/>
      <c r="AB802" s="72"/>
      <c r="AC802" s="73"/>
      <c r="AD802" s="73"/>
      <c r="AE802" s="73"/>
      <c r="AF802" s="73"/>
      <c r="AG802" s="73"/>
      <c r="AH802" s="73"/>
    </row>
    <row r="803" ht="15.75" customHeight="1">
      <c r="A803" s="73"/>
      <c r="B803" s="178"/>
      <c r="C803" s="179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2"/>
      <c r="AB803" s="72"/>
      <c r="AC803" s="73"/>
      <c r="AD803" s="73"/>
      <c r="AE803" s="73"/>
      <c r="AF803" s="73"/>
      <c r="AG803" s="73"/>
      <c r="AH803" s="73"/>
    </row>
    <row r="804" ht="15.75" customHeight="1">
      <c r="A804" s="73"/>
      <c r="B804" s="178"/>
      <c r="C804" s="179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2"/>
      <c r="AB804" s="72"/>
      <c r="AC804" s="73"/>
      <c r="AD804" s="73"/>
      <c r="AE804" s="73"/>
      <c r="AF804" s="73"/>
      <c r="AG804" s="73"/>
      <c r="AH804" s="73"/>
    </row>
    <row r="805" ht="15.75" customHeight="1">
      <c r="A805" s="73"/>
      <c r="B805" s="178"/>
      <c r="C805" s="179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2"/>
      <c r="AB805" s="72"/>
      <c r="AC805" s="73"/>
      <c r="AD805" s="73"/>
      <c r="AE805" s="73"/>
      <c r="AF805" s="73"/>
      <c r="AG805" s="73"/>
      <c r="AH805" s="73"/>
    </row>
    <row r="806" ht="15.75" customHeight="1">
      <c r="A806" s="73"/>
      <c r="B806" s="178"/>
      <c r="C806" s="179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2"/>
      <c r="AB806" s="72"/>
      <c r="AC806" s="73"/>
      <c r="AD806" s="73"/>
      <c r="AE806" s="73"/>
      <c r="AF806" s="73"/>
      <c r="AG806" s="73"/>
      <c r="AH806" s="73"/>
    </row>
    <row r="807" ht="15.75" customHeight="1">
      <c r="A807" s="73"/>
      <c r="B807" s="178"/>
      <c r="C807" s="179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2"/>
      <c r="AB807" s="72"/>
      <c r="AC807" s="73"/>
      <c r="AD807" s="73"/>
      <c r="AE807" s="73"/>
      <c r="AF807" s="73"/>
      <c r="AG807" s="73"/>
      <c r="AH807" s="73"/>
    </row>
    <row r="808" ht="15.75" customHeight="1">
      <c r="A808" s="73"/>
      <c r="B808" s="178"/>
      <c r="C808" s="179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2"/>
      <c r="AB808" s="72"/>
      <c r="AC808" s="73"/>
      <c r="AD808" s="73"/>
      <c r="AE808" s="73"/>
      <c r="AF808" s="73"/>
      <c r="AG808" s="73"/>
      <c r="AH808" s="73"/>
    </row>
    <row r="809" ht="15.75" customHeight="1">
      <c r="A809" s="73"/>
      <c r="B809" s="178"/>
      <c r="C809" s="179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2"/>
      <c r="AB809" s="72"/>
      <c r="AC809" s="73"/>
      <c r="AD809" s="73"/>
      <c r="AE809" s="73"/>
      <c r="AF809" s="73"/>
      <c r="AG809" s="73"/>
      <c r="AH809" s="73"/>
    </row>
    <row r="810" ht="15.75" customHeight="1">
      <c r="A810" s="73"/>
      <c r="B810" s="178"/>
      <c r="C810" s="179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2"/>
      <c r="AB810" s="72"/>
      <c r="AC810" s="73"/>
      <c r="AD810" s="73"/>
      <c r="AE810" s="73"/>
      <c r="AF810" s="73"/>
      <c r="AG810" s="73"/>
      <c r="AH810" s="73"/>
    </row>
    <row r="811" ht="15.75" customHeight="1">
      <c r="A811" s="73"/>
      <c r="B811" s="178"/>
      <c r="C811" s="179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2"/>
      <c r="AB811" s="72"/>
      <c r="AC811" s="73"/>
      <c r="AD811" s="73"/>
      <c r="AE811" s="73"/>
      <c r="AF811" s="73"/>
      <c r="AG811" s="73"/>
      <c r="AH811" s="73"/>
    </row>
    <row r="812" ht="15.75" customHeight="1">
      <c r="A812" s="73"/>
      <c r="B812" s="178"/>
      <c r="C812" s="179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2"/>
      <c r="AB812" s="72"/>
      <c r="AC812" s="73"/>
      <c r="AD812" s="73"/>
      <c r="AE812" s="73"/>
      <c r="AF812" s="73"/>
      <c r="AG812" s="73"/>
      <c r="AH812" s="73"/>
    </row>
    <row r="813" ht="15.75" customHeight="1">
      <c r="A813" s="73"/>
      <c r="B813" s="178"/>
      <c r="C813" s="179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2"/>
      <c r="AB813" s="72"/>
      <c r="AC813" s="73"/>
      <c r="AD813" s="73"/>
      <c r="AE813" s="73"/>
      <c r="AF813" s="73"/>
      <c r="AG813" s="73"/>
      <c r="AH813" s="73"/>
    </row>
    <row r="814" ht="15.75" customHeight="1">
      <c r="A814" s="73"/>
      <c r="B814" s="178"/>
      <c r="C814" s="179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2"/>
      <c r="AB814" s="72"/>
      <c r="AC814" s="73"/>
      <c r="AD814" s="73"/>
      <c r="AE814" s="73"/>
      <c r="AF814" s="73"/>
      <c r="AG814" s="73"/>
      <c r="AH814" s="73"/>
    </row>
    <row r="815" ht="15.75" customHeight="1">
      <c r="A815" s="73"/>
      <c r="B815" s="178"/>
      <c r="C815" s="179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2"/>
      <c r="AB815" s="72"/>
      <c r="AC815" s="73"/>
      <c r="AD815" s="73"/>
      <c r="AE815" s="73"/>
      <c r="AF815" s="73"/>
      <c r="AG815" s="73"/>
      <c r="AH815" s="73"/>
    </row>
    <row r="816" ht="15.75" customHeight="1">
      <c r="A816" s="73"/>
      <c r="B816" s="178"/>
      <c r="C816" s="179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2"/>
      <c r="AB816" s="72"/>
      <c r="AC816" s="73"/>
      <c r="AD816" s="73"/>
      <c r="AE816" s="73"/>
      <c r="AF816" s="73"/>
      <c r="AG816" s="73"/>
      <c r="AH816" s="73"/>
    </row>
    <row r="817" ht="15.75" customHeight="1">
      <c r="A817" s="73"/>
      <c r="B817" s="178"/>
      <c r="C817" s="179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2"/>
      <c r="AB817" s="72"/>
      <c r="AC817" s="73"/>
      <c r="AD817" s="73"/>
      <c r="AE817" s="73"/>
      <c r="AF817" s="73"/>
      <c r="AG817" s="73"/>
      <c r="AH817" s="73"/>
    </row>
    <row r="818" ht="15.75" customHeight="1">
      <c r="A818" s="73"/>
      <c r="B818" s="178"/>
      <c r="C818" s="179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2"/>
      <c r="AB818" s="72"/>
      <c r="AC818" s="73"/>
      <c r="AD818" s="73"/>
      <c r="AE818" s="73"/>
      <c r="AF818" s="73"/>
      <c r="AG818" s="73"/>
      <c r="AH818" s="73"/>
    </row>
    <row r="819" ht="15.75" customHeight="1">
      <c r="A819" s="73"/>
      <c r="B819" s="178"/>
      <c r="C819" s="179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2"/>
      <c r="AB819" s="72"/>
      <c r="AC819" s="73"/>
      <c r="AD819" s="73"/>
      <c r="AE819" s="73"/>
      <c r="AF819" s="73"/>
      <c r="AG819" s="73"/>
      <c r="AH819" s="73"/>
    </row>
    <row r="820" ht="15.75" customHeight="1">
      <c r="A820" s="73"/>
      <c r="B820" s="178"/>
      <c r="C820" s="179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2"/>
      <c r="AB820" s="72"/>
      <c r="AC820" s="73"/>
      <c r="AD820" s="73"/>
      <c r="AE820" s="73"/>
      <c r="AF820" s="73"/>
      <c r="AG820" s="73"/>
      <c r="AH820" s="73"/>
    </row>
    <row r="821" ht="15.75" customHeight="1">
      <c r="A821" s="73"/>
      <c r="B821" s="178"/>
      <c r="C821" s="179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2"/>
      <c r="AB821" s="72"/>
      <c r="AC821" s="73"/>
      <c r="AD821" s="73"/>
      <c r="AE821" s="73"/>
      <c r="AF821" s="73"/>
      <c r="AG821" s="73"/>
      <c r="AH821" s="73"/>
    </row>
    <row r="822" ht="15.75" customHeight="1">
      <c r="A822" s="73"/>
      <c r="B822" s="178"/>
      <c r="C822" s="179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2"/>
      <c r="AB822" s="72"/>
      <c r="AC822" s="73"/>
      <c r="AD822" s="73"/>
      <c r="AE822" s="73"/>
      <c r="AF822" s="73"/>
      <c r="AG822" s="73"/>
      <c r="AH822" s="73"/>
    </row>
    <row r="823" ht="15.75" customHeight="1">
      <c r="A823" s="73"/>
      <c r="B823" s="178"/>
      <c r="C823" s="179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2"/>
      <c r="AB823" s="72"/>
      <c r="AC823" s="73"/>
      <c r="AD823" s="73"/>
      <c r="AE823" s="73"/>
      <c r="AF823" s="73"/>
      <c r="AG823" s="73"/>
      <c r="AH823" s="73"/>
    </row>
    <row r="824" ht="15.75" customHeight="1">
      <c r="A824" s="73"/>
      <c r="B824" s="178"/>
      <c r="C824" s="179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2"/>
      <c r="AB824" s="72"/>
      <c r="AC824" s="73"/>
      <c r="AD824" s="73"/>
      <c r="AE824" s="73"/>
      <c r="AF824" s="73"/>
      <c r="AG824" s="73"/>
      <c r="AH824" s="73"/>
    </row>
    <row r="825" ht="15.75" customHeight="1">
      <c r="A825" s="73"/>
      <c r="B825" s="178"/>
      <c r="C825" s="179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2"/>
      <c r="AB825" s="72"/>
      <c r="AC825" s="73"/>
      <c r="AD825" s="73"/>
      <c r="AE825" s="73"/>
      <c r="AF825" s="73"/>
      <c r="AG825" s="73"/>
      <c r="AH825" s="73"/>
    </row>
    <row r="826" ht="15.75" customHeight="1">
      <c r="A826" s="73"/>
      <c r="B826" s="178"/>
      <c r="C826" s="179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2"/>
      <c r="AB826" s="72"/>
      <c r="AC826" s="73"/>
      <c r="AD826" s="73"/>
      <c r="AE826" s="73"/>
      <c r="AF826" s="73"/>
      <c r="AG826" s="73"/>
      <c r="AH826" s="73"/>
    </row>
    <row r="827" ht="15.75" customHeight="1">
      <c r="A827" s="73"/>
      <c r="B827" s="178"/>
      <c r="C827" s="179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2"/>
      <c r="AB827" s="72"/>
      <c r="AC827" s="73"/>
      <c r="AD827" s="73"/>
      <c r="AE827" s="73"/>
      <c r="AF827" s="73"/>
      <c r="AG827" s="73"/>
      <c r="AH827" s="73"/>
    </row>
    <row r="828" ht="15.75" customHeight="1">
      <c r="A828" s="73"/>
      <c r="B828" s="178"/>
      <c r="C828" s="179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2"/>
      <c r="AB828" s="72"/>
      <c r="AC828" s="73"/>
      <c r="AD828" s="73"/>
      <c r="AE828" s="73"/>
      <c r="AF828" s="73"/>
      <c r="AG828" s="73"/>
      <c r="AH828" s="73"/>
    </row>
    <row r="829" ht="15.75" customHeight="1">
      <c r="A829" s="73"/>
      <c r="B829" s="178"/>
      <c r="C829" s="179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2"/>
      <c r="AB829" s="72"/>
      <c r="AC829" s="73"/>
      <c r="AD829" s="73"/>
      <c r="AE829" s="73"/>
      <c r="AF829" s="73"/>
      <c r="AG829" s="73"/>
      <c r="AH829" s="73"/>
    </row>
    <row r="830" ht="15.75" customHeight="1">
      <c r="A830" s="73"/>
      <c r="B830" s="178"/>
      <c r="C830" s="179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2"/>
      <c r="AB830" s="72"/>
      <c r="AC830" s="73"/>
      <c r="AD830" s="73"/>
      <c r="AE830" s="73"/>
      <c r="AF830" s="73"/>
      <c r="AG830" s="73"/>
      <c r="AH830" s="73"/>
    </row>
    <row r="831" ht="15.75" customHeight="1">
      <c r="A831" s="73"/>
      <c r="B831" s="178"/>
      <c r="C831" s="179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2"/>
      <c r="AB831" s="72"/>
      <c r="AC831" s="73"/>
      <c r="AD831" s="73"/>
      <c r="AE831" s="73"/>
      <c r="AF831" s="73"/>
      <c r="AG831" s="73"/>
      <c r="AH831" s="73"/>
    </row>
    <row r="832" ht="15.75" customHeight="1">
      <c r="A832" s="73"/>
      <c r="B832" s="178"/>
      <c r="C832" s="179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2"/>
      <c r="AB832" s="72"/>
      <c r="AC832" s="73"/>
      <c r="AD832" s="73"/>
      <c r="AE832" s="73"/>
      <c r="AF832" s="73"/>
      <c r="AG832" s="73"/>
      <c r="AH832" s="73"/>
    </row>
    <row r="833" ht="15.75" customHeight="1">
      <c r="A833" s="73"/>
      <c r="B833" s="178"/>
      <c r="C833" s="179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2"/>
      <c r="AB833" s="72"/>
      <c r="AC833" s="73"/>
      <c r="AD833" s="73"/>
      <c r="AE833" s="73"/>
      <c r="AF833" s="73"/>
      <c r="AG833" s="73"/>
      <c r="AH833" s="73"/>
    </row>
    <row r="834" ht="15.75" customHeight="1">
      <c r="A834" s="73"/>
      <c r="B834" s="178"/>
      <c r="C834" s="179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2"/>
      <c r="AB834" s="72"/>
      <c r="AC834" s="73"/>
      <c r="AD834" s="73"/>
      <c r="AE834" s="73"/>
      <c r="AF834" s="73"/>
      <c r="AG834" s="73"/>
      <c r="AH834" s="73"/>
    </row>
    <row r="835" ht="15.75" customHeight="1">
      <c r="A835" s="73"/>
      <c r="B835" s="178"/>
      <c r="C835" s="179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2"/>
      <c r="AB835" s="72"/>
      <c r="AC835" s="73"/>
      <c r="AD835" s="73"/>
      <c r="AE835" s="73"/>
      <c r="AF835" s="73"/>
      <c r="AG835" s="73"/>
      <c r="AH835" s="73"/>
    </row>
    <row r="836" ht="15.75" customHeight="1">
      <c r="A836" s="73"/>
      <c r="B836" s="178"/>
      <c r="C836" s="179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2"/>
      <c r="AB836" s="72"/>
      <c r="AC836" s="73"/>
      <c r="AD836" s="73"/>
      <c r="AE836" s="73"/>
      <c r="AF836" s="73"/>
      <c r="AG836" s="73"/>
      <c r="AH836" s="73"/>
    </row>
    <row r="837" ht="15.75" customHeight="1">
      <c r="A837" s="73"/>
      <c r="B837" s="178"/>
      <c r="C837" s="179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2"/>
      <c r="AB837" s="72"/>
      <c r="AC837" s="73"/>
      <c r="AD837" s="73"/>
      <c r="AE837" s="73"/>
      <c r="AF837" s="73"/>
      <c r="AG837" s="73"/>
      <c r="AH837" s="73"/>
    </row>
    <row r="838" ht="15.75" customHeight="1">
      <c r="A838" s="73"/>
      <c r="B838" s="178"/>
      <c r="C838" s="179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2"/>
      <c r="AB838" s="72"/>
      <c r="AC838" s="73"/>
      <c r="AD838" s="73"/>
      <c r="AE838" s="73"/>
      <c r="AF838" s="73"/>
      <c r="AG838" s="73"/>
      <c r="AH838" s="73"/>
    </row>
    <row r="839" ht="15.75" customHeight="1">
      <c r="A839" s="73"/>
      <c r="B839" s="178"/>
      <c r="C839" s="179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2"/>
      <c r="AB839" s="72"/>
      <c r="AC839" s="73"/>
      <c r="AD839" s="73"/>
      <c r="AE839" s="73"/>
      <c r="AF839" s="73"/>
      <c r="AG839" s="73"/>
      <c r="AH839" s="73"/>
    </row>
    <row r="840" ht="15.75" customHeight="1">
      <c r="A840" s="73"/>
      <c r="B840" s="178"/>
      <c r="C840" s="179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2"/>
      <c r="AB840" s="72"/>
      <c r="AC840" s="73"/>
      <c r="AD840" s="73"/>
      <c r="AE840" s="73"/>
      <c r="AF840" s="73"/>
      <c r="AG840" s="73"/>
      <c r="AH840" s="73"/>
    </row>
    <row r="841" ht="15.75" customHeight="1">
      <c r="A841" s="73"/>
      <c r="B841" s="178"/>
      <c r="C841" s="179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2"/>
      <c r="AB841" s="72"/>
      <c r="AC841" s="73"/>
      <c r="AD841" s="73"/>
      <c r="AE841" s="73"/>
      <c r="AF841" s="73"/>
      <c r="AG841" s="73"/>
      <c r="AH841" s="73"/>
    </row>
    <row r="842" ht="15.75" customHeight="1">
      <c r="A842" s="73"/>
      <c r="B842" s="178"/>
      <c r="C842" s="179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2"/>
      <c r="AB842" s="72"/>
      <c r="AC842" s="73"/>
      <c r="AD842" s="73"/>
      <c r="AE842" s="73"/>
      <c r="AF842" s="73"/>
      <c r="AG842" s="73"/>
      <c r="AH842" s="73"/>
    </row>
    <row r="843" ht="15.75" customHeight="1">
      <c r="A843" s="73"/>
      <c r="B843" s="178"/>
      <c r="C843" s="179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2"/>
      <c r="AB843" s="72"/>
      <c r="AC843" s="73"/>
      <c r="AD843" s="73"/>
      <c r="AE843" s="73"/>
      <c r="AF843" s="73"/>
      <c r="AG843" s="73"/>
      <c r="AH843" s="73"/>
    </row>
    <row r="844" ht="15.75" customHeight="1">
      <c r="A844" s="73"/>
      <c r="B844" s="178"/>
      <c r="C844" s="179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2"/>
      <c r="AB844" s="72"/>
      <c r="AC844" s="73"/>
      <c r="AD844" s="73"/>
      <c r="AE844" s="73"/>
      <c r="AF844" s="73"/>
      <c r="AG844" s="73"/>
      <c r="AH844" s="73"/>
    </row>
    <row r="845" ht="15.75" customHeight="1">
      <c r="A845" s="73"/>
      <c r="B845" s="178"/>
      <c r="C845" s="179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2"/>
      <c r="AB845" s="72"/>
      <c r="AC845" s="73"/>
      <c r="AD845" s="73"/>
      <c r="AE845" s="73"/>
      <c r="AF845" s="73"/>
      <c r="AG845" s="73"/>
      <c r="AH845" s="73"/>
    </row>
    <row r="846" ht="15.75" customHeight="1">
      <c r="A846" s="73"/>
      <c r="B846" s="178"/>
      <c r="C846" s="179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2"/>
      <c r="AB846" s="72"/>
      <c r="AC846" s="73"/>
      <c r="AD846" s="73"/>
      <c r="AE846" s="73"/>
      <c r="AF846" s="73"/>
      <c r="AG846" s="73"/>
      <c r="AH846" s="73"/>
    </row>
    <row r="847" ht="15.75" customHeight="1">
      <c r="A847" s="73"/>
      <c r="B847" s="178"/>
      <c r="C847" s="179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2"/>
      <c r="AB847" s="72"/>
      <c r="AC847" s="73"/>
      <c r="AD847" s="73"/>
      <c r="AE847" s="73"/>
      <c r="AF847" s="73"/>
      <c r="AG847" s="73"/>
      <c r="AH847" s="73"/>
    </row>
    <row r="848" ht="15.75" customHeight="1">
      <c r="A848" s="73"/>
      <c r="B848" s="178"/>
      <c r="C848" s="179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2"/>
      <c r="AB848" s="72"/>
      <c r="AC848" s="73"/>
      <c r="AD848" s="73"/>
      <c r="AE848" s="73"/>
      <c r="AF848" s="73"/>
      <c r="AG848" s="73"/>
      <c r="AH848" s="73"/>
    </row>
    <row r="849" ht="15.75" customHeight="1">
      <c r="A849" s="73"/>
      <c r="B849" s="178"/>
      <c r="C849" s="179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2"/>
      <c r="AB849" s="72"/>
      <c r="AC849" s="73"/>
      <c r="AD849" s="73"/>
      <c r="AE849" s="73"/>
      <c r="AF849" s="73"/>
      <c r="AG849" s="73"/>
      <c r="AH849" s="73"/>
    </row>
    <row r="850" ht="15.75" customHeight="1">
      <c r="A850" s="73"/>
      <c r="B850" s="178"/>
      <c r="C850" s="179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2"/>
      <c r="AB850" s="72"/>
      <c r="AC850" s="73"/>
      <c r="AD850" s="73"/>
      <c r="AE850" s="73"/>
      <c r="AF850" s="73"/>
      <c r="AG850" s="73"/>
      <c r="AH850" s="73"/>
    </row>
    <row r="851" ht="15.75" customHeight="1">
      <c r="A851" s="73"/>
      <c r="B851" s="178"/>
      <c r="C851" s="179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2"/>
      <c r="AB851" s="72"/>
      <c r="AC851" s="73"/>
      <c r="AD851" s="73"/>
      <c r="AE851" s="73"/>
      <c r="AF851" s="73"/>
      <c r="AG851" s="73"/>
      <c r="AH851" s="73"/>
    </row>
    <row r="852" ht="15.75" customHeight="1">
      <c r="A852" s="73"/>
      <c r="B852" s="178"/>
      <c r="C852" s="179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2"/>
      <c r="AB852" s="72"/>
      <c r="AC852" s="73"/>
      <c r="AD852" s="73"/>
      <c r="AE852" s="73"/>
      <c r="AF852" s="73"/>
      <c r="AG852" s="73"/>
      <c r="AH852" s="73"/>
    </row>
    <row r="853" ht="15.75" customHeight="1">
      <c r="A853" s="73"/>
      <c r="B853" s="178"/>
      <c r="C853" s="179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2"/>
      <c r="AB853" s="72"/>
      <c r="AC853" s="73"/>
      <c r="AD853" s="73"/>
      <c r="AE853" s="73"/>
      <c r="AF853" s="73"/>
      <c r="AG853" s="73"/>
      <c r="AH853" s="73"/>
    </row>
    <row r="854" ht="15.75" customHeight="1">
      <c r="A854" s="73"/>
      <c r="B854" s="178"/>
      <c r="C854" s="179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2"/>
      <c r="AB854" s="72"/>
      <c r="AC854" s="73"/>
      <c r="AD854" s="73"/>
      <c r="AE854" s="73"/>
      <c r="AF854" s="73"/>
      <c r="AG854" s="73"/>
      <c r="AH854" s="73"/>
    </row>
    <row r="855" ht="15.75" customHeight="1">
      <c r="A855" s="73"/>
      <c r="B855" s="178"/>
      <c r="C855" s="179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2"/>
      <c r="AB855" s="72"/>
      <c r="AC855" s="73"/>
      <c r="AD855" s="73"/>
      <c r="AE855" s="73"/>
      <c r="AF855" s="73"/>
      <c r="AG855" s="73"/>
      <c r="AH855" s="73"/>
    </row>
    <row r="856" ht="15.75" customHeight="1">
      <c r="A856" s="73"/>
      <c r="B856" s="178"/>
      <c r="C856" s="179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2"/>
      <c r="AB856" s="72"/>
      <c r="AC856" s="73"/>
      <c r="AD856" s="73"/>
      <c r="AE856" s="73"/>
      <c r="AF856" s="73"/>
      <c r="AG856" s="73"/>
      <c r="AH856" s="73"/>
    </row>
    <row r="857" ht="15.75" customHeight="1">
      <c r="A857" s="73"/>
      <c r="B857" s="178"/>
      <c r="C857" s="179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2"/>
      <c r="AB857" s="72"/>
      <c r="AC857" s="73"/>
      <c r="AD857" s="73"/>
      <c r="AE857" s="73"/>
      <c r="AF857" s="73"/>
      <c r="AG857" s="73"/>
      <c r="AH857" s="73"/>
    </row>
    <row r="858" ht="15.75" customHeight="1">
      <c r="A858" s="73"/>
      <c r="B858" s="178"/>
      <c r="C858" s="179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2"/>
      <c r="AB858" s="72"/>
      <c r="AC858" s="73"/>
      <c r="AD858" s="73"/>
      <c r="AE858" s="73"/>
      <c r="AF858" s="73"/>
      <c r="AG858" s="73"/>
      <c r="AH858" s="73"/>
    </row>
    <row r="859" ht="15.75" customHeight="1">
      <c r="A859" s="73"/>
      <c r="B859" s="178"/>
      <c r="C859" s="179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2"/>
      <c r="AB859" s="72"/>
      <c r="AC859" s="73"/>
      <c r="AD859" s="73"/>
      <c r="AE859" s="73"/>
      <c r="AF859" s="73"/>
      <c r="AG859" s="73"/>
      <c r="AH859" s="73"/>
    </row>
    <row r="860" ht="15.75" customHeight="1">
      <c r="A860" s="73"/>
      <c r="B860" s="178"/>
      <c r="C860" s="179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2"/>
      <c r="AB860" s="72"/>
      <c r="AC860" s="73"/>
      <c r="AD860" s="73"/>
      <c r="AE860" s="73"/>
      <c r="AF860" s="73"/>
      <c r="AG860" s="73"/>
      <c r="AH860" s="73"/>
    </row>
    <row r="861" ht="15.75" customHeight="1">
      <c r="A861" s="73"/>
      <c r="B861" s="178"/>
      <c r="C861" s="179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2"/>
      <c r="AB861" s="72"/>
      <c r="AC861" s="73"/>
      <c r="AD861" s="73"/>
      <c r="AE861" s="73"/>
      <c r="AF861" s="73"/>
      <c r="AG861" s="73"/>
      <c r="AH861" s="73"/>
    </row>
    <row r="862" ht="15.75" customHeight="1">
      <c r="A862" s="73"/>
      <c r="B862" s="178"/>
      <c r="C862" s="179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2"/>
      <c r="AB862" s="72"/>
      <c r="AC862" s="73"/>
      <c r="AD862" s="73"/>
      <c r="AE862" s="73"/>
      <c r="AF862" s="73"/>
      <c r="AG862" s="73"/>
      <c r="AH862" s="73"/>
    </row>
    <row r="863" ht="15.75" customHeight="1">
      <c r="A863" s="73"/>
      <c r="B863" s="178"/>
      <c r="C863" s="179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2"/>
      <c r="AB863" s="72"/>
      <c r="AC863" s="73"/>
      <c r="AD863" s="73"/>
      <c r="AE863" s="73"/>
      <c r="AF863" s="73"/>
      <c r="AG863" s="73"/>
      <c r="AH863" s="73"/>
    </row>
    <row r="864" ht="15.75" customHeight="1">
      <c r="A864" s="73"/>
      <c r="B864" s="178"/>
      <c r="C864" s="179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2"/>
      <c r="AB864" s="72"/>
      <c r="AC864" s="73"/>
      <c r="AD864" s="73"/>
      <c r="AE864" s="73"/>
      <c r="AF864" s="73"/>
      <c r="AG864" s="73"/>
      <c r="AH864" s="73"/>
    </row>
    <row r="865" ht="15.75" customHeight="1">
      <c r="A865" s="73"/>
      <c r="B865" s="178"/>
      <c r="C865" s="179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2"/>
      <c r="AB865" s="72"/>
      <c r="AC865" s="73"/>
      <c r="AD865" s="73"/>
      <c r="AE865" s="73"/>
      <c r="AF865" s="73"/>
      <c r="AG865" s="73"/>
      <c r="AH865" s="73"/>
    </row>
    <row r="866" ht="15.75" customHeight="1">
      <c r="A866" s="73"/>
      <c r="B866" s="178"/>
      <c r="C866" s="179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2"/>
      <c r="AB866" s="72"/>
      <c r="AC866" s="73"/>
      <c r="AD866" s="73"/>
      <c r="AE866" s="73"/>
      <c r="AF866" s="73"/>
      <c r="AG866" s="73"/>
      <c r="AH866" s="73"/>
    </row>
    <row r="867" ht="15.75" customHeight="1">
      <c r="A867" s="73"/>
      <c r="B867" s="178"/>
      <c r="C867" s="179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2"/>
      <c r="AB867" s="72"/>
      <c r="AC867" s="73"/>
      <c r="AD867" s="73"/>
      <c r="AE867" s="73"/>
      <c r="AF867" s="73"/>
      <c r="AG867" s="73"/>
      <c r="AH867" s="73"/>
    </row>
    <row r="868" ht="15.75" customHeight="1">
      <c r="A868" s="73"/>
      <c r="B868" s="178"/>
      <c r="C868" s="179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2"/>
      <c r="AB868" s="72"/>
      <c r="AC868" s="73"/>
      <c r="AD868" s="73"/>
      <c r="AE868" s="73"/>
      <c r="AF868" s="73"/>
      <c r="AG868" s="73"/>
      <c r="AH868" s="73"/>
    </row>
    <row r="869" ht="15.75" customHeight="1">
      <c r="A869" s="73"/>
      <c r="B869" s="178"/>
      <c r="C869" s="179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2"/>
      <c r="AB869" s="72"/>
      <c r="AC869" s="73"/>
      <c r="AD869" s="73"/>
      <c r="AE869" s="73"/>
      <c r="AF869" s="73"/>
      <c r="AG869" s="73"/>
      <c r="AH869" s="73"/>
    </row>
    <row r="870" ht="15.75" customHeight="1">
      <c r="A870" s="73"/>
      <c r="B870" s="178"/>
      <c r="C870" s="179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2"/>
      <c r="AB870" s="72"/>
      <c r="AC870" s="73"/>
      <c r="AD870" s="73"/>
      <c r="AE870" s="73"/>
      <c r="AF870" s="73"/>
      <c r="AG870" s="73"/>
      <c r="AH870" s="73"/>
    </row>
    <row r="871" ht="15.75" customHeight="1">
      <c r="A871" s="73"/>
      <c r="B871" s="178"/>
      <c r="C871" s="179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2"/>
      <c r="AB871" s="72"/>
      <c r="AC871" s="73"/>
      <c r="AD871" s="73"/>
      <c r="AE871" s="73"/>
      <c r="AF871" s="73"/>
      <c r="AG871" s="73"/>
      <c r="AH871" s="73"/>
    </row>
    <row r="872" ht="15.75" customHeight="1">
      <c r="A872" s="73"/>
      <c r="B872" s="178"/>
      <c r="C872" s="179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2"/>
      <c r="AB872" s="72"/>
      <c r="AC872" s="73"/>
      <c r="AD872" s="73"/>
      <c r="AE872" s="73"/>
      <c r="AF872" s="73"/>
      <c r="AG872" s="73"/>
      <c r="AH872" s="73"/>
    </row>
    <row r="873" ht="15.75" customHeight="1">
      <c r="A873" s="73"/>
      <c r="B873" s="178"/>
      <c r="C873" s="179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2"/>
      <c r="AB873" s="72"/>
      <c r="AC873" s="73"/>
      <c r="AD873" s="73"/>
      <c r="AE873" s="73"/>
      <c r="AF873" s="73"/>
      <c r="AG873" s="73"/>
      <c r="AH873" s="73"/>
    </row>
    <row r="874" ht="15.75" customHeight="1">
      <c r="A874" s="73"/>
      <c r="B874" s="178"/>
      <c r="C874" s="179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2"/>
      <c r="AB874" s="72"/>
      <c r="AC874" s="73"/>
      <c r="AD874" s="73"/>
      <c r="AE874" s="73"/>
      <c r="AF874" s="73"/>
      <c r="AG874" s="73"/>
      <c r="AH874" s="73"/>
    </row>
    <row r="875" ht="15.75" customHeight="1">
      <c r="A875" s="73"/>
      <c r="B875" s="178"/>
      <c r="C875" s="179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2"/>
      <c r="AB875" s="72"/>
      <c r="AC875" s="73"/>
      <c r="AD875" s="73"/>
      <c r="AE875" s="73"/>
      <c r="AF875" s="73"/>
      <c r="AG875" s="73"/>
      <c r="AH875" s="73"/>
    </row>
    <row r="876" ht="15.75" customHeight="1">
      <c r="A876" s="73"/>
      <c r="B876" s="178"/>
      <c r="C876" s="179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2"/>
      <c r="AB876" s="72"/>
      <c r="AC876" s="73"/>
      <c r="AD876" s="73"/>
      <c r="AE876" s="73"/>
      <c r="AF876" s="73"/>
      <c r="AG876" s="73"/>
      <c r="AH876" s="73"/>
    </row>
    <row r="877" ht="15.75" customHeight="1">
      <c r="A877" s="73"/>
      <c r="B877" s="178"/>
      <c r="C877" s="179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2"/>
      <c r="AB877" s="72"/>
      <c r="AC877" s="73"/>
      <c r="AD877" s="73"/>
      <c r="AE877" s="73"/>
      <c r="AF877" s="73"/>
      <c r="AG877" s="73"/>
      <c r="AH877" s="73"/>
    </row>
    <row r="878" ht="15.75" customHeight="1">
      <c r="A878" s="73"/>
      <c r="B878" s="178"/>
      <c r="C878" s="179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2"/>
      <c r="AB878" s="72"/>
      <c r="AC878" s="73"/>
      <c r="AD878" s="73"/>
      <c r="AE878" s="73"/>
      <c r="AF878" s="73"/>
      <c r="AG878" s="73"/>
      <c r="AH878" s="73"/>
    </row>
    <row r="879" ht="15.75" customHeight="1">
      <c r="A879" s="73"/>
      <c r="B879" s="178"/>
      <c r="C879" s="179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2"/>
      <c r="AB879" s="72"/>
      <c r="AC879" s="73"/>
      <c r="AD879" s="73"/>
      <c r="AE879" s="73"/>
      <c r="AF879" s="73"/>
      <c r="AG879" s="73"/>
      <c r="AH879" s="73"/>
    </row>
    <row r="880" ht="15.75" customHeight="1">
      <c r="A880" s="73"/>
      <c r="B880" s="178"/>
      <c r="C880" s="179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2"/>
      <c r="AB880" s="72"/>
      <c r="AC880" s="73"/>
      <c r="AD880" s="73"/>
      <c r="AE880" s="73"/>
      <c r="AF880" s="73"/>
      <c r="AG880" s="73"/>
      <c r="AH880" s="73"/>
    </row>
    <row r="881" ht="15.75" customHeight="1">
      <c r="A881" s="73"/>
      <c r="B881" s="178"/>
      <c r="C881" s="179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2"/>
      <c r="AB881" s="72"/>
      <c r="AC881" s="73"/>
      <c r="AD881" s="73"/>
      <c r="AE881" s="73"/>
      <c r="AF881" s="73"/>
      <c r="AG881" s="73"/>
      <c r="AH881" s="73"/>
    </row>
    <row r="882" ht="15.75" customHeight="1">
      <c r="A882" s="73"/>
      <c r="B882" s="178"/>
      <c r="C882" s="179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2"/>
      <c r="AB882" s="72"/>
      <c r="AC882" s="73"/>
      <c r="AD882" s="73"/>
      <c r="AE882" s="73"/>
      <c r="AF882" s="73"/>
      <c r="AG882" s="73"/>
      <c r="AH882" s="73"/>
    </row>
    <row r="883" ht="15.75" customHeight="1">
      <c r="A883" s="73"/>
      <c r="B883" s="178"/>
      <c r="C883" s="179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2"/>
      <c r="AB883" s="72"/>
      <c r="AC883" s="73"/>
      <c r="AD883" s="73"/>
      <c r="AE883" s="73"/>
      <c r="AF883" s="73"/>
      <c r="AG883" s="73"/>
      <c r="AH883" s="73"/>
    </row>
    <row r="884" ht="15.75" customHeight="1">
      <c r="A884" s="73"/>
      <c r="B884" s="178"/>
      <c r="C884" s="179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2"/>
      <c r="AB884" s="72"/>
      <c r="AC884" s="73"/>
      <c r="AD884" s="73"/>
      <c r="AE884" s="73"/>
      <c r="AF884" s="73"/>
      <c r="AG884" s="73"/>
      <c r="AH884" s="73"/>
    </row>
    <row r="885" ht="15.75" customHeight="1">
      <c r="A885" s="73"/>
      <c r="B885" s="178"/>
      <c r="C885" s="179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2"/>
      <c r="AB885" s="72"/>
      <c r="AC885" s="73"/>
      <c r="AD885" s="73"/>
      <c r="AE885" s="73"/>
      <c r="AF885" s="73"/>
      <c r="AG885" s="73"/>
      <c r="AH885" s="73"/>
    </row>
    <row r="886" ht="15.75" customHeight="1">
      <c r="A886" s="73"/>
      <c r="B886" s="178"/>
      <c r="C886" s="179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2"/>
      <c r="AB886" s="72"/>
      <c r="AC886" s="73"/>
      <c r="AD886" s="73"/>
      <c r="AE886" s="73"/>
      <c r="AF886" s="73"/>
      <c r="AG886" s="73"/>
      <c r="AH886" s="73"/>
    </row>
    <row r="887" ht="15.75" customHeight="1">
      <c r="A887" s="73"/>
      <c r="B887" s="178"/>
      <c r="C887" s="179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2"/>
      <c r="AB887" s="72"/>
      <c r="AC887" s="73"/>
      <c r="AD887" s="73"/>
      <c r="AE887" s="73"/>
      <c r="AF887" s="73"/>
      <c r="AG887" s="73"/>
      <c r="AH887" s="73"/>
    </row>
    <row r="888" ht="15.75" customHeight="1">
      <c r="A888" s="73"/>
      <c r="B888" s="178"/>
      <c r="C888" s="179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2"/>
      <c r="AB888" s="72"/>
      <c r="AC888" s="73"/>
      <c r="AD888" s="73"/>
      <c r="AE888" s="73"/>
      <c r="AF888" s="73"/>
      <c r="AG888" s="73"/>
      <c r="AH888" s="73"/>
    </row>
    <row r="889" ht="15.75" customHeight="1">
      <c r="A889" s="73"/>
      <c r="B889" s="178"/>
      <c r="C889" s="179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2"/>
      <c r="AB889" s="72"/>
      <c r="AC889" s="73"/>
      <c r="AD889" s="73"/>
      <c r="AE889" s="73"/>
      <c r="AF889" s="73"/>
      <c r="AG889" s="73"/>
      <c r="AH889" s="73"/>
    </row>
    <row r="890" ht="15.75" customHeight="1">
      <c r="A890" s="73"/>
      <c r="B890" s="178"/>
      <c r="C890" s="179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2"/>
      <c r="AB890" s="72"/>
      <c r="AC890" s="73"/>
      <c r="AD890" s="73"/>
      <c r="AE890" s="73"/>
      <c r="AF890" s="73"/>
      <c r="AG890" s="73"/>
      <c r="AH890" s="73"/>
    </row>
    <row r="891" ht="15.75" customHeight="1">
      <c r="A891" s="73"/>
      <c r="B891" s="178"/>
      <c r="C891" s="179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2"/>
      <c r="AB891" s="72"/>
      <c r="AC891" s="73"/>
      <c r="AD891" s="73"/>
      <c r="AE891" s="73"/>
      <c r="AF891" s="73"/>
      <c r="AG891" s="73"/>
      <c r="AH891" s="73"/>
    </row>
    <row r="892" ht="15.75" customHeight="1">
      <c r="A892" s="73"/>
      <c r="B892" s="178"/>
      <c r="C892" s="179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2"/>
      <c r="AB892" s="72"/>
      <c r="AC892" s="73"/>
      <c r="AD892" s="73"/>
      <c r="AE892" s="73"/>
      <c r="AF892" s="73"/>
      <c r="AG892" s="73"/>
      <c r="AH892" s="73"/>
    </row>
    <row r="893" ht="15.75" customHeight="1">
      <c r="A893" s="73"/>
      <c r="B893" s="178"/>
      <c r="C893" s="179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2"/>
      <c r="AB893" s="72"/>
      <c r="AC893" s="73"/>
      <c r="AD893" s="73"/>
      <c r="AE893" s="73"/>
      <c r="AF893" s="73"/>
      <c r="AG893" s="73"/>
      <c r="AH893" s="73"/>
    </row>
    <row r="894" ht="15.75" customHeight="1">
      <c r="A894" s="73"/>
      <c r="B894" s="178"/>
      <c r="C894" s="179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2"/>
      <c r="AB894" s="72"/>
      <c r="AC894" s="73"/>
      <c r="AD894" s="73"/>
      <c r="AE894" s="73"/>
      <c r="AF894" s="73"/>
      <c r="AG894" s="73"/>
      <c r="AH894" s="73"/>
    </row>
    <row r="895" ht="15.75" customHeight="1">
      <c r="A895" s="73"/>
      <c r="B895" s="178"/>
      <c r="C895" s="179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2"/>
      <c r="AB895" s="72"/>
      <c r="AC895" s="73"/>
      <c r="AD895" s="73"/>
      <c r="AE895" s="73"/>
      <c r="AF895" s="73"/>
      <c r="AG895" s="73"/>
      <c r="AH895" s="73"/>
    </row>
    <row r="896" ht="15.75" customHeight="1">
      <c r="A896" s="73"/>
      <c r="B896" s="178"/>
      <c r="C896" s="179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2"/>
      <c r="AB896" s="72"/>
      <c r="AC896" s="73"/>
      <c r="AD896" s="73"/>
      <c r="AE896" s="73"/>
      <c r="AF896" s="73"/>
      <c r="AG896" s="73"/>
      <c r="AH896" s="73"/>
    </row>
    <row r="897" ht="15.75" customHeight="1">
      <c r="A897" s="73"/>
      <c r="B897" s="178"/>
      <c r="C897" s="179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2"/>
      <c r="AB897" s="72"/>
      <c r="AC897" s="73"/>
      <c r="AD897" s="73"/>
      <c r="AE897" s="73"/>
      <c r="AF897" s="73"/>
      <c r="AG897" s="73"/>
      <c r="AH897" s="73"/>
    </row>
    <row r="898" ht="15.75" customHeight="1">
      <c r="A898" s="73"/>
      <c r="B898" s="178"/>
      <c r="C898" s="179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2"/>
      <c r="AB898" s="72"/>
      <c r="AC898" s="73"/>
      <c r="AD898" s="73"/>
      <c r="AE898" s="73"/>
      <c r="AF898" s="73"/>
      <c r="AG898" s="73"/>
      <c r="AH898" s="73"/>
    </row>
    <row r="899" ht="15.75" customHeight="1">
      <c r="A899" s="73"/>
      <c r="B899" s="178"/>
      <c r="C899" s="179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2"/>
      <c r="AB899" s="72"/>
      <c r="AC899" s="73"/>
      <c r="AD899" s="73"/>
      <c r="AE899" s="73"/>
      <c r="AF899" s="73"/>
      <c r="AG899" s="73"/>
      <c r="AH899" s="73"/>
    </row>
    <row r="900" ht="15.75" customHeight="1">
      <c r="A900" s="73"/>
      <c r="B900" s="178"/>
      <c r="C900" s="179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2"/>
      <c r="AB900" s="72"/>
      <c r="AC900" s="73"/>
      <c r="AD900" s="73"/>
      <c r="AE900" s="73"/>
      <c r="AF900" s="73"/>
      <c r="AG900" s="73"/>
      <c r="AH900" s="73"/>
    </row>
    <row r="901" ht="15.75" customHeight="1">
      <c r="A901" s="73"/>
      <c r="B901" s="178"/>
      <c r="C901" s="179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2"/>
      <c r="AB901" s="72"/>
      <c r="AC901" s="73"/>
      <c r="AD901" s="73"/>
      <c r="AE901" s="73"/>
      <c r="AF901" s="73"/>
      <c r="AG901" s="73"/>
      <c r="AH901" s="73"/>
    </row>
    <row r="902" ht="15.75" customHeight="1">
      <c r="A902" s="73"/>
      <c r="B902" s="178"/>
      <c r="C902" s="179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2"/>
      <c r="AB902" s="72"/>
      <c r="AC902" s="73"/>
      <c r="AD902" s="73"/>
      <c r="AE902" s="73"/>
      <c r="AF902" s="73"/>
      <c r="AG902" s="73"/>
      <c r="AH902" s="73"/>
    </row>
    <row r="903" ht="15.75" customHeight="1">
      <c r="A903" s="73"/>
      <c r="B903" s="178"/>
      <c r="C903" s="179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2"/>
      <c r="AB903" s="72"/>
      <c r="AC903" s="73"/>
      <c r="AD903" s="73"/>
      <c r="AE903" s="73"/>
      <c r="AF903" s="73"/>
      <c r="AG903" s="73"/>
      <c r="AH903" s="73"/>
    </row>
    <row r="904" ht="15.75" customHeight="1">
      <c r="A904" s="73"/>
      <c r="B904" s="178"/>
      <c r="C904" s="179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2"/>
      <c r="AB904" s="72"/>
      <c r="AC904" s="73"/>
      <c r="AD904" s="73"/>
      <c r="AE904" s="73"/>
      <c r="AF904" s="73"/>
      <c r="AG904" s="73"/>
      <c r="AH904" s="73"/>
    </row>
    <row r="905" ht="15.75" customHeight="1">
      <c r="A905" s="73"/>
      <c r="B905" s="178"/>
      <c r="C905" s="179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2"/>
      <c r="AB905" s="72"/>
      <c r="AC905" s="73"/>
      <c r="AD905" s="73"/>
      <c r="AE905" s="73"/>
      <c r="AF905" s="73"/>
      <c r="AG905" s="73"/>
      <c r="AH905" s="73"/>
    </row>
    <row r="906" ht="15.75" customHeight="1">
      <c r="A906" s="73"/>
      <c r="B906" s="178"/>
      <c r="C906" s="179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2"/>
      <c r="AB906" s="72"/>
      <c r="AC906" s="73"/>
      <c r="AD906" s="73"/>
      <c r="AE906" s="73"/>
      <c r="AF906" s="73"/>
      <c r="AG906" s="73"/>
      <c r="AH906" s="73"/>
    </row>
    <row r="907" ht="15.75" customHeight="1">
      <c r="A907" s="73"/>
      <c r="B907" s="178"/>
      <c r="C907" s="179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2"/>
      <c r="AB907" s="72"/>
      <c r="AC907" s="73"/>
      <c r="AD907" s="73"/>
      <c r="AE907" s="73"/>
      <c r="AF907" s="73"/>
      <c r="AG907" s="73"/>
      <c r="AH907" s="73"/>
    </row>
    <row r="908" ht="15.75" customHeight="1">
      <c r="A908" s="73"/>
      <c r="B908" s="178"/>
      <c r="C908" s="179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2"/>
      <c r="AB908" s="72"/>
      <c r="AC908" s="73"/>
      <c r="AD908" s="73"/>
      <c r="AE908" s="73"/>
      <c r="AF908" s="73"/>
      <c r="AG908" s="73"/>
      <c r="AH908" s="73"/>
    </row>
    <row r="909" ht="15.75" customHeight="1">
      <c r="A909" s="73"/>
      <c r="B909" s="178"/>
      <c r="C909" s="179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2"/>
      <c r="AB909" s="72"/>
      <c r="AC909" s="73"/>
      <c r="AD909" s="73"/>
      <c r="AE909" s="73"/>
      <c r="AF909" s="73"/>
      <c r="AG909" s="73"/>
      <c r="AH909" s="73"/>
    </row>
    <row r="910" ht="15.75" customHeight="1">
      <c r="A910" s="73"/>
      <c r="B910" s="178"/>
      <c r="C910" s="179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2"/>
      <c r="AB910" s="72"/>
      <c r="AC910" s="73"/>
      <c r="AD910" s="73"/>
      <c r="AE910" s="73"/>
      <c r="AF910" s="73"/>
      <c r="AG910" s="73"/>
      <c r="AH910" s="73"/>
    </row>
    <row r="911" ht="15.75" customHeight="1">
      <c r="A911" s="73"/>
      <c r="B911" s="178"/>
      <c r="C911" s="179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2"/>
      <c r="AB911" s="72"/>
      <c r="AC911" s="73"/>
      <c r="AD911" s="73"/>
      <c r="AE911" s="73"/>
      <c r="AF911" s="73"/>
      <c r="AG911" s="73"/>
      <c r="AH911" s="73"/>
    </row>
    <row r="912" ht="15.75" customHeight="1">
      <c r="A912" s="73"/>
      <c r="B912" s="178"/>
      <c r="C912" s="179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2"/>
      <c r="AB912" s="72"/>
      <c r="AC912" s="73"/>
      <c r="AD912" s="73"/>
      <c r="AE912" s="73"/>
      <c r="AF912" s="73"/>
      <c r="AG912" s="73"/>
      <c r="AH912" s="73"/>
    </row>
    <row r="913" ht="15.75" customHeight="1">
      <c r="A913" s="73"/>
      <c r="B913" s="178"/>
      <c r="C913" s="179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2"/>
      <c r="AB913" s="72"/>
      <c r="AC913" s="73"/>
      <c r="AD913" s="73"/>
      <c r="AE913" s="73"/>
      <c r="AF913" s="73"/>
      <c r="AG913" s="73"/>
      <c r="AH913" s="73"/>
    </row>
    <row r="914" ht="15.75" customHeight="1">
      <c r="A914" s="73"/>
      <c r="B914" s="178"/>
      <c r="C914" s="179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2"/>
      <c r="AB914" s="72"/>
      <c r="AC914" s="73"/>
      <c r="AD914" s="73"/>
      <c r="AE914" s="73"/>
      <c r="AF914" s="73"/>
      <c r="AG914" s="73"/>
      <c r="AH914" s="73"/>
    </row>
    <row r="915" ht="15.75" customHeight="1">
      <c r="A915" s="73"/>
      <c r="B915" s="178"/>
      <c r="C915" s="179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2"/>
      <c r="AB915" s="72"/>
      <c r="AC915" s="73"/>
      <c r="AD915" s="73"/>
      <c r="AE915" s="73"/>
      <c r="AF915" s="73"/>
      <c r="AG915" s="73"/>
      <c r="AH915" s="73"/>
    </row>
    <row r="916" ht="15.75" customHeight="1">
      <c r="A916" s="73"/>
      <c r="B916" s="178"/>
      <c r="C916" s="179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2"/>
      <c r="AB916" s="72"/>
      <c r="AC916" s="73"/>
      <c r="AD916" s="73"/>
      <c r="AE916" s="73"/>
      <c r="AF916" s="73"/>
      <c r="AG916" s="73"/>
      <c r="AH916" s="73"/>
    </row>
    <row r="917" ht="15.75" customHeight="1">
      <c r="A917" s="73"/>
      <c r="B917" s="178"/>
      <c r="C917" s="179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2"/>
      <c r="AB917" s="72"/>
      <c r="AC917" s="73"/>
      <c r="AD917" s="73"/>
      <c r="AE917" s="73"/>
      <c r="AF917" s="73"/>
      <c r="AG917" s="73"/>
      <c r="AH917" s="73"/>
    </row>
    <row r="918" ht="15.75" customHeight="1">
      <c r="A918" s="73"/>
      <c r="B918" s="178"/>
      <c r="C918" s="179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2"/>
      <c r="AB918" s="72"/>
      <c r="AC918" s="73"/>
      <c r="AD918" s="73"/>
      <c r="AE918" s="73"/>
      <c r="AF918" s="73"/>
      <c r="AG918" s="73"/>
      <c r="AH918" s="73"/>
    </row>
    <row r="919" ht="15.75" customHeight="1">
      <c r="A919" s="73"/>
      <c r="B919" s="178"/>
      <c r="C919" s="179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2"/>
      <c r="AB919" s="72"/>
      <c r="AC919" s="73"/>
      <c r="AD919" s="73"/>
      <c r="AE919" s="73"/>
      <c r="AF919" s="73"/>
      <c r="AG919" s="73"/>
      <c r="AH919" s="73"/>
    </row>
    <row r="920" ht="15.75" customHeight="1">
      <c r="A920" s="73"/>
      <c r="B920" s="178"/>
      <c r="C920" s="179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2"/>
      <c r="AB920" s="72"/>
      <c r="AC920" s="73"/>
      <c r="AD920" s="73"/>
      <c r="AE920" s="73"/>
      <c r="AF920" s="73"/>
      <c r="AG920" s="73"/>
      <c r="AH920" s="73"/>
    </row>
    <row r="921" ht="15.75" customHeight="1">
      <c r="A921" s="73"/>
      <c r="B921" s="178"/>
      <c r="C921" s="179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2"/>
      <c r="AB921" s="72"/>
      <c r="AC921" s="73"/>
      <c r="AD921" s="73"/>
      <c r="AE921" s="73"/>
      <c r="AF921" s="73"/>
      <c r="AG921" s="73"/>
      <c r="AH921" s="73"/>
    </row>
    <row r="922" ht="15.75" customHeight="1">
      <c r="A922" s="73"/>
      <c r="B922" s="178"/>
      <c r="C922" s="179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2"/>
      <c r="AB922" s="72"/>
      <c r="AC922" s="73"/>
      <c r="AD922" s="73"/>
      <c r="AE922" s="73"/>
      <c r="AF922" s="73"/>
      <c r="AG922" s="73"/>
      <c r="AH922" s="73"/>
    </row>
    <row r="923" ht="15.75" customHeight="1">
      <c r="A923" s="73"/>
      <c r="B923" s="178"/>
      <c r="C923" s="179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2"/>
      <c r="AB923" s="72"/>
      <c r="AC923" s="73"/>
      <c r="AD923" s="73"/>
      <c r="AE923" s="73"/>
      <c r="AF923" s="73"/>
      <c r="AG923" s="73"/>
      <c r="AH923" s="73"/>
    </row>
    <row r="924" ht="15.75" customHeight="1">
      <c r="A924" s="73"/>
      <c r="B924" s="178"/>
      <c r="C924" s="179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2"/>
      <c r="AB924" s="72"/>
      <c r="AC924" s="73"/>
      <c r="AD924" s="73"/>
      <c r="AE924" s="73"/>
      <c r="AF924" s="73"/>
      <c r="AG924" s="73"/>
      <c r="AH924" s="73"/>
    </row>
    <row r="925" ht="15.75" customHeight="1">
      <c r="A925" s="73"/>
      <c r="B925" s="178"/>
      <c r="C925" s="179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2"/>
      <c r="AB925" s="72"/>
      <c r="AC925" s="73"/>
      <c r="AD925" s="73"/>
      <c r="AE925" s="73"/>
      <c r="AF925" s="73"/>
      <c r="AG925" s="73"/>
      <c r="AH925" s="73"/>
    </row>
    <row r="926" ht="15.75" customHeight="1">
      <c r="A926" s="73"/>
      <c r="B926" s="178"/>
      <c r="C926" s="179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2"/>
      <c r="AB926" s="72"/>
      <c r="AC926" s="73"/>
      <c r="AD926" s="73"/>
      <c r="AE926" s="73"/>
      <c r="AF926" s="73"/>
      <c r="AG926" s="73"/>
      <c r="AH926" s="73"/>
    </row>
    <row r="927" ht="15.75" customHeight="1">
      <c r="A927" s="73"/>
      <c r="B927" s="178"/>
      <c r="C927" s="179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2"/>
      <c r="AB927" s="72"/>
      <c r="AC927" s="73"/>
      <c r="AD927" s="73"/>
      <c r="AE927" s="73"/>
      <c r="AF927" s="73"/>
      <c r="AG927" s="73"/>
      <c r="AH927" s="73"/>
    </row>
    <row r="928" ht="15.75" customHeight="1">
      <c r="A928" s="73"/>
      <c r="B928" s="178"/>
      <c r="C928" s="179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2"/>
      <c r="AB928" s="72"/>
      <c r="AC928" s="73"/>
      <c r="AD928" s="73"/>
      <c r="AE928" s="73"/>
      <c r="AF928" s="73"/>
      <c r="AG928" s="73"/>
      <c r="AH928" s="73"/>
    </row>
    <row r="929" ht="15.75" customHeight="1">
      <c r="A929" s="73"/>
      <c r="B929" s="178"/>
      <c r="C929" s="179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2"/>
      <c r="AB929" s="72"/>
      <c r="AC929" s="73"/>
      <c r="AD929" s="73"/>
      <c r="AE929" s="73"/>
      <c r="AF929" s="73"/>
      <c r="AG929" s="73"/>
      <c r="AH929" s="73"/>
    </row>
    <row r="930" ht="15.75" customHeight="1">
      <c r="A930" s="73"/>
      <c r="B930" s="178"/>
      <c r="C930" s="179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2"/>
      <c r="AB930" s="72"/>
      <c r="AC930" s="73"/>
      <c r="AD930" s="73"/>
      <c r="AE930" s="73"/>
      <c r="AF930" s="73"/>
      <c r="AG930" s="73"/>
      <c r="AH930" s="73"/>
    </row>
    <row r="931" ht="15.75" customHeight="1">
      <c r="A931" s="73"/>
      <c r="B931" s="178"/>
      <c r="C931" s="179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2"/>
      <c r="AB931" s="72"/>
      <c r="AC931" s="73"/>
      <c r="AD931" s="73"/>
      <c r="AE931" s="73"/>
      <c r="AF931" s="73"/>
      <c r="AG931" s="73"/>
      <c r="AH931" s="73"/>
    </row>
    <row r="932" ht="15.75" customHeight="1">
      <c r="A932" s="73"/>
      <c r="B932" s="178"/>
      <c r="C932" s="179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2"/>
      <c r="AB932" s="72"/>
      <c r="AC932" s="73"/>
      <c r="AD932" s="73"/>
      <c r="AE932" s="73"/>
      <c r="AF932" s="73"/>
      <c r="AG932" s="73"/>
      <c r="AH932" s="73"/>
    </row>
    <row r="933" ht="15.75" customHeight="1">
      <c r="A933" s="73"/>
      <c r="B933" s="178"/>
      <c r="C933" s="179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2"/>
      <c r="AB933" s="72"/>
      <c r="AC933" s="73"/>
      <c r="AD933" s="73"/>
      <c r="AE933" s="73"/>
      <c r="AF933" s="73"/>
      <c r="AG933" s="73"/>
      <c r="AH933" s="73"/>
    </row>
    <row r="934" ht="15.75" customHeight="1">
      <c r="A934" s="73"/>
      <c r="B934" s="178"/>
      <c r="C934" s="179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2"/>
      <c r="AB934" s="72"/>
      <c r="AC934" s="73"/>
      <c r="AD934" s="73"/>
      <c r="AE934" s="73"/>
      <c r="AF934" s="73"/>
      <c r="AG934" s="73"/>
      <c r="AH934" s="73"/>
    </row>
    <row r="935" ht="15.75" customHeight="1">
      <c r="A935" s="73"/>
      <c r="B935" s="178"/>
      <c r="C935" s="179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2"/>
      <c r="AB935" s="72"/>
      <c r="AC935" s="73"/>
      <c r="AD935" s="73"/>
      <c r="AE935" s="73"/>
      <c r="AF935" s="73"/>
      <c r="AG935" s="73"/>
      <c r="AH935" s="73"/>
    </row>
    <row r="936" ht="15.75" customHeight="1">
      <c r="A936" s="73"/>
      <c r="B936" s="178"/>
      <c r="C936" s="179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2"/>
      <c r="AB936" s="72"/>
      <c r="AC936" s="73"/>
      <c r="AD936" s="73"/>
      <c r="AE936" s="73"/>
      <c r="AF936" s="73"/>
      <c r="AG936" s="73"/>
      <c r="AH936" s="73"/>
    </row>
    <row r="937" ht="15.75" customHeight="1">
      <c r="A937" s="73"/>
      <c r="B937" s="178"/>
      <c r="C937" s="179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2"/>
      <c r="AB937" s="72"/>
      <c r="AC937" s="73"/>
      <c r="AD937" s="73"/>
      <c r="AE937" s="73"/>
      <c r="AF937" s="73"/>
      <c r="AG937" s="73"/>
      <c r="AH937" s="73"/>
    </row>
    <row r="938" ht="15.75" customHeight="1">
      <c r="A938" s="73"/>
      <c r="B938" s="178"/>
      <c r="C938" s="179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2"/>
      <c r="AB938" s="72"/>
      <c r="AC938" s="73"/>
      <c r="AD938" s="73"/>
      <c r="AE938" s="73"/>
      <c r="AF938" s="73"/>
      <c r="AG938" s="73"/>
      <c r="AH938" s="73"/>
    </row>
    <row r="939" ht="15.75" customHeight="1">
      <c r="A939" s="73"/>
      <c r="B939" s="178"/>
      <c r="C939" s="179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2"/>
      <c r="AB939" s="72"/>
      <c r="AC939" s="73"/>
      <c r="AD939" s="73"/>
      <c r="AE939" s="73"/>
      <c r="AF939" s="73"/>
      <c r="AG939" s="73"/>
      <c r="AH939" s="73"/>
    </row>
    <row r="940" ht="15.75" customHeight="1">
      <c r="A940" s="73"/>
      <c r="B940" s="178"/>
      <c r="C940" s="179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2"/>
      <c r="AB940" s="72"/>
      <c r="AC940" s="73"/>
      <c r="AD940" s="73"/>
      <c r="AE940" s="73"/>
      <c r="AF940" s="73"/>
      <c r="AG940" s="73"/>
      <c r="AH940" s="73"/>
    </row>
    <row r="941" ht="15.75" customHeight="1">
      <c r="A941" s="73"/>
      <c r="B941" s="178"/>
      <c r="C941" s="179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2"/>
      <c r="AB941" s="72"/>
      <c r="AC941" s="73"/>
      <c r="AD941" s="73"/>
      <c r="AE941" s="73"/>
      <c r="AF941" s="73"/>
      <c r="AG941" s="73"/>
      <c r="AH941" s="73"/>
    </row>
    <row r="942" ht="15.75" customHeight="1">
      <c r="A942" s="73"/>
      <c r="B942" s="178"/>
      <c r="C942" s="179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2"/>
      <c r="AB942" s="72"/>
      <c r="AC942" s="73"/>
      <c r="AD942" s="73"/>
      <c r="AE942" s="73"/>
      <c r="AF942" s="73"/>
      <c r="AG942" s="73"/>
      <c r="AH942" s="73"/>
    </row>
    <row r="943" ht="15.75" customHeight="1">
      <c r="A943" s="73"/>
      <c r="B943" s="178"/>
      <c r="C943" s="179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2"/>
      <c r="AB943" s="72"/>
      <c r="AC943" s="73"/>
      <c r="AD943" s="73"/>
      <c r="AE943" s="73"/>
      <c r="AF943" s="73"/>
      <c r="AG943" s="73"/>
      <c r="AH943" s="73"/>
    </row>
    <row r="944" ht="15.75" customHeight="1">
      <c r="A944" s="73"/>
      <c r="B944" s="178"/>
      <c r="C944" s="179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2"/>
      <c r="AB944" s="72"/>
      <c r="AC944" s="73"/>
      <c r="AD944" s="73"/>
      <c r="AE944" s="73"/>
      <c r="AF944" s="73"/>
      <c r="AG944" s="73"/>
      <c r="AH944" s="73"/>
    </row>
    <row r="945" ht="15.75" customHeight="1">
      <c r="A945" s="73"/>
      <c r="B945" s="178"/>
      <c r="C945" s="179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2"/>
      <c r="AB945" s="72"/>
      <c r="AC945" s="73"/>
      <c r="AD945" s="73"/>
      <c r="AE945" s="73"/>
      <c r="AF945" s="73"/>
      <c r="AG945" s="73"/>
      <c r="AH945" s="73"/>
    </row>
    <row r="946" ht="15.75" customHeight="1">
      <c r="A946" s="73"/>
      <c r="B946" s="178"/>
      <c r="C946" s="179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2"/>
      <c r="AB946" s="72"/>
      <c r="AC946" s="73"/>
      <c r="AD946" s="73"/>
      <c r="AE946" s="73"/>
      <c r="AF946" s="73"/>
      <c r="AG946" s="73"/>
      <c r="AH946" s="73"/>
    </row>
    <row r="947" ht="15.75" customHeight="1">
      <c r="A947" s="73"/>
      <c r="B947" s="178"/>
      <c r="C947" s="179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2"/>
      <c r="AB947" s="72"/>
      <c r="AC947" s="73"/>
      <c r="AD947" s="73"/>
      <c r="AE947" s="73"/>
      <c r="AF947" s="73"/>
      <c r="AG947" s="73"/>
      <c r="AH947" s="73"/>
    </row>
    <row r="948" ht="15.75" customHeight="1">
      <c r="A948" s="73"/>
      <c r="B948" s="178"/>
      <c r="C948" s="179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2"/>
      <c r="AB948" s="72"/>
      <c r="AC948" s="73"/>
      <c r="AD948" s="73"/>
      <c r="AE948" s="73"/>
      <c r="AF948" s="73"/>
      <c r="AG948" s="73"/>
      <c r="AH948" s="73"/>
    </row>
    <row r="949" ht="15.75" customHeight="1">
      <c r="A949" s="73"/>
      <c r="B949" s="178"/>
      <c r="C949" s="179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2"/>
      <c r="AB949" s="72"/>
      <c r="AC949" s="73"/>
      <c r="AD949" s="73"/>
      <c r="AE949" s="73"/>
      <c r="AF949" s="73"/>
      <c r="AG949" s="73"/>
      <c r="AH949" s="73"/>
    </row>
    <row r="950" ht="15.75" customHeight="1">
      <c r="A950" s="73"/>
      <c r="B950" s="178"/>
      <c r="C950" s="179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2"/>
      <c r="AB950" s="72"/>
      <c r="AC950" s="73"/>
      <c r="AD950" s="73"/>
      <c r="AE950" s="73"/>
      <c r="AF950" s="73"/>
      <c r="AG950" s="73"/>
      <c r="AH950" s="73"/>
    </row>
    <row r="951" ht="15.75" customHeight="1">
      <c r="A951" s="73"/>
      <c r="B951" s="178"/>
      <c r="C951" s="179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2"/>
      <c r="AB951" s="72"/>
      <c r="AC951" s="73"/>
      <c r="AD951" s="73"/>
      <c r="AE951" s="73"/>
      <c r="AF951" s="73"/>
      <c r="AG951" s="73"/>
      <c r="AH951" s="73"/>
    </row>
    <row r="952" ht="15.75" customHeight="1">
      <c r="A952" s="73"/>
      <c r="B952" s="178"/>
      <c r="C952" s="179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2"/>
      <c r="AB952" s="72"/>
      <c r="AC952" s="73"/>
      <c r="AD952" s="73"/>
      <c r="AE952" s="73"/>
      <c r="AF952" s="73"/>
      <c r="AG952" s="73"/>
      <c r="AH952" s="73"/>
    </row>
    <row r="953" ht="15.75" customHeight="1">
      <c r="A953" s="73"/>
      <c r="B953" s="178"/>
      <c r="C953" s="179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2"/>
      <c r="AB953" s="72"/>
      <c r="AC953" s="73"/>
      <c r="AD953" s="73"/>
      <c r="AE953" s="73"/>
      <c r="AF953" s="73"/>
      <c r="AG953" s="73"/>
      <c r="AH953" s="73"/>
    </row>
    <row r="954" ht="15.75" customHeight="1">
      <c r="A954" s="73"/>
      <c r="B954" s="178"/>
      <c r="C954" s="179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2"/>
      <c r="AB954" s="72"/>
      <c r="AC954" s="73"/>
      <c r="AD954" s="73"/>
      <c r="AE954" s="73"/>
      <c r="AF954" s="73"/>
      <c r="AG954" s="73"/>
      <c r="AH954" s="73"/>
    </row>
    <row r="955" ht="15.75" customHeight="1">
      <c r="A955" s="73"/>
      <c r="B955" s="178"/>
      <c r="C955" s="179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2"/>
      <c r="AB955" s="72"/>
      <c r="AC955" s="73"/>
      <c r="AD955" s="73"/>
      <c r="AE955" s="73"/>
      <c r="AF955" s="73"/>
      <c r="AG955" s="73"/>
      <c r="AH955" s="73"/>
    </row>
    <row r="956" ht="15.75" customHeight="1">
      <c r="A956" s="73"/>
      <c r="B956" s="178"/>
      <c r="C956" s="179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2"/>
      <c r="AB956" s="72"/>
      <c r="AC956" s="73"/>
      <c r="AD956" s="73"/>
      <c r="AE956" s="73"/>
      <c r="AF956" s="73"/>
      <c r="AG956" s="73"/>
      <c r="AH956" s="73"/>
    </row>
    <row r="957" ht="15.75" customHeight="1">
      <c r="A957" s="73"/>
      <c r="B957" s="178"/>
      <c r="C957" s="179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2"/>
      <c r="AB957" s="72"/>
      <c r="AC957" s="73"/>
      <c r="AD957" s="73"/>
      <c r="AE957" s="73"/>
      <c r="AF957" s="73"/>
      <c r="AG957" s="73"/>
      <c r="AH957" s="73"/>
    </row>
    <row r="958" ht="15.75" customHeight="1">
      <c r="A958" s="73"/>
      <c r="B958" s="178"/>
      <c r="C958" s="179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2"/>
      <c r="AB958" s="72"/>
      <c r="AC958" s="73"/>
      <c r="AD958" s="73"/>
      <c r="AE958" s="73"/>
      <c r="AF958" s="73"/>
      <c r="AG958" s="73"/>
      <c r="AH958" s="73"/>
    </row>
    <row r="959" ht="15.75" customHeight="1">
      <c r="A959" s="73"/>
      <c r="B959" s="178"/>
      <c r="C959" s="179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2"/>
      <c r="AB959" s="72"/>
      <c r="AC959" s="73"/>
      <c r="AD959" s="73"/>
      <c r="AE959" s="73"/>
      <c r="AF959" s="73"/>
      <c r="AG959" s="73"/>
      <c r="AH959" s="73"/>
    </row>
    <row r="960" ht="15.75" customHeight="1">
      <c r="A960" s="73"/>
      <c r="B960" s="178"/>
      <c r="C960" s="179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2"/>
      <c r="AB960" s="72"/>
      <c r="AC960" s="73"/>
      <c r="AD960" s="73"/>
      <c r="AE960" s="73"/>
      <c r="AF960" s="73"/>
      <c r="AG960" s="73"/>
      <c r="AH960" s="73"/>
    </row>
    <row r="961" ht="15.75" customHeight="1">
      <c r="A961" s="73"/>
      <c r="B961" s="178"/>
      <c r="C961" s="179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2"/>
      <c r="AB961" s="72"/>
      <c r="AC961" s="73"/>
      <c r="AD961" s="73"/>
      <c r="AE961" s="73"/>
      <c r="AF961" s="73"/>
      <c r="AG961" s="73"/>
      <c r="AH961" s="73"/>
    </row>
    <row r="962" ht="15.75" customHeight="1">
      <c r="A962" s="73"/>
      <c r="B962" s="178"/>
      <c r="C962" s="179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2"/>
      <c r="AB962" s="72"/>
      <c r="AC962" s="73"/>
      <c r="AD962" s="73"/>
      <c r="AE962" s="73"/>
      <c r="AF962" s="73"/>
      <c r="AG962" s="73"/>
      <c r="AH962" s="73"/>
    </row>
    <row r="963" ht="15.75" customHeight="1">
      <c r="A963" s="73"/>
      <c r="B963" s="178"/>
      <c r="C963" s="179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2"/>
      <c r="AB963" s="72"/>
      <c r="AC963" s="73"/>
      <c r="AD963" s="73"/>
      <c r="AE963" s="73"/>
      <c r="AF963" s="73"/>
      <c r="AG963" s="73"/>
      <c r="AH963" s="73"/>
    </row>
    <row r="964" ht="15.75" customHeight="1">
      <c r="A964" s="73"/>
      <c r="B964" s="178"/>
      <c r="C964" s="179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2"/>
      <c r="AB964" s="72"/>
      <c r="AC964" s="73"/>
      <c r="AD964" s="73"/>
      <c r="AE964" s="73"/>
      <c r="AF964" s="73"/>
      <c r="AG964" s="73"/>
      <c r="AH964" s="73"/>
    </row>
    <row r="965" ht="15.75" customHeight="1">
      <c r="A965" s="73"/>
      <c r="B965" s="178"/>
      <c r="C965" s="179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2"/>
      <c r="AB965" s="72"/>
      <c r="AC965" s="73"/>
      <c r="AD965" s="73"/>
      <c r="AE965" s="73"/>
      <c r="AF965" s="73"/>
      <c r="AG965" s="73"/>
      <c r="AH965" s="73"/>
    </row>
    <row r="966" ht="15.75" customHeight="1">
      <c r="A966" s="73"/>
      <c r="B966" s="178"/>
      <c r="C966" s="179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2"/>
      <c r="AB966" s="72"/>
      <c r="AC966" s="73"/>
      <c r="AD966" s="73"/>
      <c r="AE966" s="73"/>
      <c r="AF966" s="73"/>
      <c r="AG966" s="73"/>
      <c r="AH966" s="73"/>
    </row>
    <row r="967" ht="15.75" customHeight="1">
      <c r="A967" s="73"/>
      <c r="B967" s="178"/>
      <c r="C967" s="179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2"/>
      <c r="AB967" s="72"/>
      <c r="AC967" s="73"/>
      <c r="AD967" s="73"/>
      <c r="AE967" s="73"/>
      <c r="AF967" s="73"/>
      <c r="AG967" s="73"/>
      <c r="AH967" s="73"/>
    </row>
    <row r="968" ht="15.75" customHeight="1">
      <c r="A968" s="73"/>
      <c r="B968" s="178"/>
      <c r="C968" s="179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2"/>
      <c r="AB968" s="72"/>
      <c r="AC968" s="73"/>
      <c r="AD968" s="73"/>
      <c r="AE968" s="73"/>
      <c r="AF968" s="73"/>
      <c r="AG968" s="73"/>
      <c r="AH968" s="73"/>
    </row>
    <row r="969" ht="15.75" customHeight="1">
      <c r="A969" s="73"/>
      <c r="B969" s="178"/>
      <c r="C969" s="179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2"/>
      <c r="AB969" s="72"/>
      <c r="AC969" s="73"/>
      <c r="AD969" s="73"/>
      <c r="AE969" s="73"/>
      <c r="AF969" s="73"/>
      <c r="AG969" s="73"/>
      <c r="AH969" s="73"/>
    </row>
    <row r="970" ht="15.75" customHeight="1">
      <c r="A970" s="73"/>
      <c r="B970" s="178"/>
      <c r="C970" s="179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2"/>
      <c r="AB970" s="72"/>
      <c r="AC970" s="73"/>
      <c r="AD970" s="73"/>
      <c r="AE970" s="73"/>
      <c r="AF970" s="73"/>
      <c r="AG970" s="73"/>
      <c r="AH970" s="73"/>
    </row>
    <row r="971" ht="15.75" customHeight="1">
      <c r="A971" s="73"/>
      <c r="B971" s="178"/>
      <c r="C971" s="179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2"/>
      <c r="AB971" s="72"/>
      <c r="AC971" s="73"/>
      <c r="AD971" s="73"/>
      <c r="AE971" s="73"/>
      <c r="AF971" s="73"/>
      <c r="AG971" s="73"/>
      <c r="AH971" s="73"/>
    </row>
    <row r="972" ht="15.75" customHeight="1">
      <c r="A972" s="73"/>
      <c r="B972" s="178"/>
      <c r="C972" s="179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2"/>
      <c r="AB972" s="72"/>
      <c r="AC972" s="73"/>
      <c r="AD972" s="73"/>
      <c r="AE972" s="73"/>
      <c r="AF972" s="73"/>
      <c r="AG972" s="73"/>
      <c r="AH972" s="73"/>
    </row>
    <row r="973" ht="15.75" customHeight="1">
      <c r="A973" s="73"/>
      <c r="B973" s="178"/>
      <c r="C973" s="179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2"/>
      <c r="AB973" s="72"/>
      <c r="AC973" s="73"/>
      <c r="AD973" s="73"/>
      <c r="AE973" s="73"/>
      <c r="AF973" s="73"/>
      <c r="AG973" s="73"/>
      <c r="AH973" s="73"/>
    </row>
    <row r="974" ht="15.75" customHeight="1">
      <c r="A974" s="73"/>
      <c r="B974" s="178"/>
      <c r="C974" s="179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2"/>
      <c r="AB974" s="72"/>
      <c r="AC974" s="73"/>
      <c r="AD974" s="73"/>
      <c r="AE974" s="73"/>
      <c r="AF974" s="73"/>
      <c r="AG974" s="73"/>
      <c r="AH974" s="73"/>
    </row>
    <row r="975" ht="15.75" customHeight="1">
      <c r="A975" s="73"/>
      <c r="B975" s="178"/>
      <c r="C975" s="179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2"/>
      <c r="AB975" s="72"/>
      <c r="AC975" s="73"/>
      <c r="AD975" s="73"/>
      <c r="AE975" s="73"/>
      <c r="AF975" s="73"/>
      <c r="AG975" s="73"/>
      <c r="AH975" s="73"/>
    </row>
    <row r="976" ht="15.75" customHeight="1">
      <c r="A976" s="73"/>
      <c r="B976" s="178"/>
      <c r="C976" s="179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2"/>
      <c r="AB976" s="72"/>
      <c r="AC976" s="73"/>
      <c r="AD976" s="73"/>
      <c r="AE976" s="73"/>
      <c r="AF976" s="73"/>
      <c r="AG976" s="73"/>
      <c r="AH976" s="73"/>
    </row>
    <row r="977" ht="15.75" customHeight="1">
      <c r="A977" s="73"/>
      <c r="B977" s="178"/>
      <c r="C977" s="179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2"/>
      <c r="AB977" s="72"/>
      <c r="AC977" s="73"/>
      <c r="AD977" s="73"/>
      <c r="AE977" s="73"/>
      <c r="AF977" s="73"/>
      <c r="AG977" s="73"/>
      <c r="AH977" s="73"/>
    </row>
    <row r="978" ht="15.75" customHeight="1">
      <c r="A978" s="73"/>
      <c r="B978" s="178"/>
      <c r="C978" s="179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2"/>
      <c r="AB978" s="72"/>
      <c r="AC978" s="73"/>
      <c r="AD978" s="73"/>
      <c r="AE978" s="73"/>
      <c r="AF978" s="73"/>
      <c r="AG978" s="73"/>
      <c r="AH978" s="73"/>
    </row>
    <row r="979" ht="15.75" customHeight="1">
      <c r="A979" s="73"/>
      <c r="B979" s="178"/>
      <c r="C979" s="179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2"/>
      <c r="AB979" s="72"/>
      <c r="AC979" s="73"/>
      <c r="AD979" s="73"/>
      <c r="AE979" s="73"/>
      <c r="AF979" s="73"/>
      <c r="AG979" s="73"/>
      <c r="AH979" s="73"/>
    </row>
    <row r="980" ht="15.75" customHeight="1">
      <c r="A980" s="73"/>
      <c r="B980" s="178"/>
      <c r="C980" s="179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2"/>
      <c r="AB980" s="72"/>
      <c r="AC980" s="73"/>
      <c r="AD980" s="73"/>
      <c r="AE980" s="73"/>
      <c r="AF980" s="73"/>
      <c r="AG980" s="73"/>
      <c r="AH980" s="73"/>
    </row>
    <row r="981" ht="15.75" customHeight="1">
      <c r="A981" s="73"/>
      <c r="B981" s="178"/>
      <c r="C981" s="179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2"/>
      <c r="AB981" s="72"/>
      <c r="AC981" s="73"/>
      <c r="AD981" s="73"/>
      <c r="AE981" s="73"/>
      <c r="AF981" s="73"/>
      <c r="AG981" s="73"/>
      <c r="AH981" s="73"/>
    </row>
    <row r="982" ht="15.75" customHeight="1">
      <c r="A982" s="73"/>
      <c r="B982" s="178"/>
      <c r="C982" s="179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2"/>
      <c r="AB982" s="72"/>
      <c r="AC982" s="73"/>
      <c r="AD982" s="73"/>
      <c r="AE982" s="73"/>
      <c r="AF982" s="73"/>
      <c r="AG982" s="73"/>
      <c r="AH982" s="73"/>
    </row>
    <row r="983" ht="15.75" customHeight="1">
      <c r="A983" s="73"/>
      <c r="B983" s="178"/>
      <c r="C983" s="179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2"/>
      <c r="AB983" s="72"/>
      <c r="AC983" s="73"/>
      <c r="AD983" s="73"/>
      <c r="AE983" s="73"/>
      <c r="AF983" s="73"/>
      <c r="AG983" s="73"/>
      <c r="AH983" s="73"/>
    </row>
    <row r="984" ht="15.75" customHeight="1">
      <c r="A984" s="73"/>
      <c r="B984" s="178"/>
      <c r="C984" s="179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2"/>
      <c r="AB984" s="72"/>
      <c r="AC984" s="73"/>
      <c r="AD984" s="73"/>
      <c r="AE984" s="73"/>
      <c r="AF984" s="73"/>
      <c r="AG984" s="73"/>
      <c r="AH984" s="73"/>
    </row>
    <row r="985" ht="15.75" customHeight="1">
      <c r="A985" s="73"/>
      <c r="B985" s="178"/>
      <c r="C985" s="179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2"/>
      <c r="AB985" s="72"/>
      <c r="AC985" s="73"/>
      <c r="AD985" s="73"/>
      <c r="AE985" s="73"/>
      <c r="AF985" s="73"/>
      <c r="AG985" s="73"/>
      <c r="AH985" s="73"/>
    </row>
    <row r="986" ht="15.75" customHeight="1">
      <c r="A986" s="73"/>
      <c r="B986" s="178"/>
      <c r="C986" s="179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2"/>
      <c r="AB986" s="72"/>
      <c r="AC986" s="73"/>
      <c r="AD986" s="73"/>
      <c r="AE986" s="73"/>
      <c r="AF986" s="73"/>
      <c r="AG986" s="73"/>
      <c r="AH986" s="73"/>
    </row>
    <row r="987" ht="15.75" customHeight="1">
      <c r="A987" s="73"/>
      <c r="B987" s="178"/>
      <c r="C987" s="179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2"/>
      <c r="AB987" s="72"/>
      <c r="AC987" s="73"/>
      <c r="AD987" s="73"/>
      <c r="AE987" s="73"/>
      <c r="AF987" s="73"/>
      <c r="AG987" s="73"/>
      <c r="AH987" s="73"/>
    </row>
    <row r="988" ht="15.75" customHeight="1">
      <c r="A988" s="73"/>
      <c r="B988" s="178"/>
      <c r="C988" s="179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2"/>
      <c r="AB988" s="72"/>
      <c r="AC988" s="73"/>
      <c r="AD988" s="73"/>
      <c r="AE988" s="73"/>
      <c r="AF988" s="73"/>
      <c r="AG988" s="73"/>
      <c r="AH988" s="73"/>
    </row>
    <row r="989" ht="15.75" customHeight="1">
      <c r="A989" s="73"/>
      <c r="B989" s="178"/>
      <c r="C989" s="179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2"/>
      <c r="AB989" s="72"/>
      <c r="AC989" s="73"/>
      <c r="AD989" s="73"/>
      <c r="AE989" s="73"/>
      <c r="AF989" s="73"/>
      <c r="AG989" s="73"/>
      <c r="AH989" s="73"/>
    </row>
    <row r="990" ht="15.75" customHeight="1">
      <c r="A990" s="73"/>
      <c r="B990" s="178"/>
      <c r="C990" s="179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2"/>
      <c r="AB990" s="72"/>
      <c r="AC990" s="73"/>
      <c r="AD990" s="73"/>
      <c r="AE990" s="73"/>
      <c r="AF990" s="73"/>
      <c r="AG990" s="73"/>
      <c r="AH990" s="73"/>
    </row>
    <row r="991" ht="15.75" customHeight="1">
      <c r="A991" s="73"/>
      <c r="B991" s="178"/>
      <c r="C991" s="179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2"/>
      <c r="AB991" s="72"/>
      <c r="AC991" s="73"/>
      <c r="AD991" s="73"/>
      <c r="AE991" s="73"/>
      <c r="AF991" s="73"/>
      <c r="AG991" s="73"/>
      <c r="AH991" s="73"/>
    </row>
    <row r="992" ht="15.75" customHeight="1">
      <c r="A992" s="73"/>
      <c r="B992" s="178"/>
      <c r="C992" s="179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2"/>
      <c r="AB992" s="72"/>
      <c r="AC992" s="73"/>
      <c r="AD992" s="73"/>
      <c r="AE992" s="73"/>
      <c r="AF992" s="73"/>
      <c r="AG992" s="73"/>
      <c r="AH992" s="73"/>
    </row>
    <row r="993" ht="15.75" customHeight="1">
      <c r="A993" s="73"/>
      <c r="B993" s="178"/>
      <c r="C993" s="179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2"/>
      <c r="AB993" s="72"/>
      <c r="AC993" s="73"/>
      <c r="AD993" s="73"/>
      <c r="AE993" s="73"/>
      <c r="AF993" s="73"/>
      <c r="AG993" s="73"/>
      <c r="AH993" s="73"/>
    </row>
    <row r="994" ht="15.75" customHeight="1">
      <c r="A994" s="73"/>
      <c r="B994" s="178"/>
      <c r="C994" s="179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2"/>
      <c r="AB994" s="72"/>
      <c r="AC994" s="73"/>
      <c r="AD994" s="73"/>
      <c r="AE994" s="73"/>
      <c r="AF994" s="73"/>
      <c r="AG994" s="73"/>
      <c r="AH994" s="73"/>
    </row>
    <row r="995" ht="15.75" customHeight="1">
      <c r="A995" s="73"/>
      <c r="B995" s="178"/>
      <c r="C995" s="179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2"/>
      <c r="AB995" s="72"/>
      <c r="AC995" s="73"/>
      <c r="AD995" s="73"/>
      <c r="AE995" s="73"/>
      <c r="AF995" s="73"/>
      <c r="AG995" s="73"/>
      <c r="AH995" s="73"/>
    </row>
    <row r="996" ht="15.75" customHeight="1">
      <c r="A996" s="73"/>
      <c r="B996" s="178"/>
      <c r="C996" s="179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2"/>
      <c r="AB996" s="72"/>
      <c r="AC996" s="73"/>
      <c r="AD996" s="73"/>
      <c r="AE996" s="73"/>
      <c r="AF996" s="73"/>
      <c r="AG996" s="73"/>
      <c r="AH996" s="73"/>
    </row>
    <row r="997" ht="15.75" customHeight="1">
      <c r="A997" s="73"/>
      <c r="B997" s="178"/>
      <c r="C997" s="179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2"/>
      <c r="AB997" s="72"/>
      <c r="AC997" s="73"/>
      <c r="AD997" s="73"/>
      <c r="AE997" s="73"/>
      <c r="AF997" s="73"/>
      <c r="AG997" s="73"/>
      <c r="AH997" s="73"/>
    </row>
    <row r="998" ht="15.75" customHeight="1">
      <c r="A998" s="73"/>
      <c r="B998" s="178"/>
      <c r="C998" s="179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2"/>
      <c r="AB998" s="72"/>
      <c r="AC998" s="73"/>
      <c r="AD998" s="73"/>
      <c r="AE998" s="73"/>
      <c r="AF998" s="73"/>
      <c r="AG998" s="73"/>
      <c r="AH998" s="73"/>
    </row>
    <row r="999" ht="15.75" customHeight="1">
      <c r="A999" s="73"/>
      <c r="B999" s="178"/>
      <c r="C999" s="179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2"/>
      <c r="AB999" s="72"/>
      <c r="AC999" s="73"/>
      <c r="AD999" s="73"/>
      <c r="AE999" s="73"/>
      <c r="AF999" s="73"/>
      <c r="AG999" s="73"/>
      <c r="AH999" s="73"/>
    </row>
    <row r="1000" ht="15.75" customHeight="1">
      <c r="A1000" s="73"/>
      <c r="B1000" s="178"/>
      <c r="C1000" s="179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2"/>
      <c r="AB1000" s="72"/>
      <c r="AC1000" s="73"/>
      <c r="AD1000" s="73"/>
      <c r="AE1000" s="73"/>
      <c r="AF1000" s="73"/>
      <c r="AG1000" s="73"/>
      <c r="AH1000" s="73"/>
    </row>
  </sheetData>
  <mergeCells count="426">
    <mergeCell ref="B187:W188"/>
    <mergeCell ref="Y187:Y188"/>
    <mergeCell ref="B190:W191"/>
    <mergeCell ref="Y190:Y191"/>
    <mergeCell ref="B193:W194"/>
    <mergeCell ref="Y193:Y194"/>
    <mergeCell ref="A197:Y197"/>
    <mergeCell ref="A198:Y198"/>
    <mergeCell ref="B199:Y200"/>
    <mergeCell ref="B205:Y206"/>
    <mergeCell ref="B209:Y210"/>
    <mergeCell ref="B213:Y214"/>
    <mergeCell ref="B216:Y217"/>
    <mergeCell ref="B219:Y220"/>
    <mergeCell ref="B227:Y228"/>
    <mergeCell ref="B231:Y232"/>
    <mergeCell ref="B237:Y238"/>
    <mergeCell ref="B242:Y243"/>
    <mergeCell ref="B246:Y247"/>
    <mergeCell ref="B256:Y257"/>
    <mergeCell ref="B266:Y267"/>
    <mergeCell ref="B272:Y273"/>
    <mergeCell ref="B278:Y279"/>
    <mergeCell ref="A289:Y289"/>
    <mergeCell ref="B290:Y291"/>
    <mergeCell ref="B293:Y294"/>
    <mergeCell ref="B296:Y297"/>
    <mergeCell ref="B300:Y301"/>
    <mergeCell ref="B304:Y305"/>
    <mergeCell ref="B308:Y309"/>
    <mergeCell ref="B314:Y315"/>
    <mergeCell ref="B318:Y319"/>
    <mergeCell ref="B322:Y323"/>
    <mergeCell ref="B326:Y327"/>
    <mergeCell ref="B332:Y333"/>
    <mergeCell ref="B338:Y339"/>
    <mergeCell ref="B344:Y345"/>
    <mergeCell ref="B350:Y351"/>
    <mergeCell ref="B354:Y355"/>
    <mergeCell ref="B358:Y359"/>
    <mergeCell ref="B361:Y362"/>
    <mergeCell ref="A366:Y366"/>
    <mergeCell ref="P372:Q373"/>
    <mergeCell ref="R372:S373"/>
    <mergeCell ref="T372:U373"/>
    <mergeCell ref="V372:W373"/>
    <mergeCell ref="D370:E370"/>
    <mergeCell ref="D372:E372"/>
    <mergeCell ref="F372:G372"/>
    <mergeCell ref="H372:I372"/>
    <mergeCell ref="J372:K372"/>
    <mergeCell ref="L372:M373"/>
    <mergeCell ref="N372:O373"/>
    <mergeCell ref="R374:S374"/>
    <mergeCell ref="T374:U374"/>
    <mergeCell ref="V374:W374"/>
    <mergeCell ref="D374:E374"/>
    <mergeCell ref="F374:G374"/>
    <mergeCell ref="H374:I374"/>
    <mergeCell ref="J374:K374"/>
    <mergeCell ref="L374:M374"/>
    <mergeCell ref="N374:O374"/>
    <mergeCell ref="P374:Q374"/>
    <mergeCell ref="R376:S376"/>
    <mergeCell ref="T376:U376"/>
    <mergeCell ref="V376:W376"/>
    <mergeCell ref="D376:E376"/>
    <mergeCell ref="F376:G376"/>
    <mergeCell ref="H376:I376"/>
    <mergeCell ref="J376:K376"/>
    <mergeCell ref="L376:M376"/>
    <mergeCell ref="N376:O376"/>
    <mergeCell ref="P376:Q376"/>
    <mergeCell ref="R378:S379"/>
    <mergeCell ref="T378:U379"/>
    <mergeCell ref="V378:W379"/>
    <mergeCell ref="D378:E378"/>
    <mergeCell ref="F378:G378"/>
    <mergeCell ref="H378:I378"/>
    <mergeCell ref="J378:K378"/>
    <mergeCell ref="L378:M379"/>
    <mergeCell ref="N378:O379"/>
    <mergeCell ref="P378:Q379"/>
    <mergeCell ref="R388:S388"/>
    <mergeCell ref="T388:U388"/>
    <mergeCell ref="V388:W388"/>
    <mergeCell ref="D388:E388"/>
    <mergeCell ref="F388:G388"/>
    <mergeCell ref="H388:I388"/>
    <mergeCell ref="J388:K388"/>
    <mergeCell ref="L388:M388"/>
    <mergeCell ref="N388:O388"/>
    <mergeCell ref="P388:Q388"/>
    <mergeCell ref="R380:S380"/>
    <mergeCell ref="T380:U380"/>
    <mergeCell ref="V380:W380"/>
    <mergeCell ref="D380:E380"/>
    <mergeCell ref="F380:G380"/>
    <mergeCell ref="H380:I380"/>
    <mergeCell ref="J380:K380"/>
    <mergeCell ref="L380:M380"/>
    <mergeCell ref="N380:O380"/>
    <mergeCell ref="P380:Q380"/>
    <mergeCell ref="R382:S382"/>
    <mergeCell ref="T382:U382"/>
    <mergeCell ref="V382:W382"/>
    <mergeCell ref="D382:E382"/>
    <mergeCell ref="F382:G382"/>
    <mergeCell ref="H382:I382"/>
    <mergeCell ref="J382:K382"/>
    <mergeCell ref="L382:M382"/>
    <mergeCell ref="N382:O382"/>
    <mergeCell ref="P382:Q382"/>
    <mergeCell ref="R384:S385"/>
    <mergeCell ref="T384:U385"/>
    <mergeCell ref="V384:W385"/>
    <mergeCell ref="D384:E384"/>
    <mergeCell ref="F384:G384"/>
    <mergeCell ref="H384:I384"/>
    <mergeCell ref="J384:K384"/>
    <mergeCell ref="L384:M385"/>
    <mergeCell ref="N384:O385"/>
    <mergeCell ref="P384:Q385"/>
    <mergeCell ref="D390:E390"/>
    <mergeCell ref="F390:G390"/>
    <mergeCell ref="H390:I390"/>
    <mergeCell ref="J390:K390"/>
    <mergeCell ref="R396:S397"/>
    <mergeCell ref="T396:U397"/>
    <mergeCell ref="V396:W397"/>
    <mergeCell ref="D396:E396"/>
    <mergeCell ref="F396:G396"/>
    <mergeCell ref="H396:I396"/>
    <mergeCell ref="J396:K396"/>
    <mergeCell ref="L396:M397"/>
    <mergeCell ref="N396:O397"/>
    <mergeCell ref="P396:Q397"/>
    <mergeCell ref="D386:E386"/>
    <mergeCell ref="F386:G386"/>
    <mergeCell ref="H386:I386"/>
    <mergeCell ref="J386:K386"/>
    <mergeCell ref="L386:M386"/>
    <mergeCell ref="N386:O386"/>
    <mergeCell ref="P386:Q386"/>
    <mergeCell ref="R386:S386"/>
    <mergeCell ref="T386:U386"/>
    <mergeCell ref="V386:W386"/>
    <mergeCell ref="L390:M391"/>
    <mergeCell ref="N390:O391"/>
    <mergeCell ref="P390:Q391"/>
    <mergeCell ref="R390:S391"/>
    <mergeCell ref="R392:S392"/>
    <mergeCell ref="T392:U392"/>
    <mergeCell ref="T390:U391"/>
    <mergeCell ref="V390:W391"/>
    <mergeCell ref="D392:E392"/>
    <mergeCell ref="F392:G392"/>
    <mergeCell ref="H392:I392"/>
    <mergeCell ref="J392:K392"/>
    <mergeCell ref="L392:M392"/>
    <mergeCell ref="V392:W392"/>
    <mergeCell ref="N394:O394"/>
    <mergeCell ref="P394:Q394"/>
    <mergeCell ref="R394:S394"/>
    <mergeCell ref="T394:U394"/>
    <mergeCell ref="V394:W394"/>
    <mergeCell ref="N392:O392"/>
    <mergeCell ref="P392:Q392"/>
    <mergeCell ref="D394:E394"/>
    <mergeCell ref="F394:G394"/>
    <mergeCell ref="H394:I394"/>
    <mergeCell ref="J394:K394"/>
    <mergeCell ref="L394:M394"/>
    <mergeCell ref="N400:O400"/>
    <mergeCell ref="P400:Q400"/>
    <mergeCell ref="V400:W400"/>
    <mergeCell ref="R408:S408"/>
    <mergeCell ref="T408:U408"/>
    <mergeCell ref="V408:W408"/>
    <mergeCell ref="D408:E408"/>
    <mergeCell ref="F408:G408"/>
    <mergeCell ref="H408:I408"/>
    <mergeCell ref="J408:K408"/>
    <mergeCell ref="L408:M408"/>
    <mergeCell ref="N408:O408"/>
    <mergeCell ref="P408:Q408"/>
    <mergeCell ref="R400:S400"/>
    <mergeCell ref="T400:U400"/>
    <mergeCell ref="A398:Y398"/>
    <mergeCell ref="A399:Y399"/>
    <mergeCell ref="D400:E400"/>
    <mergeCell ref="F400:G400"/>
    <mergeCell ref="H400:I400"/>
    <mergeCell ref="J400:K400"/>
    <mergeCell ref="L400:M400"/>
    <mergeCell ref="R402:S402"/>
    <mergeCell ref="T402:U402"/>
    <mergeCell ref="V402:W402"/>
    <mergeCell ref="D402:E402"/>
    <mergeCell ref="F402:G402"/>
    <mergeCell ref="H402:I402"/>
    <mergeCell ref="J402:K402"/>
    <mergeCell ref="L402:M402"/>
    <mergeCell ref="N402:O402"/>
    <mergeCell ref="P402:Q402"/>
    <mergeCell ref="R404:S404"/>
    <mergeCell ref="T404:U404"/>
    <mergeCell ref="V404:W404"/>
    <mergeCell ref="D404:E404"/>
    <mergeCell ref="F404:G404"/>
    <mergeCell ref="H404:I404"/>
    <mergeCell ref="J404:K404"/>
    <mergeCell ref="L404:M404"/>
    <mergeCell ref="N404:O404"/>
    <mergeCell ref="P404:Q404"/>
    <mergeCell ref="D410:E410"/>
    <mergeCell ref="D412:E412"/>
    <mergeCell ref="F412:G412"/>
    <mergeCell ref="H412:O412"/>
    <mergeCell ref="P412:Q412"/>
    <mergeCell ref="R412:S412"/>
    <mergeCell ref="J4:K4"/>
    <mergeCell ref="L4:M4"/>
    <mergeCell ref="J5:K5"/>
    <mergeCell ref="L5:M5"/>
    <mergeCell ref="N4:O4"/>
    <mergeCell ref="P4:Q4"/>
    <mergeCell ref="N5:O5"/>
    <mergeCell ref="P5:Q5"/>
    <mergeCell ref="R4:S4"/>
    <mergeCell ref="T4:U4"/>
    <mergeCell ref="R5:S5"/>
    <mergeCell ref="T5:U5"/>
    <mergeCell ref="V5:W5"/>
    <mergeCell ref="N1:O1"/>
    <mergeCell ref="U1:Y1"/>
    <mergeCell ref="A3:A4"/>
    <mergeCell ref="B3:B4"/>
    <mergeCell ref="C3:C4"/>
    <mergeCell ref="D3:W3"/>
    <mergeCell ref="D4:E4"/>
    <mergeCell ref="F4:G4"/>
    <mergeCell ref="H4:I4"/>
    <mergeCell ref="D5:E5"/>
    <mergeCell ref="F5:G5"/>
    <mergeCell ref="H5:I5"/>
    <mergeCell ref="A8:A9"/>
    <mergeCell ref="A14:A15"/>
    <mergeCell ref="V4:W4"/>
    <mergeCell ref="A6:Y6"/>
    <mergeCell ref="A7:Y7"/>
    <mergeCell ref="B8:Y9"/>
    <mergeCell ref="B14:Y15"/>
    <mergeCell ref="B19:Y20"/>
    <mergeCell ref="B24:Y25"/>
    <mergeCell ref="B29:Y30"/>
    <mergeCell ref="B34:Y35"/>
    <mergeCell ref="B39:Y40"/>
    <mergeCell ref="B44:Y45"/>
    <mergeCell ref="A49:Y49"/>
    <mergeCell ref="B50:Y51"/>
    <mergeCell ref="B54:Y55"/>
    <mergeCell ref="B58:Y59"/>
    <mergeCell ref="B62:Y63"/>
    <mergeCell ref="B67:Y68"/>
    <mergeCell ref="B74:Y75"/>
    <mergeCell ref="B78:Y79"/>
    <mergeCell ref="B82:Y83"/>
    <mergeCell ref="B87:Y88"/>
    <mergeCell ref="B91:Y92"/>
    <mergeCell ref="B96:Y97"/>
    <mergeCell ref="B102:Y103"/>
    <mergeCell ref="B105:Y106"/>
    <mergeCell ref="B110:Y111"/>
    <mergeCell ref="B114:Y115"/>
    <mergeCell ref="B120:Y121"/>
    <mergeCell ref="B124:Y125"/>
    <mergeCell ref="A130:Y130"/>
    <mergeCell ref="B131:Y132"/>
    <mergeCell ref="B137:Y138"/>
    <mergeCell ref="A143:Y143"/>
    <mergeCell ref="A144:Y144"/>
    <mergeCell ref="B145:Y146"/>
    <mergeCell ref="R160:S160"/>
    <mergeCell ref="T160:U160"/>
    <mergeCell ref="B152:Y153"/>
    <mergeCell ref="B158:Y159"/>
    <mergeCell ref="D160:E160"/>
    <mergeCell ref="F160:G160"/>
    <mergeCell ref="H160:I160"/>
    <mergeCell ref="J160:K160"/>
    <mergeCell ref="L160:M160"/>
    <mergeCell ref="V160:W160"/>
    <mergeCell ref="N160:O160"/>
    <mergeCell ref="P160:Q160"/>
    <mergeCell ref="B161:B162"/>
    <mergeCell ref="C161:C162"/>
    <mergeCell ref="B163:B164"/>
    <mergeCell ref="C163:C164"/>
    <mergeCell ref="C165:C166"/>
    <mergeCell ref="B165:B166"/>
    <mergeCell ref="B167:B168"/>
    <mergeCell ref="C167:C168"/>
    <mergeCell ref="A169:Y169"/>
    <mergeCell ref="B170:Y171"/>
    <mergeCell ref="B175:Y176"/>
    <mergeCell ref="B181:Y182"/>
    <mergeCell ref="A256:A257"/>
    <mergeCell ref="A266:A267"/>
    <mergeCell ref="A272:A273"/>
    <mergeCell ref="A278:A279"/>
    <mergeCell ref="A290:A291"/>
    <mergeCell ref="A293:A294"/>
    <mergeCell ref="A296:A297"/>
    <mergeCell ref="A300:A301"/>
    <mergeCell ref="A304:A305"/>
    <mergeCell ref="A308:A309"/>
    <mergeCell ref="A314:A315"/>
    <mergeCell ref="A318:A319"/>
    <mergeCell ref="A322:A323"/>
    <mergeCell ref="A326:A327"/>
    <mergeCell ref="A369:A373"/>
    <mergeCell ref="B369:B373"/>
    <mergeCell ref="C369:C373"/>
    <mergeCell ref="B375:B379"/>
    <mergeCell ref="C375:C379"/>
    <mergeCell ref="A332:A333"/>
    <mergeCell ref="A338:A339"/>
    <mergeCell ref="A344:A345"/>
    <mergeCell ref="A350:A351"/>
    <mergeCell ref="A354:A355"/>
    <mergeCell ref="A358:A359"/>
    <mergeCell ref="A361:A362"/>
    <mergeCell ref="A393:A397"/>
    <mergeCell ref="B393:B397"/>
    <mergeCell ref="C393:C397"/>
    <mergeCell ref="A401:A409"/>
    <mergeCell ref="B401:B409"/>
    <mergeCell ref="C401:C409"/>
    <mergeCell ref="B412:C412"/>
    <mergeCell ref="A375:A379"/>
    <mergeCell ref="A381:A385"/>
    <mergeCell ref="B381:B385"/>
    <mergeCell ref="C381:C385"/>
    <mergeCell ref="A387:A391"/>
    <mergeCell ref="B387:B391"/>
    <mergeCell ref="C387:C391"/>
    <mergeCell ref="A19:A20"/>
    <mergeCell ref="A24:A25"/>
    <mergeCell ref="A29:A30"/>
    <mergeCell ref="A34:A35"/>
    <mergeCell ref="A39:A40"/>
    <mergeCell ref="A44:A45"/>
    <mergeCell ref="A50:A51"/>
    <mergeCell ref="A54:A55"/>
    <mergeCell ref="A58:A59"/>
    <mergeCell ref="A62:A63"/>
    <mergeCell ref="A67:A68"/>
    <mergeCell ref="A74:A75"/>
    <mergeCell ref="A78:A79"/>
    <mergeCell ref="A82:A83"/>
    <mergeCell ref="A87:A88"/>
    <mergeCell ref="A91:A92"/>
    <mergeCell ref="A96:A97"/>
    <mergeCell ref="A102:A103"/>
    <mergeCell ref="A105:A106"/>
    <mergeCell ref="A110:A111"/>
    <mergeCell ref="A114:A115"/>
    <mergeCell ref="A120:A121"/>
    <mergeCell ref="A124:A125"/>
    <mergeCell ref="A131:A132"/>
    <mergeCell ref="A137:A138"/>
    <mergeCell ref="A145:A146"/>
    <mergeCell ref="A152:A153"/>
    <mergeCell ref="A158:A159"/>
    <mergeCell ref="A161:A162"/>
    <mergeCell ref="A163:A164"/>
    <mergeCell ref="A165:A166"/>
    <mergeCell ref="A167:A168"/>
    <mergeCell ref="A170:A171"/>
    <mergeCell ref="A175:A176"/>
    <mergeCell ref="A181:A182"/>
    <mergeCell ref="A187:A188"/>
    <mergeCell ref="A190:A191"/>
    <mergeCell ref="A193:A194"/>
    <mergeCell ref="A199:A200"/>
    <mergeCell ref="A205:A206"/>
    <mergeCell ref="A209:A210"/>
    <mergeCell ref="A213:A214"/>
    <mergeCell ref="A216:A217"/>
    <mergeCell ref="A219:A220"/>
    <mergeCell ref="A227:A228"/>
    <mergeCell ref="A231:A232"/>
    <mergeCell ref="A237:A238"/>
    <mergeCell ref="A242:A243"/>
    <mergeCell ref="A246:A247"/>
    <mergeCell ref="T368:U368"/>
    <mergeCell ref="V368:W368"/>
    <mergeCell ref="A367:Y367"/>
    <mergeCell ref="D368:E368"/>
    <mergeCell ref="F368:G368"/>
    <mergeCell ref="H368:I368"/>
    <mergeCell ref="J368:K368"/>
    <mergeCell ref="L368:M368"/>
    <mergeCell ref="N368:O368"/>
    <mergeCell ref="N370:O370"/>
    <mergeCell ref="P370:Q370"/>
    <mergeCell ref="T370:U370"/>
    <mergeCell ref="V370:W370"/>
    <mergeCell ref="P368:Q368"/>
    <mergeCell ref="R368:S368"/>
    <mergeCell ref="F370:G370"/>
    <mergeCell ref="H370:I370"/>
    <mergeCell ref="J370:K370"/>
    <mergeCell ref="L370:M370"/>
    <mergeCell ref="R370:S370"/>
    <mergeCell ref="R406:S406"/>
    <mergeCell ref="T406:U406"/>
    <mergeCell ref="V406:W406"/>
    <mergeCell ref="D406:E406"/>
    <mergeCell ref="F406:G406"/>
    <mergeCell ref="H406:I406"/>
    <mergeCell ref="J406:K406"/>
    <mergeCell ref="L406:M406"/>
    <mergeCell ref="N406:O406"/>
    <mergeCell ref="P406:Q406"/>
  </mergeCells>
  <conditionalFormatting sqref="A10:A61 A62:B62 A64:A131 A133:A369 A370:C397 A398:A401 B14:B15 B19:B20 B24:B25 B29:B30 B34:B35 B39:B40 B44:B45 B49:B51 B54:B55 B58:B59 B67 B74 B78 B82 B87 B91 B96 B102 B105 B110 B114 B120 B124 B131 B137 B145 B152 B158 B160:B161 B163 B165:Y168 B170 B175 B181 B187 B190 B193 B195 B199 B205 B209 B211:B213 B215:B216 B218:B219 B221:Y226 B227 B229:B231 B233:Y236 B237 B239:Y241 B242 B244:Y245 B246 B248:B256 B266 B272 B278 B290 B293 B296 B300 B304 B308 B314 B318 B322 B326 B332 B338 B344 B350 B354 B358 B361 B368:D369 B400:C401 C10:M13 C14:Y61 C64:Y66 C69:X73 C76:Y77 C80:Y81 C84:Y86 C89:Y90 C93:Y95 C98:Y101 C104:Y104 C107:Y109 C112:Y113 C116:Y119 C122:Y123 C126:Y129 C133:Y136 C139:Y142 C147:Y151 C154:Y157 C160:Y162 C163:C164 C172:Y174 C177:Y180 C183:P186 C189:X189 C192:X192 C195:X196 C201:Y204 C207:Y208 C211:Y212 C215:Y215 C218:Y218 C229:Y230 C248:Y255 C258:Y265 C268:Y271 C274:Y277 C280:Y288 C292:Y292 C295:Y295 C298:Y299 C302:Y303 C306:Y307 C310:Y313 C316:Y317 C320:Y321 C324:Y325 C328:Y331 C334:Y337 C340:Y343 C346:Y349 C352:Y353 C356:Y357 C360:Y360 C363:Y365 D371:W371 D373:I373 E369:X369 J163:Y164 L372 N10:Q10 N372 P372 R183:W183 R184:X186 R372 T372 V10:Y13 V372 X375 X381 X387 X393 Y70:Y73 Y184:Y196 Y368:Y397 Y400:Y405">
    <cfRule type="expression" dxfId="0" priority="1" stopIfTrue="1">
      <formula>NOT(ISERROR(SEARCH("КР",A10)))</formula>
    </cfRule>
  </conditionalFormatting>
  <conditionalFormatting sqref="A10:A61 A62:B62 A64:A131 A133:A369 A370:C397 A398:A401 B14:B15 B19:B20 B24:B25 B29:B30 B34:B35 B39:B40 B44:B45 B49:B51 B54:B55 B58:B59 B67 B74 B78 B82 B87 B91 B96 B102 B105 B110 B114 B120 B124 B131 B137 B145 B152 B158 B160:B161 B163 B165:Y168 B170 B175 B181 B187 B190 B193 B195 B199 B205 B209 B211:B213 B215:B216 B218:B219 B221:Y226 B227 B229:B231 B233:Y236 B237 B239:Y241 B242 B244:Y245 B246 B248:B256 B266 B272 B278 B290 B293 B296 B300 B304 B308 B314 B318 B322 B326 B332 B338 B344 B350 B354 B358 B361 B368:D369 B400:C401 C10:M13 C14:Y61 C64:Y66 C69:X73 C76:Y77 C80:Y81 C84:Y86 C89:Y90 C93:Y95 C98:Y101 C104:Y104 C107:Y109 C112:Y113 C116:Y119 C122:Y123 C126:Y129 C133:Y136 C139:Y142 C147:Y151 C154:Y157 C160:Y162 C163:C164 C172:Y174 C177:Y180 C183:P186 C189:X189 C192:X192 C195:X196 C201:Y204 C207:Y208 C211:Y212 C215:Y215 C218:Y218 C229:Y230 C248:Y255 C258:Y265 C268:Y271 C274:Y277 C280:Y288 C292:Y292 C295:Y295 C298:Y299 C302:Y303 C306:Y307 C310:Y313 C316:Y317 C320:Y321 C324:Y325 C328:Y331 C334:Y337 C340:Y343 C346:Y349 C352:Y353 C356:Y357 C360:Y360 C363:Y365 D371:W371 D373:I373 E369:X369 J163:Y164 L372 N10:Q10 N372 P372 R183:W183 R184:X186 R372 T372 V10:Y13 V372 X375 X381 X387 X393 Y70:Y73 Y184:Y196 Y368:Y397 Y400:Y405">
    <cfRule type="expression" dxfId="1" priority="2" stopIfTrue="1">
      <formula>NOT(ISERROR(SEARCH(TODAY(),A10)))</formula>
    </cfRule>
  </conditionalFormatting>
  <conditionalFormatting sqref="N12:Q13 P11">
    <cfRule type="expression" dxfId="0" priority="3" stopIfTrue="1">
      <formula>NOT(ISERROR(SEARCH("КР",N11)))</formula>
    </cfRule>
  </conditionalFormatting>
  <conditionalFormatting sqref="N12:Q13 P11">
    <cfRule type="expression" dxfId="1" priority="4" stopIfTrue="1">
      <formula>NOT(ISERROR(SEARCH(TODAY(),N11)))</formula>
    </cfRule>
  </conditionalFormatting>
  <conditionalFormatting sqref="D370 D372 F370 F372 H368 H370 H372 J368 J370 L368 L370 N368 N370 P368 P370 R368 R370 T368 T370 V368 V370">
    <cfRule type="expression" dxfId="0" priority="5" stopIfTrue="1">
      <formula>NOT(ISERROR(SEARCH("КР",D368)))</formula>
    </cfRule>
  </conditionalFormatting>
  <conditionalFormatting sqref="D370 D372 F370 F372 H368 H370 H372 J368 J370 L368 L370 N368 N370 P368 P370 R368 R370 T368 T370 V368 V370">
    <cfRule type="expression" dxfId="1" priority="6" stopIfTrue="1">
      <formula>NOT(ISERROR(SEARCH(TODAY(),D368)))</formula>
    </cfRule>
  </conditionalFormatting>
  <conditionalFormatting sqref="F368">
    <cfRule type="expression" dxfId="0" priority="7" stopIfTrue="1">
      <formula>NOT(ISERROR(SEARCH("КР",F368)))</formula>
    </cfRule>
  </conditionalFormatting>
  <conditionalFormatting sqref="F368">
    <cfRule type="expression" dxfId="1" priority="8" stopIfTrue="1">
      <formula>NOT(ISERROR(SEARCH(TODAY(),F368)))</formula>
    </cfRule>
  </conditionalFormatting>
  <conditionalFormatting sqref="J373:K373">
    <cfRule type="expression" dxfId="0" priority="9" stopIfTrue="1">
      <formula>NOT(ISERROR(SEARCH("КР",J373)))</formula>
    </cfRule>
  </conditionalFormatting>
  <conditionalFormatting sqref="J373:K373">
    <cfRule type="expression" dxfId="1" priority="10" stopIfTrue="1">
      <formula>NOT(ISERROR(SEARCH(TODAY(),J373)))</formula>
    </cfRule>
  </conditionalFormatting>
  <conditionalFormatting sqref="J372">
    <cfRule type="expression" dxfId="0" priority="11" stopIfTrue="1">
      <formula>NOT(ISERROR(SEARCH("КР",J372)))</formula>
    </cfRule>
  </conditionalFormatting>
  <conditionalFormatting sqref="J372">
    <cfRule type="expression" dxfId="1" priority="12" stopIfTrue="1">
      <formula>NOT(ISERROR(SEARCH(TODAY(),J372)))</formula>
    </cfRule>
  </conditionalFormatting>
  <conditionalFormatting sqref="D374:D375 D377:W377 D379:I379 E375:W375 L378 N378 P378 R378 T378 V378">
    <cfRule type="expression" dxfId="0" priority="13" stopIfTrue="1">
      <formula>NOT(ISERROR(SEARCH("КР",D374)))</formula>
    </cfRule>
  </conditionalFormatting>
  <conditionalFormatting sqref="D374:D375 D377:W377 D379:I379 E375:W375 L378 N378 P378 R378 T378 V378">
    <cfRule type="expression" dxfId="1" priority="14" stopIfTrue="1">
      <formula>NOT(ISERROR(SEARCH(TODAY(),D374)))</formula>
    </cfRule>
  </conditionalFormatting>
  <conditionalFormatting sqref="D376 D378 F376 F378 H374 H376 H378 J374 J376 L374 L376 N374 N376 P374 P376 R374 R376 T374 T376 V374 V376">
    <cfRule type="expression" dxfId="0" priority="15" stopIfTrue="1">
      <formula>NOT(ISERROR(SEARCH("КР",D374)))</formula>
    </cfRule>
  </conditionalFormatting>
  <conditionalFormatting sqref="D376 D378 F376 F378 H374 H376 H378 J374 J376 L374 L376 N374 N376 P374 P376 R374 R376 T374 T376 V374 V376">
    <cfRule type="expression" dxfId="1" priority="16" stopIfTrue="1">
      <formula>NOT(ISERROR(SEARCH(TODAY(),D374)))</formula>
    </cfRule>
  </conditionalFormatting>
  <conditionalFormatting sqref="F374">
    <cfRule type="expression" dxfId="0" priority="17" stopIfTrue="1">
      <formula>NOT(ISERROR(SEARCH("КР",F374)))</formula>
    </cfRule>
  </conditionalFormatting>
  <conditionalFormatting sqref="F374">
    <cfRule type="expression" dxfId="1" priority="18" stopIfTrue="1">
      <formula>NOT(ISERROR(SEARCH(TODAY(),F374)))</formula>
    </cfRule>
  </conditionalFormatting>
  <conditionalFormatting sqref="J379:K379">
    <cfRule type="expression" dxfId="0" priority="19" stopIfTrue="1">
      <formula>NOT(ISERROR(SEARCH("КР",J379)))</formula>
    </cfRule>
  </conditionalFormatting>
  <conditionalFormatting sqref="J379:K379">
    <cfRule type="expression" dxfId="1" priority="20" stopIfTrue="1">
      <formula>NOT(ISERROR(SEARCH(TODAY(),J379)))</formula>
    </cfRule>
  </conditionalFormatting>
  <conditionalFormatting sqref="J378">
    <cfRule type="expression" dxfId="0" priority="21" stopIfTrue="1">
      <formula>NOT(ISERROR(SEARCH("КР",J378)))</formula>
    </cfRule>
  </conditionalFormatting>
  <conditionalFormatting sqref="J378">
    <cfRule type="expression" dxfId="1" priority="22" stopIfTrue="1">
      <formula>NOT(ISERROR(SEARCH(TODAY(),J378)))</formula>
    </cfRule>
  </conditionalFormatting>
  <conditionalFormatting sqref="D380:D381 D383:W383 D385:I385 E381:W381 L384 N384 P384 R384 T384 V384">
    <cfRule type="expression" dxfId="0" priority="23" stopIfTrue="1">
      <formula>NOT(ISERROR(SEARCH("КР",D380)))</formula>
    </cfRule>
  </conditionalFormatting>
  <conditionalFormatting sqref="D380:D381 D383:W383 D385:I385 E381:W381 L384 N384 P384 R384 T384 V384">
    <cfRule type="expression" dxfId="1" priority="24" stopIfTrue="1">
      <formula>NOT(ISERROR(SEARCH(TODAY(),D380)))</formula>
    </cfRule>
  </conditionalFormatting>
  <conditionalFormatting sqref="D382 D384 F382 F384 H380 H382 H384 J380 J382 L380 L382 N380 N382 P380 P382 R380 R382 T380 T382 V380 V382">
    <cfRule type="expression" dxfId="0" priority="25" stopIfTrue="1">
      <formula>NOT(ISERROR(SEARCH("КР",D380)))</formula>
    </cfRule>
  </conditionalFormatting>
  <conditionalFormatting sqref="D382 D384 F382 F384 H380 H382 H384 J380 J382 L380 L382 N380 N382 P380 P382 R380 R382 T380 T382 V380 V382">
    <cfRule type="expression" dxfId="1" priority="26" stopIfTrue="1">
      <formula>NOT(ISERROR(SEARCH(TODAY(),D380)))</formula>
    </cfRule>
  </conditionalFormatting>
  <conditionalFormatting sqref="F380">
    <cfRule type="expression" dxfId="0" priority="27" stopIfTrue="1">
      <formula>NOT(ISERROR(SEARCH("КР",F380)))</formula>
    </cfRule>
  </conditionalFormatting>
  <conditionalFormatting sqref="F380">
    <cfRule type="expression" dxfId="1" priority="28" stopIfTrue="1">
      <formula>NOT(ISERROR(SEARCH(TODAY(),F380)))</formula>
    </cfRule>
  </conditionalFormatting>
  <conditionalFormatting sqref="J385:K385">
    <cfRule type="expression" dxfId="0" priority="29" stopIfTrue="1">
      <formula>NOT(ISERROR(SEARCH("КР",J385)))</formula>
    </cfRule>
  </conditionalFormatting>
  <conditionalFormatting sqref="J385:K385">
    <cfRule type="expression" dxfId="1" priority="30" stopIfTrue="1">
      <formula>NOT(ISERROR(SEARCH(TODAY(),J385)))</formula>
    </cfRule>
  </conditionalFormatting>
  <conditionalFormatting sqref="J384">
    <cfRule type="expression" dxfId="0" priority="31" stopIfTrue="1">
      <formula>NOT(ISERROR(SEARCH("КР",J384)))</formula>
    </cfRule>
  </conditionalFormatting>
  <conditionalFormatting sqref="J384">
    <cfRule type="expression" dxfId="1" priority="32" stopIfTrue="1">
      <formula>NOT(ISERROR(SEARCH(TODAY(),J384)))</formula>
    </cfRule>
  </conditionalFormatting>
  <conditionalFormatting sqref="D386:D387 D389:W389 D391:I391 E387:W387 L390 N390 P390 R390 T390 V390">
    <cfRule type="expression" dxfId="0" priority="33" stopIfTrue="1">
      <formula>NOT(ISERROR(SEARCH("КР",D386)))</formula>
    </cfRule>
  </conditionalFormatting>
  <conditionalFormatting sqref="D386:D387 D389:W389 D391:I391 E387:W387 L390 N390 P390 R390 T390 V390">
    <cfRule type="expression" dxfId="1" priority="34" stopIfTrue="1">
      <formula>NOT(ISERROR(SEARCH(TODAY(),D386)))</formula>
    </cfRule>
  </conditionalFormatting>
  <conditionalFormatting sqref="D388 D390 F388 F390 H386 H388 H390 J386 J388 L386 L388 N386 N388 P386 P388 R386 R388 T386 T388 V386 V388">
    <cfRule type="expression" dxfId="0" priority="35" stopIfTrue="1">
      <formula>NOT(ISERROR(SEARCH("КР",D386)))</formula>
    </cfRule>
  </conditionalFormatting>
  <conditionalFormatting sqref="D388 D390 F388 F390 H386 H388 H390 J386 J388 L386 L388 N386 N388 P386 P388 R386 R388 T386 T388 V386 V388">
    <cfRule type="expression" dxfId="1" priority="36" stopIfTrue="1">
      <formula>NOT(ISERROR(SEARCH(TODAY(),D386)))</formula>
    </cfRule>
  </conditionalFormatting>
  <conditionalFormatting sqref="F386">
    <cfRule type="expression" dxfId="0" priority="37" stopIfTrue="1">
      <formula>NOT(ISERROR(SEARCH("КР",F386)))</formula>
    </cfRule>
  </conditionalFormatting>
  <conditionalFormatting sqref="F386">
    <cfRule type="expression" dxfId="1" priority="38" stopIfTrue="1">
      <formula>NOT(ISERROR(SEARCH(TODAY(),F386)))</formula>
    </cfRule>
  </conditionalFormatting>
  <conditionalFormatting sqref="J391:K391">
    <cfRule type="expression" dxfId="0" priority="39" stopIfTrue="1">
      <formula>NOT(ISERROR(SEARCH("КР",J391)))</formula>
    </cfRule>
  </conditionalFormatting>
  <conditionalFormatting sqref="J391:K391">
    <cfRule type="expression" dxfId="1" priority="40" stopIfTrue="1">
      <formula>NOT(ISERROR(SEARCH(TODAY(),J391)))</formula>
    </cfRule>
  </conditionalFormatting>
  <conditionalFormatting sqref="J390">
    <cfRule type="expression" dxfId="0" priority="41" stopIfTrue="1">
      <formula>NOT(ISERROR(SEARCH("КР",J390)))</formula>
    </cfRule>
  </conditionalFormatting>
  <conditionalFormatting sqref="J390">
    <cfRule type="expression" dxfId="1" priority="42" stopIfTrue="1">
      <formula>NOT(ISERROR(SEARCH(TODAY(),J390)))</formula>
    </cfRule>
  </conditionalFormatting>
  <conditionalFormatting sqref="D392:D393 D395:W395 D397:I397 E393:W393 L396 N396 P396 R396 T396 V396">
    <cfRule type="expression" dxfId="0" priority="43" stopIfTrue="1">
      <formula>NOT(ISERROR(SEARCH("КР",D392)))</formula>
    </cfRule>
  </conditionalFormatting>
  <conditionalFormatting sqref="D392:D393 D395:W395 D397:I397 E393:W393 L396 N396 P396 R396 T396 V396">
    <cfRule type="expression" dxfId="1" priority="44" stopIfTrue="1">
      <formula>NOT(ISERROR(SEARCH(TODAY(),D392)))</formula>
    </cfRule>
  </conditionalFormatting>
  <conditionalFormatting sqref="D394 D396 F394 F396 H392 H394 H396 J392 J394 L392 L394 N392 N394 P392 P394 R392 R394 T392 T394 V392 V394">
    <cfRule type="expression" dxfId="0" priority="45" stopIfTrue="1">
      <formula>NOT(ISERROR(SEARCH("КР",D392)))</formula>
    </cfRule>
  </conditionalFormatting>
  <conditionalFormatting sqref="D394 D396 F394 F396 H392 H394 H396 J392 J394 L392 L394 N392 N394 P392 P394 R392 R394 T392 T394 V392 V394">
    <cfRule type="expression" dxfId="1" priority="46" stopIfTrue="1">
      <formula>NOT(ISERROR(SEARCH(TODAY(),D392)))</formula>
    </cfRule>
  </conditionalFormatting>
  <conditionalFormatting sqref="F392">
    <cfRule type="expression" dxfId="0" priority="47" stopIfTrue="1">
      <formula>NOT(ISERROR(SEARCH("КР",F392)))</formula>
    </cfRule>
  </conditionalFormatting>
  <conditionalFormatting sqref="F392">
    <cfRule type="expression" dxfId="1" priority="48" stopIfTrue="1">
      <formula>NOT(ISERROR(SEARCH(TODAY(),F392)))</formula>
    </cfRule>
  </conditionalFormatting>
  <conditionalFormatting sqref="J397:K397">
    <cfRule type="expression" dxfId="0" priority="49" stopIfTrue="1">
      <formula>NOT(ISERROR(SEARCH("КР",J397)))</formula>
    </cfRule>
  </conditionalFormatting>
  <conditionalFormatting sqref="J397:K397">
    <cfRule type="expression" dxfId="1" priority="50" stopIfTrue="1">
      <formula>NOT(ISERROR(SEARCH(TODAY(),J397)))</formula>
    </cfRule>
  </conditionalFormatting>
  <conditionalFormatting sqref="J396">
    <cfRule type="expression" dxfId="0" priority="51" stopIfTrue="1">
      <formula>NOT(ISERROR(SEARCH("КР",J396)))</formula>
    </cfRule>
  </conditionalFormatting>
  <conditionalFormatting sqref="J396">
    <cfRule type="expression" dxfId="1" priority="52" stopIfTrue="1">
      <formula>NOT(ISERROR(SEARCH(TODAY(),J396)))</formula>
    </cfRule>
  </conditionalFormatting>
  <conditionalFormatting sqref="Y406:Y407">
    <cfRule type="expression" dxfId="0" priority="53" stopIfTrue="1">
      <formula>NOT(ISERROR(SEARCH("КР",Y406)))</formula>
    </cfRule>
  </conditionalFormatting>
  <conditionalFormatting sqref="Y406:Y407">
    <cfRule type="expression" dxfId="1" priority="54" stopIfTrue="1">
      <formula>NOT(ISERROR(SEARCH(TODAY(),Y406)))</formula>
    </cfRule>
  </conditionalFormatting>
  <conditionalFormatting sqref="D409:E409 Y408:Y409">
    <cfRule type="expression" dxfId="0" priority="55" stopIfTrue="1">
      <formula>NOT(ISERROR(SEARCH("КР",D408)))</formula>
    </cfRule>
  </conditionalFormatting>
  <conditionalFormatting sqref="D409:E409 Y408:Y409">
    <cfRule type="expression" dxfId="1" priority="56" stopIfTrue="1">
      <formula>NOT(ISERROR(SEARCH(TODAY(),D408)))</formula>
    </cfRule>
  </conditionalFormatting>
  <conditionalFormatting sqref="X183:Y183">
    <cfRule type="expression" dxfId="0" priority="57" stopIfTrue="1">
      <formula>NOT(ISERROR(SEARCH("КР",X183)))</formula>
    </cfRule>
  </conditionalFormatting>
  <conditionalFormatting sqref="X183:Y183">
    <cfRule type="expression" dxfId="1" priority="58" stopIfTrue="1">
      <formula>NOT(ISERROR(SEARCH(TODAY(),X183)))</formula>
    </cfRule>
  </conditionalFormatting>
  <conditionalFormatting sqref="D401:W401 D403:W403 D405:W405">
    <cfRule type="expression" dxfId="0" priority="59" stopIfTrue="1">
      <formula>NOT(ISERROR(SEARCH("КР",D401)))</formula>
    </cfRule>
  </conditionalFormatting>
  <conditionalFormatting sqref="D401:W401 D403:W403 D405:W405">
    <cfRule type="expression" dxfId="1" priority="60" stopIfTrue="1">
      <formula>NOT(ISERROR(SEARCH(TODAY(),D401)))</formula>
    </cfRule>
  </conditionalFormatting>
  <conditionalFormatting sqref="D402 F402 H402 J402 L402 N402 P402 R402 T402 V402">
    <cfRule type="expression" dxfId="0" priority="61" stopIfTrue="1">
      <formula>NOT(ISERROR(SEARCH("КР",D402)))</formula>
    </cfRule>
  </conditionalFormatting>
  <conditionalFormatting sqref="D402 F402 H402 J402 L402 N402 P402 R402 T402 V402">
    <cfRule type="expression" dxfId="1" priority="62" stopIfTrue="1">
      <formula>NOT(ISERROR(SEARCH(TODAY(),D402)))</formula>
    </cfRule>
  </conditionalFormatting>
  <conditionalFormatting sqref="D400">
    <cfRule type="expression" dxfId="0" priority="63" stopIfTrue="1">
      <formula>NOT(ISERROR(SEARCH("КР",D400)))</formula>
    </cfRule>
  </conditionalFormatting>
  <conditionalFormatting sqref="D400">
    <cfRule type="expression" dxfId="1" priority="64" stopIfTrue="1">
      <formula>NOT(ISERROR(SEARCH(TODAY(),D400)))</formula>
    </cfRule>
  </conditionalFormatting>
  <conditionalFormatting sqref="F400">
    <cfRule type="expression" dxfId="0" priority="65" stopIfTrue="1">
      <formula>NOT(ISERROR(SEARCH("КР",F400)))</formula>
    </cfRule>
  </conditionalFormatting>
  <conditionalFormatting sqref="F400">
    <cfRule type="expression" dxfId="1" priority="66" stopIfTrue="1">
      <formula>NOT(ISERROR(SEARCH(TODAY(),F400)))</formula>
    </cfRule>
  </conditionalFormatting>
  <conditionalFormatting sqref="D404 F404 H400 H404 J400 J404 L400 L404 N400 N404 P404 R404 V404">
    <cfRule type="expression" dxfId="0" priority="67" stopIfTrue="1">
      <formula>NOT(ISERROR(SEARCH("КР",D400)))</formula>
    </cfRule>
  </conditionalFormatting>
  <conditionalFormatting sqref="D404 F404 H400 H404 J400 J404 L400 L404 N400 N404 P404 R404 V404">
    <cfRule type="expression" dxfId="1" priority="68" stopIfTrue="1">
      <formula>NOT(ISERROR(SEARCH(TODAY(),D400)))</formula>
    </cfRule>
  </conditionalFormatting>
  <conditionalFormatting sqref="P400 R400 T400">
    <cfRule type="expression" dxfId="0" priority="69" stopIfTrue="1">
      <formula>NOT(ISERROR(SEARCH("КР",P400)))</formula>
    </cfRule>
  </conditionalFormatting>
  <conditionalFormatting sqref="P400 R400 T400">
    <cfRule type="expression" dxfId="1" priority="70" stopIfTrue="1">
      <formula>NOT(ISERROR(SEARCH(TODAY(),P400)))</formula>
    </cfRule>
  </conditionalFormatting>
  <conditionalFormatting sqref="D407:W407">
    <cfRule type="expression" dxfId="0" priority="71" stopIfTrue="1">
      <formula>NOT(ISERROR(SEARCH("КР",D407)))</formula>
    </cfRule>
  </conditionalFormatting>
  <conditionalFormatting sqref="D407:W407">
    <cfRule type="expression" dxfId="1" priority="72" stopIfTrue="1">
      <formula>NOT(ISERROR(SEARCH(TODAY(),D407)))</formula>
    </cfRule>
  </conditionalFormatting>
  <conditionalFormatting sqref="V400">
    <cfRule type="expression" dxfId="0" priority="73" stopIfTrue="1">
      <formula>NOT(ISERROR(SEARCH("КР",V400)))</formula>
    </cfRule>
  </conditionalFormatting>
  <conditionalFormatting sqref="V400">
    <cfRule type="expression" dxfId="1" priority="74" stopIfTrue="1">
      <formula>NOT(ISERROR(SEARCH(TODAY(),V400)))</formula>
    </cfRule>
  </conditionalFormatting>
  <conditionalFormatting sqref="F408 H408">
    <cfRule type="expression" dxfId="0" priority="75" stopIfTrue="1">
      <formula>NOT(ISERROR(SEARCH("КР",F408)))</formula>
    </cfRule>
  </conditionalFormatting>
  <conditionalFormatting sqref="F408 H408">
    <cfRule type="expression" dxfId="1" priority="76" stopIfTrue="1">
      <formula>NOT(ISERROR(SEARCH(TODAY(),F408)))</formula>
    </cfRule>
  </conditionalFormatting>
  <conditionalFormatting sqref="J408 L408 N408 P408 R408 T408 V408">
    <cfRule type="expression" dxfId="0" priority="77" stopIfTrue="1">
      <formula>NOT(ISERROR(SEARCH("КР",J408)))</formula>
    </cfRule>
  </conditionalFormatting>
  <conditionalFormatting sqref="J408 L408 N408 P408 R408 T408 V408">
    <cfRule type="expression" dxfId="1" priority="78" stopIfTrue="1">
      <formula>NOT(ISERROR(SEARCH(TODAY(),J408)))</formula>
    </cfRule>
  </conditionalFormatting>
  <conditionalFormatting sqref="D406 F406 H406 J406 L406 N406 P406 R406 T406 V406">
    <cfRule type="expression" dxfId="0" priority="79" stopIfTrue="1">
      <formula>NOT(ISERROR(SEARCH("КР",D406)))</formula>
    </cfRule>
  </conditionalFormatting>
  <conditionalFormatting sqref="D406 F406 H406 J406 L406 N406 P406 R406 T406 V406">
    <cfRule type="expression" dxfId="1" priority="80" stopIfTrue="1">
      <formula>NOT(ISERROR(SEARCH(TODAY(),D406)))</formula>
    </cfRule>
  </conditionalFormatting>
  <conditionalFormatting sqref="D408">
    <cfRule type="expression" dxfId="0" priority="81" stopIfTrue="1">
      <formula>NOT(ISERROR(SEARCH("КР",D408)))</formula>
    </cfRule>
  </conditionalFormatting>
  <conditionalFormatting sqref="D408">
    <cfRule type="expression" dxfId="1" priority="82" stopIfTrue="1">
      <formula>NOT(ISERROR(SEARCH(TODAY(),D408)))</formula>
    </cfRule>
  </conditionalFormatting>
  <conditionalFormatting sqref="T404">
    <cfRule type="expression" dxfId="0" priority="83" stopIfTrue="1">
      <formula>NOT(ISERROR(SEARCH("КР",T404)))</formula>
    </cfRule>
  </conditionalFormatting>
  <conditionalFormatting sqref="T404">
    <cfRule type="expression" dxfId="1" priority="84" stopIfTrue="1">
      <formula>NOT(ISERROR(SEARCH(TODAY(),T404)))</formula>
    </cfRule>
  </conditionalFormatting>
  <conditionalFormatting sqref="R10:U10">
    <cfRule type="expression" dxfId="0" priority="85" stopIfTrue="1">
      <formula>NOT(ISERROR(SEARCH("КР",R10)))</formula>
    </cfRule>
  </conditionalFormatting>
  <conditionalFormatting sqref="R10:U10">
    <cfRule type="expression" dxfId="1" priority="86" stopIfTrue="1">
      <formula>NOT(ISERROR(SEARCH(TODAY(),R10)))</formula>
    </cfRule>
  </conditionalFormatting>
  <conditionalFormatting sqref="R11:U13">
    <cfRule type="expression" dxfId="0" priority="87" stopIfTrue="1">
      <formula>NOT(ISERROR(SEARCH("КР",R11)))</formula>
    </cfRule>
  </conditionalFormatting>
  <conditionalFormatting sqref="R11:U13">
    <cfRule type="expression" dxfId="1" priority="88" stopIfTrue="1">
      <formula>NOT(ISERROR(SEARCH(TODAY(),R11)))</formula>
    </cfRule>
  </conditionalFormatting>
  <conditionalFormatting sqref="Q183:Q186">
    <cfRule type="expression" dxfId="0" priority="89" stopIfTrue="1">
      <formula>NOT(ISERROR(SEARCH("КР",Q183)))</formula>
    </cfRule>
  </conditionalFormatting>
  <conditionalFormatting sqref="Q183:Q186">
    <cfRule type="expression" dxfId="1" priority="90" stopIfTrue="1">
      <formula>NOT(ISERROR(SEARCH(TODAY(),Q183)))</formula>
    </cfRule>
  </conditionalFormatting>
  <conditionalFormatting sqref="Q11">
    <cfRule type="expression" dxfId="0" priority="91" stopIfTrue="1">
      <formula>NOT(ISERROR(SEARCH("КР",Q11)))</formula>
    </cfRule>
  </conditionalFormatting>
  <conditionalFormatting sqref="Q11">
    <cfRule type="expression" dxfId="1" priority="92" stopIfTrue="1">
      <formula>NOT(ISERROR(SEARCH(TODAY(),Q11)))</formula>
    </cfRule>
  </conditionalFormatting>
  <conditionalFormatting sqref="N11:O11">
    <cfRule type="expression" dxfId="0" priority="93" stopIfTrue="1">
      <formula>NOT(ISERROR(SEARCH("КР",N11)))</formula>
    </cfRule>
  </conditionalFormatting>
  <conditionalFormatting sqref="N11:O11">
    <cfRule type="expression" dxfId="1" priority="94" stopIfTrue="1">
      <formula>NOT(ISERROR(SEARCH(TODAY(),N11)))</formula>
    </cfRule>
  </conditionalFormatting>
  <conditionalFormatting sqref="D163:I164">
    <cfRule type="expression" dxfId="0" priority="95" stopIfTrue="1">
      <formula>NOT(ISERROR(SEARCH("КР",D163)))</formula>
    </cfRule>
  </conditionalFormatting>
  <conditionalFormatting sqref="D163:I164">
    <cfRule type="expression" dxfId="1" priority="96" stopIfTrue="1">
      <formula>NOT(ISERROR(SEARCH(TODAY(),D163)))</formula>
    </cfRule>
  </conditionalFormatting>
  <dataValidations>
    <dataValidation type="list" allowBlank="1" sqref="C10:C13 C16:C18 C21:C23 C26:C28 C31:C33 C36:C38 C41:C43 C46:C48 C52:C53 C56:C57 C60:C61 C64:C66 C69:C73 C76:C77 C80:C81 C84:C86 C89:C90 C93:C95 C98:C101 C104 C107:C109 C112:C113 C116:C119 C122:C123 C126:C129 C133:C136 C139:C142 C147:C151 C154:C157 A160 C161 C163 C165 C167 C172:C174 C177:C180 C183:C186 C189 C192 C195:C196 C201:C204 C207:C208 C211:C212 C215 C218 C221:C226 C229:C230 C233:C236 C239:C241 C244:C245 C248:C255 C258:C265 C268:C271 C274:C277 C280:C288 C292 C295 C298:C299 C302:C303 C306:C307 C310:C313 C316:C317 C320:C321 C324:C325 C328:C331 C334:C337 C340:C343 C346:C349 C352:C353 C356:C357 C360 C363:C365 C369 C375 C381 C387 C393 C401">
      <formula1>$AD$1:$AD$4</formula1>
    </dataValidation>
  </dataValidations>
  <hyperlinks>
    <hyperlink display="Насоси" location="'Таблиця'!A1" ref="D1"/>
    <hyperlink display="Посудини" location="'Таблиця'!A143" ref="F1"/>
    <hyperlink display="Арматура" location="'Таблиця'!A199" ref="H1"/>
    <hyperlink display="Дизелі" location="'Таблиця'!A370" ref="J1"/>
    <hyperlink display="Реактор" location="'Таблиця'!A402" ref="L1"/>
  </hyperlinks>
  <printOptions/>
  <pageMargins bottom="0.3937007874015748" footer="0.0" header="0.0" left="0.5905511811023623" right="0.3937007874015748" top="0.3937007874015748"/>
  <pageSetup paperSize="9" scale="59" orientation="landscape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1996-10-08T23:32:33Z</dcterms:created>
  <dc:creator>Савчук Ю.А.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Издатель">
    <vt:lpwstr>Савчук Ю.А.</vt:lpwstr>
  </property>
</Properties>
</file>